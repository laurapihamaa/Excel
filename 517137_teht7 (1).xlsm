
<file path=[Content_Types].xml><?xml version="1.0" encoding="utf-8"?>
<Types xmlns="http://schemas.openxmlformats.org/package/2006/content-types">
  <Default Extension="bin" ContentType="application/vnd.ms-office.vbaProject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filterPrivacy="1" codeName="ThisWorkbook" defaultThemeVersion="124226"/>
  <xr:revisionPtr revIDLastSave="0" documentId="8_{6746193C-9E60-4681-A8DF-8D19DE62CE66}" xr6:coauthVersionLast="40" xr6:coauthVersionMax="40" xr10:uidLastSave="{00000000-0000-0000-0000-000000000000}"/>
  <bookViews>
    <workbookView xWindow="-110" yWindow="-110" windowWidth="19420" windowHeight="10420" xr2:uid="{00000000-000D-0000-FFFF-FFFF00000000}"/>
  </bookViews>
  <sheets>
    <sheet name="tentti" sheetId="1" r:id="rId1"/>
  </sheets>
  <functionGroups builtInGroupCount="19"/>
  <definedNames>
    <definedName name="arvosanat">tentti!$A$17:$B$22</definedName>
    <definedName name="jakauma">tentti!$C$17:$C$22</definedName>
    <definedName name="Oikeasta">tentti!$B$4</definedName>
    <definedName name="Opiskelijoita">tentti!$E$1</definedName>
    <definedName name="Osaaminen">tentti!$B$12</definedName>
    <definedName name="raja">tentti!$B$9</definedName>
    <definedName name="Tieto">tentti!$B$13</definedName>
    <definedName name="tyhjiä">tentti!$B$14</definedName>
    <definedName name="Tyhjästä">tentti!$B$6</definedName>
    <definedName name="Väittämiä">tentti!$B$8</definedName>
    <definedName name="Väärästä">tentti!$B$5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7" i="1" l="1"/>
  <c r="A22" i="1"/>
  <c r="A20" i="1"/>
  <c r="A19" i="1"/>
  <c r="A18" i="1"/>
  <c r="B15" i="1" l="1"/>
  <c r="C23" i="1" l="1"/>
  <c r="D18" i="1" l="1"/>
  <c r="D22" i="1"/>
  <c r="D19" i="1"/>
  <c r="D20" i="1"/>
  <c r="D21" i="1"/>
  <c r="D17" i="1"/>
</calcChain>
</file>

<file path=xl/sharedStrings.xml><?xml version="1.0" encoding="utf-8"?>
<sst xmlns="http://schemas.openxmlformats.org/spreadsheetml/2006/main" count="23" uniqueCount="19">
  <si>
    <t>Tyhjiä</t>
  </si>
  <si>
    <t>Tieto</t>
  </si>
  <si>
    <t>kpl</t>
  </si>
  <si>
    <t>Oikeasta</t>
  </si>
  <si>
    <t>Väärästä</t>
  </si>
  <si>
    <t>Tyhjästä</t>
  </si>
  <si>
    <t>Tenttitulossimulointi</t>
  </si>
  <si>
    <t>Osaaminen</t>
  </si>
  <si>
    <t>kpl varmoja</t>
  </si>
  <si>
    <t>Raja</t>
  </si>
  <si>
    <t>Väittämiä</t>
  </si>
  <si>
    <t>p (=läpi)</t>
  </si>
  <si>
    <t>Arvosana</t>
  </si>
  <si>
    <t>Pisteitä vähintään</t>
  </si>
  <si>
    <t>Lkm</t>
  </si>
  <si>
    <t>hyl</t>
  </si>
  <si>
    <t>tdn arvata oikein</t>
  </si>
  <si>
    <t>Opiskelijoita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</si>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</sst>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u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9" fontId="0" fillId="4" borderId="0" xfId="0" applyNumberFormat="1" applyFill="1" applyAlignment="1">
      <alignment horizontal="center"/>
    </xf>
    <xf numFmtId="0" fontId="0" fillId="5" borderId="0" xfId="0" applyFill="1" applyAlignment="1">
      <alignment horizontal="center"/>
    </xf>
    <xf numFmtId="9" fontId="0" fillId="3" borderId="0" xfId="1" applyFont="1" applyFill="1"/>
    <xf numFmtId="0" fontId="2" fillId="0" borderId="0" xfId="0" applyFont="1"/>
    <xf numFmtId="0" fontId="2" fillId="4" borderId="0" xfId="0" applyFont="1" applyFill="1" applyAlignment="1">
      <alignment horizontal="center"/>
    </xf>
    <xf numFmtId="0" fontId="3" fillId="0" borderId="0" xfId="0" applyFont="1"/>
    <xf numFmtId="0" fontId="2" fillId="0" borderId="0" xfId="0" applyFont="1" applyAlignment="1">
      <alignment horizontal="right"/>
    </xf>
    <xf numFmtId="0" fontId="4" fillId="0" borderId="0" xfId="0" applyFont="1"/>
    <xf numFmtId="0" fontId="0" fillId="3" borderId="0" xfId="0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i-FI"/>
              <a:t>Jakauma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tentti!$B$17:$B$22</c:f>
              <c:strCache>
                <c:ptCount val="6"/>
                <c:pt idx="0">
                  <c:v>hyl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tentti!$D$17:$D$22</c:f>
              <c:numCache>
                <c:formatCode>0%</c:formatCode>
                <c:ptCount val="6"/>
                <c:pt idx="0">
                  <c:v>0.62612612612612617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0.37387387387387389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EF-4868-A449-47EDC28A62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955024"/>
        <c:axId val="153953456"/>
      </c:areaChart>
      <c:catAx>
        <c:axId val="153955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953456"/>
        <c:crosses val="autoZero"/>
        <c:auto val="1"/>
        <c:lblAlgn val="ctr"/>
        <c:lblOffset val="100"/>
        <c:noMultiLvlLbl val="0"/>
      </c:catAx>
      <c:valAx>
        <c:axId val="15395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955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194310</xdr:colOff>
      <xdr:row>4</xdr:row>
      <xdr:rowOff>15240</xdr:rowOff>
    </xdr:from>
    <xdr:to>
      <xdr:col>13</xdr:col>
      <xdr:colOff>222885</xdr:colOff>
      <xdr:row>14</xdr:row>
      <xdr:rowOff>43815</xdr:rowOff>
    </xdr:to>
    <xdr:pic macro="[0]!arvo_rivit"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18960" y="824865"/>
          <a:ext cx="2466975" cy="1838325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</xdr:row>
      <xdr:rowOff>1</xdr:rowOff>
    </xdr:from>
    <xdr:to>
      <xdr:col>9</xdr:col>
      <xdr:colOff>0</xdr:colOff>
      <xdr:row>13</xdr:row>
      <xdr:rowOff>7621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3"/>
  <sheetViews>
    <sheetView tabSelected="1" zoomScale="80" zoomScaleNormal="80" workbookViewId="0"/>
  </sheetViews>
  <sheetFormatPr defaultRowHeight="14.5" x14ac:dyDescent="0.35"/>
  <cols>
    <col min="1" max="1" width="19" bestFit="1" customWidth="1"/>
    <col min="2" max="2" width="8.54296875" bestFit="1" customWidth="1"/>
    <col min="3" max="3" width="14.1796875" bestFit="1" customWidth="1"/>
    <col min="6" max="6" width="11.7265625" bestFit="1" customWidth="1"/>
  </cols>
  <sheetData>
    <row r="1" spans="1:6" ht="21" x14ac:dyDescent="0.5">
      <c r="A1" s="9" t="s">
        <v>6</v>
      </c>
      <c r="D1" s="10" t="s">
        <v>17</v>
      </c>
      <c r="E1" s="8">
        <v>222</v>
      </c>
      <c r="F1" s="7" t="s">
        <v>2</v>
      </c>
    </row>
    <row r="3" spans="1:6" x14ac:dyDescent="0.35">
      <c r="B3" s="1"/>
    </row>
    <row r="4" spans="1:6" x14ac:dyDescent="0.35">
      <c r="A4" t="s">
        <v>3</v>
      </c>
      <c r="B4" s="3">
        <v>1</v>
      </c>
      <c r="C4" t="s">
        <v>18</v>
      </c>
    </row>
    <row r="5" spans="1:6" x14ac:dyDescent="0.35">
      <c r="A5" t="s">
        <v>4</v>
      </c>
      <c r="B5" s="3">
        <v>-1</v>
      </c>
      <c r="C5" t="s">
        <v>18</v>
      </c>
    </row>
    <row r="6" spans="1:6" x14ac:dyDescent="0.35">
      <c r="A6" t="s">
        <v>5</v>
      </c>
      <c r="B6" s="3">
        <v>0</v>
      </c>
      <c r="C6" t="s">
        <v>18</v>
      </c>
    </row>
    <row r="8" spans="1:6" x14ac:dyDescent="0.35">
      <c r="A8" t="s">
        <v>10</v>
      </c>
      <c r="B8" s="3">
        <v>50</v>
      </c>
      <c r="C8" t="s">
        <v>2</v>
      </c>
    </row>
    <row r="9" spans="1:6" x14ac:dyDescent="0.35">
      <c r="A9" t="s">
        <v>9</v>
      </c>
      <c r="B9" s="3">
        <v>20</v>
      </c>
      <c r="C9" t="s">
        <v>11</v>
      </c>
    </row>
    <row r="12" spans="1:6" x14ac:dyDescent="0.35">
      <c r="A12" t="s">
        <v>7</v>
      </c>
      <c r="B12" s="4">
        <v>0.6</v>
      </c>
      <c r="C12" t="s">
        <v>16</v>
      </c>
    </row>
    <row r="13" spans="1:6" x14ac:dyDescent="0.35">
      <c r="A13" t="s">
        <v>1</v>
      </c>
      <c r="B13" s="3">
        <v>17</v>
      </c>
      <c r="C13" t="s">
        <v>8</v>
      </c>
    </row>
    <row r="14" spans="1:6" x14ac:dyDescent="0.35">
      <c r="A14" t="s">
        <v>0</v>
      </c>
      <c r="B14" s="2">
        <v>8</v>
      </c>
      <c r="C14" t="s">
        <v>2</v>
      </c>
    </row>
    <row r="15" spans="1:6" x14ac:dyDescent="0.35">
      <c r="B15" s="11" t="str">
        <f>IF(tyhjiä+Tieto&gt;Väittämiä,"Virhe: vain "&amp;Väittämiä&amp;" väittämää","")</f>
        <v/>
      </c>
    </row>
    <row r="16" spans="1:6" x14ac:dyDescent="0.35">
      <c r="A16" s="1" t="s">
        <v>13</v>
      </c>
      <c r="B16" s="1" t="s">
        <v>12</v>
      </c>
      <c r="C16" s="1" t="s">
        <v>14</v>
      </c>
    </row>
    <row r="17" spans="1:4" x14ac:dyDescent="0.35">
      <c r="A17" s="5">
        <f>Väittämiä*Väärästä</f>
        <v>-50</v>
      </c>
      <c r="B17" s="5" t="s">
        <v>15</v>
      </c>
      <c r="C17" s="12">
        <v>139</v>
      </c>
      <c r="D17" s="6">
        <f>C17/$C$23</f>
        <v>0.62612612612612617</v>
      </c>
    </row>
    <row r="18" spans="1:4" x14ac:dyDescent="0.35">
      <c r="A18" s="5">
        <f>40%*Väittämiä*Oikeasta</f>
        <v>20</v>
      </c>
      <c r="B18" s="5">
        <v>1</v>
      </c>
      <c r="C18" s="12">
        <v>0</v>
      </c>
      <c r="D18" s="6">
        <f t="shared" ref="D18:D22" si="0">C18/$C$23</f>
        <v>0</v>
      </c>
    </row>
    <row r="19" spans="1:4" x14ac:dyDescent="0.35">
      <c r="A19" s="5">
        <f>50%*Väittämiä*Oikeasta</f>
        <v>25</v>
      </c>
      <c r="B19" s="5">
        <v>2</v>
      </c>
      <c r="C19" s="12">
        <v>0</v>
      </c>
      <c r="D19" s="6">
        <f t="shared" si="0"/>
        <v>0</v>
      </c>
    </row>
    <row r="20" spans="1:4" x14ac:dyDescent="0.35">
      <c r="A20" s="5">
        <f>60%*Väittämiä*Oikeasta</f>
        <v>30</v>
      </c>
      <c r="B20" s="5">
        <v>3</v>
      </c>
      <c r="C20" s="12">
        <v>0</v>
      </c>
      <c r="D20" s="6">
        <f t="shared" si="0"/>
        <v>0</v>
      </c>
    </row>
    <row r="21" spans="1:4" x14ac:dyDescent="0.35">
      <c r="A21" s="5">
        <v>35</v>
      </c>
      <c r="B21" s="5">
        <v>4</v>
      </c>
      <c r="C21" s="12">
        <v>83</v>
      </c>
      <c r="D21" s="6">
        <f t="shared" si="0"/>
        <v>0.37387387387387389</v>
      </c>
    </row>
    <row r="22" spans="1:4" x14ac:dyDescent="0.35">
      <c r="A22" s="5">
        <f>80%*Väittämiä*Oikeasta</f>
        <v>40</v>
      </c>
      <c r="B22" s="5">
        <v>5</v>
      </c>
      <c r="C22" s="12">
        <v>0</v>
      </c>
      <c r="D22" s="6">
        <f t="shared" si="0"/>
        <v>0</v>
      </c>
    </row>
    <row r="23" spans="1:4" x14ac:dyDescent="0.35">
      <c r="C23" s="1">
        <f>SUM(C17:C22)</f>
        <v>222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2" baseType="lpstr">
      <vt:lpstr>tentti</vt:lpstr>
      <vt:lpstr>arvosanat</vt:lpstr>
      <vt:lpstr>jakauma</vt:lpstr>
      <vt:lpstr>Oikeasta</vt:lpstr>
      <vt:lpstr>Opiskelijoita</vt:lpstr>
      <vt:lpstr>Osaaminen</vt:lpstr>
      <vt:lpstr>raja</vt:lpstr>
      <vt:lpstr>Tieto</vt:lpstr>
      <vt:lpstr>tyhjiä</vt:lpstr>
      <vt:lpstr>Tyhjästä</vt:lpstr>
      <vt:lpstr>Väittämiä</vt:lpstr>
      <vt:lpstr>Väärästä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2019-02-13T10:59:09Z</dcterms:modified>
</cp:coreProperties>
</file>