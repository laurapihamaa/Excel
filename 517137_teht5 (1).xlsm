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51196F13-6AD0-C1B8-E2B4-A1F9AE17003E}"/>
  <workbookPr codeName="ThisWorkbook"/>
  <mc:AlternateContent xmlns:mc="http://schemas.openxmlformats.org/markup-compatibility/2006">
    <mc:Choice Requires="x15">
      <x15ac:absPath xmlns:x15ac="http://schemas.microsoft.com/office/spreadsheetml/2010/11/ac" url="C:\Users\Laura\Documents\"/>
    </mc:Choice>
  </mc:AlternateContent>
  <xr:revisionPtr revIDLastSave="0" documentId="8_{55E36A5F-2DB8-46C4-9B1C-48AF67803851}" xr6:coauthVersionLast="40" xr6:coauthVersionMax="40" xr10:uidLastSave="{00000000-0000-0000-0000-000000000000}"/>
  <bookViews>
    <workbookView xWindow="-110" yWindow="-110" windowWidth="19420" windowHeight="10420" activeTab="1" xr2:uid="{00000000-000D-0000-FFFF-FFFF00000000}"/>
  </bookViews>
  <sheets>
    <sheet name="raportit" sheetId="3" r:id="rId1"/>
    <sheet name="ohjaus" sheetId="2" r:id="rId2"/>
    <sheet name="myyntihistoria" sheetId="4" r:id="rId3"/>
  </sheets>
  <definedNames>
    <definedName name="piirit">ohjaus!$K$4:$K$7</definedName>
    <definedName name="Slicer_Piiri">#N/A</definedName>
    <definedName name="viimeisin_kuu">ohjaus!$I$3</definedName>
    <definedName name="viimeisin_vuosi">ohjaus!$H$3</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5679" i="4" l="1"/>
  <c r="H5678" i="4"/>
  <c r="H5677" i="4"/>
  <c r="H5676" i="4"/>
  <c r="H5675" i="4"/>
  <c r="H5674" i="4"/>
  <c r="H5673" i="4"/>
  <c r="H5672" i="4"/>
  <c r="H5671" i="4"/>
  <c r="H5670" i="4"/>
  <c r="H5669" i="4"/>
  <c r="H5668" i="4"/>
  <c r="H5667" i="4"/>
  <c r="H5666" i="4"/>
  <c r="H5665" i="4"/>
  <c r="H5664" i="4"/>
  <c r="H5663" i="4"/>
  <c r="H5662" i="4"/>
  <c r="H5661" i="4"/>
  <c r="H5660" i="4"/>
  <c r="H5659" i="4"/>
  <c r="H5658" i="4"/>
  <c r="H5657" i="4"/>
  <c r="H5656" i="4"/>
  <c r="H5655" i="4"/>
  <c r="H5654" i="4"/>
  <c r="H5653" i="4"/>
  <c r="H5652" i="4"/>
  <c r="H5651" i="4"/>
  <c r="H5650" i="4"/>
  <c r="H5649" i="4"/>
  <c r="H5648" i="4"/>
  <c r="H5647" i="4"/>
  <c r="H5646" i="4"/>
  <c r="H5645" i="4"/>
  <c r="H5644" i="4"/>
  <c r="H5643" i="4"/>
  <c r="H5642" i="4"/>
  <c r="H5641" i="4"/>
  <c r="H5640" i="4"/>
  <c r="H5639" i="4"/>
  <c r="H5638" i="4"/>
  <c r="H5637" i="4"/>
  <c r="H5636" i="4"/>
  <c r="H5635" i="4"/>
  <c r="H5634" i="4"/>
  <c r="H5633" i="4"/>
  <c r="H5632" i="4"/>
  <c r="H5631" i="4"/>
  <c r="H5630" i="4"/>
  <c r="H5629" i="4"/>
  <c r="H5628" i="4"/>
  <c r="H5627" i="4"/>
  <c r="H5626" i="4"/>
  <c r="H5625" i="4"/>
  <c r="H5624" i="4"/>
  <c r="H5623" i="4"/>
  <c r="H5622" i="4"/>
  <c r="H5621" i="4"/>
  <c r="H5620" i="4"/>
  <c r="H5619" i="4"/>
  <c r="H5618" i="4"/>
  <c r="H5617" i="4"/>
  <c r="H5616" i="4"/>
  <c r="H5615" i="4"/>
  <c r="H5614" i="4"/>
  <c r="H5613" i="4"/>
  <c r="H5612" i="4"/>
  <c r="H5611" i="4"/>
  <c r="H5610" i="4"/>
  <c r="H5609" i="4"/>
  <c r="H5608" i="4"/>
  <c r="H5607" i="4"/>
  <c r="H5606" i="4"/>
  <c r="H5605" i="4"/>
  <c r="H5604" i="4"/>
  <c r="H5603" i="4"/>
  <c r="H5602" i="4"/>
  <c r="H5601" i="4"/>
  <c r="H5600" i="4"/>
  <c r="H5599" i="4"/>
  <c r="H5598" i="4"/>
  <c r="H5597" i="4"/>
  <c r="H5596" i="4"/>
  <c r="H5595" i="4"/>
  <c r="H5594" i="4"/>
  <c r="H5593" i="4"/>
  <c r="H5592" i="4"/>
  <c r="H5591" i="4"/>
  <c r="H5590" i="4"/>
  <c r="H5589" i="4"/>
  <c r="H5588" i="4"/>
  <c r="H5587" i="4"/>
  <c r="H5586" i="4"/>
  <c r="H5585" i="4"/>
  <c r="H5584" i="4"/>
  <c r="H5583" i="4"/>
  <c r="H5582" i="4"/>
  <c r="H5581" i="4"/>
  <c r="H5580" i="4"/>
  <c r="H5579" i="4"/>
  <c r="H5578" i="4"/>
  <c r="J6" i="4" l="1"/>
  <c r="H2"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1212" i="4"/>
  <c r="H1213" i="4"/>
  <c r="H1214" i="4"/>
  <c r="H1215" i="4"/>
  <c r="H1216" i="4"/>
  <c r="H1217" i="4"/>
  <c r="H1218" i="4"/>
  <c r="H1219" i="4"/>
  <c r="H1220" i="4"/>
  <c r="H1221" i="4"/>
  <c r="H1222" i="4"/>
  <c r="H1223"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H1360" i="4"/>
  <c r="H1361" i="4"/>
  <c r="H1362" i="4"/>
  <c r="H1363" i="4"/>
  <c r="H1364" i="4"/>
  <c r="H1365" i="4"/>
  <c r="H1366" i="4"/>
  <c r="H1367" i="4"/>
  <c r="H1368" i="4"/>
  <c r="H1369" i="4"/>
  <c r="H1370" i="4"/>
  <c r="H1371"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1" i="4"/>
  <c r="H1412" i="4"/>
  <c r="H1413" i="4"/>
  <c r="H1414" i="4"/>
  <c r="H1415" i="4"/>
  <c r="H1416" i="4"/>
  <c r="H1417" i="4"/>
  <c r="H1418" i="4"/>
  <c r="H1419" i="4"/>
  <c r="H1420" i="4"/>
  <c r="H1421" i="4"/>
  <c r="H1422" i="4"/>
  <c r="H1423" i="4"/>
  <c r="H1424" i="4"/>
  <c r="H1425" i="4"/>
  <c r="H1426" i="4"/>
  <c r="H1427" i="4"/>
  <c r="H1428" i="4"/>
  <c r="H1429" i="4"/>
  <c r="H1430" i="4"/>
  <c r="H1431" i="4"/>
  <c r="H1432" i="4"/>
  <c r="H1433" i="4"/>
  <c r="H1434" i="4"/>
  <c r="H1435" i="4"/>
  <c r="H1436" i="4"/>
  <c r="H1437" i="4"/>
  <c r="H1438" i="4"/>
  <c r="H1439" i="4"/>
  <c r="H1440" i="4"/>
  <c r="H1441" i="4"/>
  <c r="H1442" i="4"/>
  <c r="H1443" i="4"/>
  <c r="H1444" i="4"/>
  <c r="H1445" i="4"/>
  <c r="H1446" i="4"/>
  <c r="H1447" i="4"/>
  <c r="H1448" i="4"/>
  <c r="H1449" i="4"/>
  <c r="H1450" i="4"/>
  <c r="H1451" i="4"/>
  <c r="H1452" i="4"/>
  <c r="H1453" i="4"/>
  <c r="H1454" i="4"/>
  <c r="H1455" i="4"/>
  <c r="H1456" i="4"/>
  <c r="H1457" i="4"/>
  <c r="H1458" i="4"/>
  <c r="H1459" i="4"/>
  <c r="H1460" i="4"/>
  <c r="H1461" i="4"/>
  <c r="H1462" i="4"/>
  <c r="H1463" i="4"/>
  <c r="H1464" i="4"/>
  <c r="H1465" i="4"/>
  <c r="H1466" i="4"/>
  <c r="H1467" i="4"/>
  <c r="H1468" i="4"/>
  <c r="H1469" i="4"/>
  <c r="H1470" i="4"/>
  <c r="H1471" i="4"/>
  <c r="H1472" i="4"/>
  <c r="H1473" i="4"/>
  <c r="H1474" i="4"/>
  <c r="H1475" i="4"/>
  <c r="H1476" i="4"/>
  <c r="H1477" i="4"/>
  <c r="H1478" i="4"/>
  <c r="H1479" i="4"/>
  <c r="H1480" i="4"/>
  <c r="H1481" i="4"/>
  <c r="H1482" i="4"/>
  <c r="H1483" i="4"/>
  <c r="H1484" i="4"/>
  <c r="H1485" i="4"/>
  <c r="H1486" i="4"/>
  <c r="H1487" i="4"/>
  <c r="H1488" i="4"/>
  <c r="H1489" i="4"/>
  <c r="H1490" i="4"/>
  <c r="H1491" i="4"/>
  <c r="H1492" i="4"/>
  <c r="H1493" i="4"/>
  <c r="H1494" i="4"/>
  <c r="H1495" i="4"/>
  <c r="H1496" i="4"/>
  <c r="H1497" i="4"/>
  <c r="H1498" i="4"/>
  <c r="H1499" i="4"/>
  <c r="H1500" i="4"/>
  <c r="H1501" i="4"/>
  <c r="H1502" i="4"/>
  <c r="H1503" i="4"/>
  <c r="H1504" i="4"/>
  <c r="H1505" i="4"/>
  <c r="H1506" i="4"/>
  <c r="H1507" i="4"/>
  <c r="H1508" i="4"/>
  <c r="H1509" i="4"/>
  <c r="H1510" i="4"/>
  <c r="H1511" i="4"/>
  <c r="H1512" i="4"/>
  <c r="H1513" i="4"/>
  <c r="H1514" i="4"/>
  <c r="H1515" i="4"/>
  <c r="H1516" i="4"/>
  <c r="H1517" i="4"/>
  <c r="H1518" i="4"/>
  <c r="H1519" i="4"/>
  <c r="H1520" i="4"/>
  <c r="H1521" i="4"/>
  <c r="H1522" i="4"/>
  <c r="H1523" i="4"/>
  <c r="H1524" i="4"/>
  <c r="H1525" i="4"/>
  <c r="H1526" i="4"/>
  <c r="H1527" i="4"/>
  <c r="H1528" i="4"/>
  <c r="H1529" i="4"/>
  <c r="H1530" i="4"/>
  <c r="H1531" i="4"/>
  <c r="H1532" i="4"/>
  <c r="H1533" i="4"/>
  <c r="H1534" i="4"/>
  <c r="H1535" i="4"/>
  <c r="H1536" i="4"/>
  <c r="H1537" i="4"/>
  <c r="H1538" i="4"/>
  <c r="H1539" i="4"/>
  <c r="H1540" i="4"/>
  <c r="H1541" i="4"/>
  <c r="H1542" i="4"/>
  <c r="H1543" i="4"/>
  <c r="H1544" i="4"/>
  <c r="H1545" i="4"/>
  <c r="H1546" i="4"/>
  <c r="H1547" i="4"/>
  <c r="H1548" i="4"/>
  <c r="H1549" i="4"/>
  <c r="H1550" i="4"/>
  <c r="H1551" i="4"/>
  <c r="H1552" i="4"/>
  <c r="H1553" i="4"/>
  <c r="H1554" i="4"/>
  <c r="H1555" i="4"/>
  <c r="H1556" i="4"/>
  <c r="H1557" i="4"/>
  <c r="H1558" i="4"/>
  <c r="H1559" i="4"/>
  <c r="H1560" i="4"/>
  <c r="H1561" i="4"/>
  <c r="H1562" i="4"/>
  <c r="H1563" i="4"/>
  <c r="H1564" i="4"/>
  <c r="H1565" i="4"/>
  <c r="H1566" i="4"/>
  <c r="H1567" i="4"/>
  <c r="H1568" i="4"/>
  <c r="H1569" i="4"/>
  <c r="H1570" i="4"/>
  <c r="H1571" i="4"/>
  <c r="H1572" i="4"/>
  <c r="H1573" i="4"/>
  <c r="H1574" i="4"/>
  <c r="H1575" i="4"/>
  <c r="H1576" i="4"/>
  <c r="H1577" i="4"/>
  <c r="H1578" i="4"/>
  <c r="H1579" i="4"/>
  <c r="H1580" i="4"/>
  <c r="H1581" i="4"/>
  <c r="H1582" i="4"/>
  <c r="H1583" i="4"/>
  <c r="H1584" i="4"/>
  <c r="H1585" i="4"/>
  <c r="H1586" i="4"/>
  <c r="H1587" i="4"/>
  <c r="H1588" i="4"/>
  <c r="H1589" i="4"/>
  <c r="H1590" i="4"/>
  <c r="H1591" i="4"/>
  <c r="H1592" i="4"/>
  <c r="H1593" i="4"/>
  <c r="H1594" i="4"/>
  <c r="H1595" i="4"/>
  <c r="H1596" i="4"/>
  <c r="H1597" i="4"/>
  <c r="H1598" i="4"/>
  <c r="H1599" i="4"/>
  <c r="H1600" i="4"/>
  <c r="H1601" i="4"/>
  <c r="H1602" i="4"/>
  <c r="H1603" i="4"/>
  <c r="H1604" i="4"/>
  <c r="H1605" i="4"/>
  <c r="H1606" i="4"/>
  <c r="H1607" i="4"/>
  <c r="H1608" i="4"/>
  <c r="H1609" i="4"/>
  <c r="H1610" i="4"/>
  <c r="H1611" i="4"/>
  <c r="H1612" i="4"/>
  <c r="H1613" i="4"/>
  <c r="H1614" i="4"/>
  <c r="H1615" i="4"/>
  <c r="H1616" i="4"/>
  <c r="H1617" i="4"/>
  <c r="H1618" i="4"/>
  <c r="H1619" i="4"/>
  <c r="H1620" i="4"/>
  <c r="H1621" i="4"/>
  <c r="H1622" i="4"/>
  <c r="H1623" i="4"/>
  <c r="H1624" i="4"/>
  <c r="H1625" i="4"/>
  <c r="H1626" i="4"/>
  <c r="H1627" i="4"/>
  <c r="H1628" i="4"/>
  <c r="H1629" i="4"/>
  <c r="H1630" i="4"/>
  <c r="H1631" i="4"/>
  <c r="H1632" i="4"/>
  <c r="H1633" i="4"/>
  <c r="H1634" i="4"/>
  <c r="H1635" i="4"/>
  <c r="H1636" i="4"/>
  <c r="H1637" i="4"/>
  <c r="H1638" i="4"/>
  <c r="H1639" i="4"/>
  <c r="H1640" i="4"/>
  <c r="H1641" i="4"/>
  <c r="H1642" i="4"/>
  <c r="H1643" i="4"/>
  <c r="H1644" i="4"/>
  <c r="H1645" i="4"/>
  <c r="H1646" i="4"/>
  <c r="H1647" i="4"/>
  <c r="H1648" i="4"/>
  <c r="H1649" i="4"/>
  <c r="H1650" i="4"/>
  <c r="H1651" i="4"/>
  <c r="H1652" i="4"/>
  <c r="H1653" i="4"/>
  <c r="H1654" i="4"/>
  <c r="H1655" i="4"/>
  <c r="H1656" i="4"/>
  <c r="H1657" i="4"/>
  <c r="H1658" i="4"/>
  <c r="H1659" i="4"/>
  <c r="H1660" i="4"/>
  <c r="H1661" i="4"/>
  <c r="H1662" i="4"/>
  <c r="H1663" i="4"/>
  <c r="H1664" i="4"/>
  <c r="H1665" i="4"/>
  <c r="H1666" i="4"/>
  <c r="H1667" i="4"/>
  <c r="H1668" i="4"/>
  <c r="H1669" i="4"/>
  <c r="H1670" i="4"/>
  <c r="H1671" i="4"/>
  <c r="H1672" i="4"/>
  <c r="H1673" i="4"/>
  <c r="H1674" i="4"/>
  <c r="H1675" i="4"/>
  <c r="H1676" i="4"/>
  <c r="H1677" i="4"/>
  <c r="H1678" i="4"/>
  <c r="H1679" i="4"/>
  <c r="H1680" i="4"/>
  <c r="H1681" i="4"/>
  <c r="H1682" i="4"/>
  <c r="H1683" i="4"/>
  <c r="H1684" i="4"/>
  <c r="H1685" i="4"/>
  <c r="H1686" i="4"/>
  <c r="H1687" i="4"/>
  <c r="H1688" i="4"/>
  <c r="H1689" i="4"/>
  <c r="H1690" i="4"/>
  <c r="H1691" i="4"/>
  <c r="H1692" i="4"/>
  <c r="H1693" i="4"/>
  <c r="H1694" i="4"/>
  <c r="H1695" i="4"/>
  <c r="H1696" i="4"/>
  <c r="H1697" i="4"/>
  <c r="H1698" i="4"/>
  <c r="H1699" i="4"/>
  <c r="H1700" i="4"/>
  <c r="H1701" i="4"/>
  <c r="H1702" i="4"/>
  <c r="H1703" i="4"/>
  <c r="H1704" i="4"/>
  <c r="H1705" i="4"/>
  <c r="H1706" i="4"/>
  <c r="H1707" i="4"/>
  <c r="H1708" i="4"/>
  <c r="H1709" i="4"/>
  <c r="H1710" i="4"/>
  <c r="H1711" i="4"/>
  <c r="H1712" i="4"/>
  <c r="H1713" i="4"/>
  <c r="H1714" i="4"/>
  <c r="H1715" i="4"/>
  <c r="H1716" i="4"/>
  <c r="H1717" i="4"/>
  <c r="H1718" i="4"/>
  <c r="H1719" i="4"/>
  <c r="H1720" i="4"/>
  <c r="H1721" i="4"/>
  <c r="H1722" i="4"/>
  <c r="H1723" i="4"/>
  <c r="H1724" i="4"/>
  <c r="H1725" i="4"/>
  <c r="H1726" i="4"/>
  <c r="H1727" i="4"/>
  <c r="H1728" i="4"/>
  <c r="H1729" i="4"/>
  <c r="H1730" i="4"/>
  <c r="H1731" i="4"/>
  <c r="H1732" i="4"/>
  <c r="H1733" i="4"/>
  <c r="H1734" i="4"/>
  <c r="H1735" i="4"/>
  <c r="H1736" i="4"/>
  <c r="H1737" i="4"/>
  <c r="H1738" i="4"/>
  <c r="H1739" i="4"/>
  <c r="H1740" i="4"/>
  <c r="H1741" i="4"/>
  <c r="H1742" i="4"/>
  <c r="H1743" i="4"/>
  <c r="H1744" i="4"/>
  <c r="H1745" i="4"/>
  <c r="H1746" i="4"/>
  <c r="H1747" i="4"/>
  <c r="H1748" i="4"/>
  <c r="H1749" i="4"/>
  <c r="H1750" i="4"/>
  <c r="H1751" i="4"/>
  <c r="H1752" i="4"/>
  <c r="H1753" i="4"/>
  <c r="H1754" i="4"/>
  <c r="H1755" i="4"/>
  <c r="H1756" i="4"/>
  <c r="H1757" i="4"/>
  <c r="H1758" i="4"/>
  <c r="H1759" i="4"/>
  <c r="H1760" i="4"/>
  <c r="H1761" i="4"/>
  <c r="H1762" i="4"/>
  <c r="H1763" i="4"/>
  <c r="H1764" i="4"/>
  <c r="H1765" i="4"/>
  <c r="H1766" i="4"/>
  <c r="H1767" i="4"/>
  <c r="H1768" i="4"/>
  <c r="H1769" i="4"/>
  <c r="H1770" i="4"/>
  <c r="H1771" i="4"/>
  <c r="H1772" i="4"/>
  <c r="H1773" i="4"/>
  <c r="H1774" i="4"/>
  <c r="H1775" i="4"/>
  <c r="H1776" i="4"/>
  <c r="H1777" i="4"/>
  <c r="H1778" i="4"/>
  <c r="H1779" i="4"/>
  <c r="H1780" i="4"/>
  <c r="H1781" i="4"/>
  <c r="H1782" i="4"/>
  <c r="H1783" i="4"/>
  <c r="H1784" i="4"/>
  <c r="H1785" i="4"/>
  <c r="H1786" i="4"/>
  <c r="H1787" i="4"/>
  <c r="H1788" i="4"/>
  <c r="H1789" i="4"/>
  <c r="H1790" i="4"/>
  <c r="H1791" i="4"/>
  <c r="H1792" i="4"/>
  <c r="H1793" i="4"/>
  <c r="H1794" i="4"/>
  <c r="H1795" i="4"/>
  <c r="H1796" i="4"/>
  <c r="H1797" i="4"/>
  <c r="H1798" i="4"/>
  <c r="H1799" i="4"/>
  <c r="H1800" i="4"/>
  <c r="H1801" i="4"/>
  <c r="H1802" i="4"/>
  <c r="H1803" i="4"/>
  <c r="H1804" i="4"/>
  <c r="H1805" i="4"/>
  <c r="H1806" i="4"/>
  <c r="H1807" i="4"/>
  <c r="H1808" i="4"/>
  <c r="H1809" i="4"/>
  <c r="H1810" i="4"/>
  <c r="H1811" i="4"/>
  <c r="H1812" i="4"/>
  <c r="H1813" i="4"/>
  <c r="H1814" i="4"/>
  <c r="H1815" i="4"/>
  <c r="H1816" i="4"/>
  <c r="H1817" i="4"/>
  <c r="H1818" i="4"/>
  <c r="H1819" i="4"/>
  <c r="H1820" i="4"/>
  <c r="H1821" i="4"/>
  <c r="H1822" i="4"/>
  <c r="H1823" i="4"/>
  <c r="H1824" i="4"/>
  <c r="H1825" i="4"/>
  <c r="H1826" i="4"/>
  <c r="H1827" i="4"/>
  <c r="H1828" i="4"/>
  <c r="H1829" i="4"/>
  <c r="H1830" i="4"/>
  <c r="H1831" i="4"/>
  <c r="H1832" i="4"/>
  <c r="H1833" i="4"/>
  <c r="H1834" i="4"/>
  <c r="H1835" i="4"/>
  <c r="H1836" i="4"/>
  <c r="H1837" i="4"/>
  <c r="H1838" i="4"/>
  <c r="H1839" i="4"/>
  <c r="H1840" i="4"/>
  <c r="H1841" i="4"/>
  <c r="H1842" i="4"/>
  <c r="H1843" i="4"/>
  <c r="H1844" i="4"/>
  <c r="H1845" i="4"/>
  <c r="H1846" i="4"/>
  <c r="H1847" i="4"/>
  <c r="H1848" i="4"/>
  <c r="H1849" i="4"/>
  <c r="H1850" i="4"/>
  <c r="H1851" i="4"/>
  <c r="H1852" i="4"/>
  <c r="H1853" i="4"/>
  <c r="H1854" i="4"/>
  <c r="H1855" i="4"/>
  <c r="H1856" i="4"/>
  <c r="H1857" i="4"/>
  <c r="H1858" i="4"/>
  <c r="H1859" i="4"/>
  <c r="H1860" i="4"/>
  <c r="H1861" i="4"/>
  <c r="H1862" i="4"/>
  <c r="H1863" i="4"/>
  <c r="H1864" i="4"/>
  <c r="H1865" i="4"/>
  <c r="H1866" i="4"/>
  <c r="H1867" i="4"/>
  <c r="H1868" i="4"/>
  <c r="H1869" i="4"/>
  <c r="H1870" i="4"/>
  <c r="H1871" i="4"/>
  <c r="H1872" i="4"/>
  <c r="H1873" i="4"/>
  <c r="H1874" i="4"/>
  <c r="H1875" i="4"/>
  <c r="H1876" i="4"/>
  <c r="H1877" i="4"/>
  <c r="H1878" i="4"/>
  <c r="H1879" i="4"/>
  <c r="H1880" i="4"/>
  <c r="H1881" i="4"/>
  <c r="H1882" i="4"/>
  <c r="H1883" i="4"/>
  <c r="H1884" i="4"/>
  <c r="H1885" i="4"/>
  <c r="H1886" i="4"/>
  <c r="H1887" i="4"/>
  <c r="H1888" i="4"/>
  <c r="H1889" i="4"/>
  <c r="H1890" i="4"/>
  <c r="H1891" i="4"/>
  <c r="H1892" i="4"/>
  <c r="H1893" i="4"/>
  <c r="H1894" i="4"/>
  <c r="H1895" i="4"/>
  <c r="H1896" i="4"/>
  <c r="H1897" i="4"/>
  <c r="H1898" i="4"/>
  <c r="H1899" i="4"/>
  <c r="H1900" i="4"/>
  <c r="H1901" i="4"/>
  <c r="H1902" i="4"/>
  <c r="H1903" i="4"/>
  <c r="H1904" i="4"/>
  <c r="H1905" i="4"/>
  <c r="H1906" i="4"/>
  <c r="H1907" i="4"/>
  <c r="H1908" i="4"/>
  <c r="H1909" i="4"/>
  <c r="H1910" i="4"/>
  <c r="H1911" i="4"/>
  <c r="H1912" i="4"/>
  <c r="H1913" i="4"/>
  <c r="H1914" i="4"/>
  <c r="H1915" i="4"/>
  <c r="H1916" i="4"/>
  <c r="H1917" i="4"/>
  <c r="H1918" i="4"/>
  <c r="H1919" i="4"/>
  <c r="H1920" i="4"/>
  <c r="H1921" i="4"/>
  <c r="H1922" i="4"/>
  <c r="H1923" i="4"/>
  <c r="H1924" i="4"/>
  <c r="H1925" i="4"/>
  <c r="H1926" i="4"/>
  <c r="H1927" i="4"/>
  <c r="H1928" i="4"/>
  <c r="H1929" i="4"/>
  <c r="H1930" i="4"/>
  <c r="H1931" i="4"/>
  <c r="H1932" i="4"/>
  <c r="H1933" i="4"/>
  <c r="H1934" i="4"/>
  <c r="H1935" i="4"/>
  <c r="H1936" i="4"/>
  <c r="H1937" i="4"/>
  <c r="H1938" i="4"/>
  <c r="H1939" i="4"/>
  <c r="H1940" i="4"/>
  <c r="H1941" i="4"/>
  <c r="H1942" i="4"/>
  <c r="H1943" i="4"/>
  <c r="H1944" i="4"/>
  <c r="H1945" i="4"/>
  <c r="H1946" i="4"/>
  <c r="H1947" i="4"/>
  <c r="H1948" i="4"/>
  <c r="H1949" i="4"/>
  <c r="H1950" i="4"/>
  <c r="H1951" i="4"/>
  <c r="H1952" i="4"/>
  <c r="H1953" i="4"/>
  <c r="H1954" i="4"/>
  <c r="H1955" i="4"/>
  <c r="H1956" i="4"/>
  <c r="H1957" i="4"/>
  <c r="H1958" i="4"/>
  <c r="H1959" i="4"/>
  <c r="H1960" i="4"/>
  <c r="H1961" i="4"/>
  <c r="H1962" i="4"/>
  <c r="H1963" i="4"/>
  <c r="H1964" i="4"/>
  <c r="H1965" i="4"/>
  <c r="H1966" i="4"/>
  <c r="H1967" i="4"/>
  <c r="H1968" i="4"/>
  <c r="H1969" i="4"/>
  <c r="H1970" i="4"/>
  <c r="H1971" i="4"/>
  <c r="H1972" i="4"/>
  <c r="H1973" i="4"/>
  <c r="H1974" i="4"/>
  <c r="H1975" i="4"/>
  <c r="H1976" i="4"/>
  <c r="H1977" i="4"/>
  <c r="H1978" i="4"/>
  <c r="H1979" i="4"/>
  <c r="H1980" i="4"/>
  <c r="H1981" i="4"/>
  <c r="H1982" i="4"/>
  <c r="H1983" i="4"/>
  <c r="H1984" i="4"/>
  <c r="H1985" i="4"/>
  <c r="H1986" i="4"/>
  <c r="H1987" i="4"/>
  <c r="H1988" i="4"/>
  <c r="H1989" i="4"/>
  <c r="H1990" i="4"/>
  <c r="H1991" i="4"/>
  <c r="H1992" i="4"/>
  <c r="H1993" i="4"/>
  <c r="H1994" i="4"/>
  <c r="H1995" i="4"/>
  <c r="H1996" i="4"/>
  <c r="H1997" i="4"/>
  <c r="H1998" i="4"/>
  <c r="H1999" i="4"/>
  <c r="H2000" i="4"/>
  <c r="H2001" i="4"/>
  <c r="H2002" i="4"/>
  <c r="H2003" i="4"/>
  <c r="H2004" i="4"/>
  <c r="H2005" i="4"/>
  <c r="H2006" i="4"/>
  <c r="H2007" i="4"/>
  <c r="H2008" i="4"/>
  <c r="H2009" i="4"/>
  <c r="H2010" i="4"/>
  <c r="H2011" i="4"/>
  <c r="H2012" i="4"/>
  <c r="H2013" i="4"/>
  <c r="H2014" i="4"/>
  <c r="H2015" i="4"/>
  <c r="H2016" i="4"/>
  <c r="H2017" i="4"/>
  <c r="H2018" i="4"/>
  <c r="H2019" i="4"/>
  <c r="H2020" i="4"/>
  <c r="H2021" i="4"/>
  <c r="H2022" i="4"/>
  <c r="H2023" i="4"/>
  <c r="H2024" i="4"/>
  <c r="H2025" i="4"/>
  <c r="H2026" i="4"/>
  <c r="H2027" i="4"/>
  <c r="H2028" i="4"/>
  <c r="H2029" i="4"/>
  <c r="H2030" i="4"/>
  <c r="H2031" i="4"/>
  <c r="H2032" i="4"/>
  <c r="H2033" i="4"/>
  <c r="H2034" i="4"/>
  <c r="H2035" i="4"/>
  <c r="H2036" i="4"/>
  <c r="H2037" i="4"/>
  <c r="H2038" i="4"/>
  <c r="H2039" i="4"/>
  <c r="H2040" i="4"/>
  <c r="H2041" i="4"/>
  <c r="H2042" i="4"/>
  <c r="H2043" i="4"/>
  <c r="H2044" i="4"/>
  <c r="H2045" i="4"/>
  <c r="H2046" i="4"/>
  <c r="H2047" i="4"/>
  <c r="H2048" i="4"/>
  <c r="H2049" i="4"/>
  <c r="H2050" i="4"/>
  <c r="H2051" i="4"/>
  <c r="H2052" i="4"/>
  <c r="H2053" i="4"/>
  <c r="H2054" i="4"/>
  <c r="H2055" i="4"/>
  <c r="H2056" i="4"/>
  <c r="H2057" i="4"/>
  <c r="H2058" i="4"/>
  <c r="H2059" i="4"/>
  <c r="H2060" i="4"/>
  <c r="H2061" i="4"/>
  <c r="H2062" i="4"/>
  <c r="H2063" i="4"/>
  <c r="H2064" i="4"/>
  <c r="H2065" i="4"/>
  <c r="H2066" i="4"/>
  <c r="H2067" i="4"/>
  <c r="H2068" i="4"/>
  <c r="H2069" i="4"/>
  <c r="H2070" i="4"/>
  <c r="H2071" i="4"/>
  <c r="H2072" i="4"/>
  <c r="H2073" i="4"/>
  <c r="H2074" i="4"/>
  <c r="H2075" i="4"/>
  <c r="H2076" i="4"/>
  <c r="H2077" i="4"/>
  <c r="H2078" i="4"/>
  <c r="H2079" i="4"/>
  <c r="H2080" i="4"/>
  <c r="H2081" i="4"/>
  <c r="H2082" i="4"/>
  <c r="H2083" i="4"/>
  <c r="H2084" i="4"/>
  <c r="H2085" i="4"/>
  <c r="H2086" i="4"/>
  <c r="H2087" i="4"/>
  <c r="H2088" i="4"/>
  <c r="H2089" i="4"/>
  <c r="H2090" i="4"/>
  <c r="H2091" i="4"/>
  <c r="H2092" i="4"/>
  <c r="H2093" i="4"/>
  <c r="H2094" i="4"/>
  <c r="H2095" i="4"/>
  <c r="H2096" i="4"/>
  <c r="H2097" i="4"/>
  <c r="H2098" i="4"/>
  <c r="H2099" i="4"/>
  <c r="H2100" i="4"/>
  <c r="H2101" i="4"/>
  <c r="H2102" i="4"/>
  <c r="H2103" i="4"/>
  <c r="H2104" i="4"/>
  <c r="H2105" i="4"/>
  <c r="H2106" i="4"/>
  <c r="H2107" i="4"/>
  <c r="H2108" i="4"/>
  <c r="H2109" i="4"/>
  <c r="H2110" i="4"/>
  <c r="H2111" i="4"/>
  <c r="H2112" i="4"/>
  <c r="H2113" i="4"/>
  <c r="H2114" i="4"/>
  <c r="H2115" i="4"/>
  <c r="H2116" i="4"/>
  <c r="H2117" i="4"/>
  <c r="H2118" i="4"/>
  <c r="H2119" i="4"/>
  <c r="H2120" i="4"/>
  <c r="H2121" i="4"/>
  <c r="H2122" i="4"/>
  <c r="H2123" i="4"/>
  <c r="H2124" i="4"/>
  <c r="H2125" i="4"/>
  <c r="H2126" i="4"/>
  <c r="H2127" i="4"/>
  <c r="H2128" i="4"/>
  <c r="H2129" i="4"/>
  <c r="H2130" i="4"/>
  <c r="H2131" i="4"/>
  <c r="H2132" i="4"/>
  <c r="H2133" i="4"/>
  <c r="H2134" i="4"/>
  <c r="H2135" i="4"/>
  <c r="H2136" i="4"/>
  <c r="H2137" i="4"/>
  <c r="H2138" i="4"/>
  <c r="H2139" i="4"/>
  <c r="H2140" i="4"/>
  <c r="H2141" i="4"/>
  <c r="H2142" i="4"/>
  <c r="H2143" i="4"/>
  <c r="H2144" i="4"/>
  <c r="H2145" i="4"/>
  <c r="H2146" i="4"/>
  <c r="H2147" i="4"/>
  <c r="H2148" i="4"/>
  <c r="H2149" i="4"/>
  <c r="H2150" i="4"/>
  <c r="H2151" i="4"/>
  <c r="H2152" i="4"/>
  <c r="H2153" i="4"/>
  <c r="H2154" i="4"/>
  <c r="H2155" i="4"/>
  <c r="H2156" i="4"/>
  <c r="H2157" i="4"/>
  <c r="H2158" i="4"/>
  <c r="H2159" i="4"/>
  <c r="H2160" i="4"/>
  <c r="H2161" i="4"/>
  <c r="H2162" i="4"/>
  <c r="H2163" i="4"/>
  <c r="H2164" i="4"/>
  <c r="H2165" i="4"/>
  <c r="H2166" i="4"/>
  <c r="H2167" i="4"/>
  <c r="H2168" i="4"/>
  <c r="H2169" i="4"/>
  <c r="H2170" i="4"/>
  <c r="H2171" i="4"/>
  <c r="H2172" i="4"/>
  <c r="H2173" i="4"/>
  <c r="H2174" i="4"/>
  <c r="H2175" i="4"/>
  <c r="H2176" i="4"/>
  <c r="H2177" i="4"/>
  <c r="H2178" i="4"/>
  <c r="H2179" i="4"/>
  <c r="H2180" i="4"/>
  <c r="H2181" i="4"/>
  <c r="H2182" i="4"/>
  <c r="H2183" i="4"/>
  <c r="H2184" i="4"/>
  <c r="H2185" i="4"/>
  <c r="H2186" i="4"/>
  <c r="H2187" i="4"/>
  <c r="H2188" i="4"/>
  <c r="H2189" i="4"/>
  <c r="H2190" i="4"/>
  <c r="H2191" i="4"/>
  <c r="H2192" i="4"/>
  <c r="H2193" i="4"/>
  <c r="H2194" i="4"/>
  <c r="H2195" i="4"/>
  <c r="H2196" i="4"/>
  <c r="H2197" i="4"/>
  <c r="H2198" i="4"/>
  <c r="H2199" i="4"/>
  <c r="H2200" i="4"/>
  <c r="H2201" i="4"/>
  <c r="H2202" i="4"/>
  <c r="H2203" i="4"/>
  <c r="H2204" i="4"/>
  <c r="H2205" i="4"/>
  <c r="H2206" i="4"/>
  <c r="H2207" i="4"/>
  <c r="H2208" i="4"/>
  <c r="H2209" i="4"/>
  <c r="H2210" i="4"/>
  <c r="H2211" i="4"/>
  <c r="H2212" i="4"/>
  <c r="H2213" i="4"/>
  <c r="H2214" i="4"/>
  <c r="H2215" i="4"/>
  <c r="H2216" i="4"/>
  <c r="H2217" i="4"/>
  <c r="H2218" i="4"/>
  <c r="H2219" i="4"/>
  <c r="H2220" i="4"/>
  <c r="H2221" i="4"/>
  <c r="H2222" i="4"/>
  <c r="H2223" i="4"/>
  <c r="H2224" i="4"/>
  <c r="H2225" i="4"/>
  <c r="H2226" i="4"/>
  <c r="H2227" i="4"/>
  <c r="H2228" i="4"/>
  <c r="H2229" i="4"/>
  <c r="H2230" i="4"/>
  <c r="H2231" i="4"/>
  <c r="H2232" i="4"/>
  <c r="H2233" i="4"/>
  <c r="H2234" i="4"/>
  <c r="H2235" i="4"/>
  <c r="H2236" i="4"/>
  <c r="H2237" i="4"/>
  <c r="H2238" i="4"/>
  <c r="H2239" i="4"/>
  <c r="H2240" i="4"/>
  <c r="H2241" i="4"/>
  <c r="H2242" i="4"/>
  <c r="H2243" i="4"/>
  <c r="H2244" i="4"/>
  <c r="H2245" i="4"/>
  <c r="H2246" i="4"/>
  <c r="H2247" i="4"/>
  <c r="H2248" i="4"/>
  <c r="H2249" i="4"/>
  <c r="H2250" i="4"/>
  <c r="H2251" i="4"/>
  <c r="H2252" i="4"/>
  <c r="H2253" i="4"/>
  <c r="H2254" i="4"/>
  <c r="H2255" i="4"/>
  <c r="H2256" i="4"/>
  <c r="H2257" i="4"/>
  <c r="H2258" i="4"/>
  <c r="H2259" i="4"/>
  <c r="H2260" i="4"/>
  <c r="H2261" i="4"/>
  <c r="H2262" i="4"/>
  <c r="H2263" i="4"/>
  <c r="H2264" i="4"/>
  <c r="H2265" i="4"/>
  <c r="H2266" i="4"/>
  <c r="H2267" i="4"/>
  <c r="H2268" i="4"/>
  <c r="H2269" i="4"/>
  <c r="H2270" i="4"/>
  <c r="H2271" i="4"/>
  <c r="H2272" i="4"/>
  <c r="H2273" i="4"/>
  <c r="H2274" i="4"/>
  <c r="H2275" i="4"/>
  <c r="H2276" i="4"/>
  <c r="H2277" i="4"/>
  <c r="H2278" i="4"/>
  <c r="H2279" i="4"/>
  <c r="H2280" i="4"/>
  <c r="H2281" i="4"/>
  <c r="H2282" i="4"/>
  <c r="H2283" i="4"/>
  <c r="H2284" i="4"/>
  <c r="H2285" i="4"/>
  <c r="H2286" i="4"/>
  <c r="H2287" i="4"/>
  <c r="H2288" i="4"/>
  <c r="H2289" i="4"/>
  <c r="H2290" i="4"/>
  <c r="H2291" i="4"/>
  <c r="H2292" i="4"/>
  <c r="H2293" i="4"/>
  <c r="H2294" i="4"/>
  <c r="H2295" i="4"/>
  <c r="H2296" i="4"/>
  <c r="H2297" i="4"/>
  <c r="H2298" i="4"/>
  <c r="H2299" i="4"/>
  <c r="H2300" i="4"/>
  <c r="H2301" i="4"/>
  <c r="H2302" i="4"/>
  <c r="H2303" i="4"/>
  <c r="H2304" i="4"/>
  <c r="H2305" i="4"/>
  <c r="H2306" i="4"/>
  <c r="H2307" i="4"/>
  <c r="H2308" i="4"/>
  <c r="H2309" i="4"/>
  <c r="H2310" i="4"/>
  <c r="H2311" i="4"/>
  <c r="H2312" i="4"/>
  <c r="H2313" i="4"/>
  <c r="H2314" i="4"/>
  <c r="H2315" i="4"/>
  <c r="H2316" i="4"/>
  <c r="H2317" i="4"/>
  <c r="H2318" i="4"/>
  <c r="H2319" i="4"/>
  <c r="H2320" i="4"/>
  <c r="H2321" i="4"/>
  <c r="H2322" i="4"/>
  <c r="H2323" i="4"/>
  <c r="H2324" i="4"/>
  <c r="H2325" i="4"/>
  <c r="H2326" i="4"/>
  <c r="H2327" i="4"/>
  <c r="H2328" i="4"/>
  <c r="H2329" i="4"/>
  <c r="H2330" i="4"/>
  <c r="H2331" i="4"/>
  <c r="H2332" i="4"/>
  <c r="H2333" i="4"/>
  <c r="H2334" i="4"/>
  <c r="H2335" i="4"/>
  <c r="H2336" i="4"/>
  <c r="H2337" i="4"/>
  <c r="H2338" i="4"/>
  <c r="H2339" i="4"/>
  <c r="H2340" i="4"/>
  <c r="H2341" i="4"/>
  <c r="H2342" i="4"/>
  <c r="H2343" i="4"/>
  <c r="H2344" i="4"/>
  <c r="H2345" i="4"/>
  <c r="H2346" i="4"/>
  <c r="H2347" i="4"/>
  <c r="H2348" i="4"/>
  <c r="H2349" i="4"/>
  <c r="H2350" i="4"/>
  <c r="H2351" i="4"/>
  <c r="H2352" i="4"/>
  <c r="H2353" i="4"/>
  <c r="H2354" i="4"/>
  <c r="H2355" i="4"/>
  <c r="H2356" i="4"/>
  <c r="H2357" i="4"/>
  <c r="H2358" i="4"/>
  <c r="H2359" i="4"/>
  <c r="H2360" i="4"/>
  <c r="H2361" i="4"/>
  <c r="H2362" i="4"/>
  <c r="H2363" i="4"/>
  <c r="H2364" i="4"/>
  <c r="H2365" i="4"/>
  <c r="H2366" i="4"/>
  <c r="H2367" i="4"/>
  <c r="H2368" i="4"/>
  <c r="H2369" i="4"/>
  <c r="H2370" i="4"/>
  <c r="H2371" i="4"/>
  <c r="H2372" i="4"/>
  <c r="H2373" i="4"/>
  <c r="H2374" i="4"/>
  <c r="H2375" i="4"/>
  <c r="H2376" i="4"/>
  <c r="H2377" i="4"/>
  <c r="H2378" i="4"/>
  <c r="H2379" i="4"/>
  <c r="H2380" i="4"/>
  <c r="H2381" i="4"/>
  <c r="H2382" i="4"/>
  <c r="H2383" i="4"/>
  <c r="H2384" i="4"/>
  <c r="H2385" i="4"/>
  <c r="H2386" i="4"/>
  <c r="H2387" i="4"/>
  <c r="H2388" i="4"/>
  <c r="H2389" i="4"/>
  <c r="H2390" i="4"/>
  <c r="H2391" i="4"/>
  <c r="H2392" i="4"/>
  <c r="H2393" i="4"/>
  <c r="H2394" i="4"/>
  <c r="H2395" i="4"/>
  <c r="H2396" i="4"/>
  <c r="H2397" i="4"/>
  <c r="H2398" i="4"/>
  <c r="H2399" i="4"/>
  <c r="H2400" i="4"/>
  <c r="H2401" i="4"/>
  <c r="H2402" i="4"/>
  <c r="H2403" i="4"/>
  <c r="H2404" i="4"/>
  <c r="H2405" i="4"/>
  <c r="H2406" i="4"/>
  <c r="H2407" i="4"/>
  <c r="H2408" i="4"/>
  <c r="H2409" i="4"/>
  <c r="H2410" i="4"/>
  <c r="H2411" i="4"/>
  <c r="H2412" i="4"/>
  <c r="H2413" i="4"/>
  <c r="H2414" i="4"/>
  <c r="H2415" i="4"/>
  <c r="H2416" i="4"/>
  <c r="H2417" i="4"/>
  <c r="H2418" i="4"/>
  <c r="H2419" i="4"/>
  <c r="H2420" i="4"/>
  <c r="H2421" i="4"/>
  <c r="H2422" i="4"/>
  <c r="H2423" i="4"/>
  <c r="H2424" i="4"/>
  <c r="H2425" i="4"/>
  <c r="H2426" i="4"/>
  <c r="H2427" i="4"/>
  <c r="H2428" i="4"/>
  <c r="H2429" i="4"/>
  <c r="H2430" i="4"/>
  <c r="H2431" i="4"/>
  <c r="H2432" i="4"/>
  <c r="H2433" i="4"/>
  <c r="H2434" i="4"/>
  <c r="H2435" i="4"/>
  <c r="H2436" i="4"/>
  <c r="H2437" i="4"/>
  <c r="H2438" i="4"/>
  <c r="H2439" i="4"/>
  <c r="H2440" i="4"/>
  <c r="H2441" i="4"/>
  <c r="H2442" i="4"/>
  <c r="H2443" i="4"/>
  <c r="H2444" i="4"/>
  <c r="H2445" i="4"/>
  <c r="H2446" i="4"/>
  <c r="H2447" i="4"/>
  <c r="H2448" i="4"/>
  <c r="H2449" i="4"/>
  <c r="H2450" i="4"/>
  <c r="H2451" i="4"/>
  <c r="H2452" i="4"/>
  <c r="H2453" i="4"/>
  <c r="H2454" i="4"/>
  <c r="H2455" i="4"/>
  <c r="H2456" i="4"/>
  <c r="H2457" i="4"/>
  <c r="H2458" i="4"/>
  <c r="H2459" i="4"/>
  <c r="H2460" i="4"/>
  <c r="H2461" i="4"/>
  <c r="H2462" i="4"/>
  <c r="H2463" i="4"/>
  <c r="H2464" i="4"/>
  <c r="H2465" i="4"/>
  <c r="H2466" i="4"/>
  <c r="H2467" i="4"/>
  <c r="H2468" i="4"/>
  <c r="H2469" i="4"/>
  <c r="H2470" i="4"/>
  <c r="H2471" i="4"/>
  <c r="H2472" i="4"/>
  <c r="H2473" i="4"/>
  <c r="H2474" i="4"/>
  <c r="H2475" i="4"/>
  <c r="H2476" i="4"/>
  <c r="H2477" i="4"/>
  <c r="H2478" i="4"/>
  <c r="H2479" i="4"/>
  <c r="H2480" i="4"/>
  <c r="H2481" i="4"/>
  <c r="H2482" i="4"/>
  <c r="H2483" i="4"/>
  <c r="H2484" i="4"/>
  <c r="H2485" i="4"/>
  <c r="H2486" i="4"/>
  <c r="H2487" i="4"/>
  <c r="H2488" i="4"/>
  <c r="H2489" i="4"/>
  <c r="H2490" i="4"/>
  <c r="H2491" i="4"/>
  <c r="H2492" i="4"/>
  <c r="H2493" i="4"/>
  <c r="H2494" i="4"/>
  <c r="H2495" i="4"/>
  <c r="H2496" i="4"/>
  <c r="H2497" i="4"/>
  <c r="H2498" i="4"/>
  <c r="H2499" i="4"/>
  <c r="H2500" i="4"/>
  <c r="H2501" i="4"/>
  <c r="H2502" i="4"/>
  <c r="H2503" i="4"/>
  <c r="H2504" i="4"/>
  <c r="H2505" i="4"/>
  <c r="H2506" i="4"/>
  <c r="H2507" i="4"/>
  <c r="H2508" i="4"/>
  <c r="H2509" i="4"/>
  <c r="H2510" i="4"/>
  <c r="H2511" i="4"/>
  <c r="H2512" i="4"/>
  <c r="H2513" i="4"/>
  <c r="H2514" i="4"/>
  <c r="H2515" i="4"/>
  <c r="H2516" i="4"/>
  <c r="H2517" i="4"/>
  <c r="H2518" i="4"/>
  <c r="H2519" i="4"/>
  <c r="H2520" i="4"/>
  <c r="H2521" i="4"/>
  <c r="H2522" i="4"/>
  <c r="H2523" i="4"/>
  <c r="H2524" i="4"/>
  <c r="H2525" i="4"/>
  <c r="H2526" i="4"/>
  <c r="H2527" i="4"/>
  <c r="H2528" i="4"/>
  <c r="H2529" i="4"/>
  <c r="H2530" i="4"/>
  <c r="H2531" i="4"/>
  <c r="H2532" i="4"/>
  <c r="H2533" i="4"/>
  <c r="H2534" i="4"/>
  <c r="H2535" i="4"/>
  <c r="H2536" i="4"/>
  <c r="H2537" i="4"/>
  <c r="H2538" i="4"/>
  <c r="H2539" i="4"/>
  <c r="H2540" i="4"/>
  <c r="H2541" i="4"/>
  <c r="H2542" i="4"/>
  <c r="H2543" i="4"/>
  <c r="H2544" i="4"/>
  <c r="H2545" i="4"/>
  <c r="H2546" i="4"/>
  <c r="H2547" i="4"/>
  <c r="H2548" i="4"/>
  <c r="H2549" i="4"/>
  <c r="H2550" i="4"/>
  <c r="H2551" i="4"/>
  <c r="H2552" i="4"/>
  <c r="H2553" i="4"/>
  <c r="H2554" i="4"/>
  <c r="H2555" i="4"/>
  <c r="H2556" i="4"/>
  <c r="H2557" i="4"/>
  <c r="H2558" i="4"/>
  <c r="H2559" i="4"/>
  <c r="H2560" i="4"/>
  <c r="H2561" i="4"/>
  <c r="H2562" i="4"/>
  <c r="H2563" i="4"/>
  <c r="H2564" i="4"/>
  <c r="H2565" i="4"/>
  <c r="H2566" i="4"/>
  <c r="H2567" i="4"/>
  <c r="H2568" i="4"/>
  <c r="H2569" i="4"/>
  <c r="H2570" i="4"/>
  <c r="H2571" i="4"/>
  <c r="H2572" i="4"/>
  <c r="H2573" i="4"/>
  <c r="H2574" i="4"/>
  <c r="H2575" i="4"/>
  <c r="H2576" i="4"/>
  <c r="H2577" i="4"/>
  <c r="H2578" i="4"/>
  <c r="H2579" i="4"/>
  <c r="H2580" i="4"/>
  <c r="H2581" i="4"/>
  <c r="H2582" i="4"/>
  <c r="H2583" i="4"/>
  <c r="H2584" i="4"/>
  <c r="H2585" i="4"/>
  <c r="H2586" i="4"/>
  <c r="H2587" i="4"/>
  <c r="H2588" i="4"/>
  <c r="H2589" i="4"/>
  <c r="H2590" i="4"/>
  <c r="H2591" i="4"/>
  <c r="H2592" i="4"/>
  <c r="H2593" i="4"/>
  <c r="H2594" i="4"/>
  <c r="H2595" i="4"/>
  <c r="H2596" i="4"/>
  <c r="H2597" i="4"/>
  <c r="H2598" i="4"/>
  <c r="H2599" i="4"/>
  <c r="H2600" i="4"/>
  <c r="H2601" i="4"/>
  <c r="H2602" i="4"/>
  <c r="H2603" i="4"/>
  <c r="H2604" i="4"/>
  <c r="H2605" i="4"/>
  <c r="H2606" i="4"/>
  <c r="H2607" i="4"/>
  <c r="H2608" i="4"/>
  <c r="H2609" i="4"/>
  <c r="H2610" i="4"/>
  <c r="H2611" i="4"/>
  <c r="H2612" i="4"/>
  <c r="H2613" i="4"/>
  <c r="H2614" i="4"/>
  <c r="H2615" i="4"/>
  <c r="H2616" i="4"/>
  <c r="H2617" i="4"/>
  <c r="H2618" i="4"/>
  <c r="H2619" i="4"/>
  <c r="H2620" i="4"/>
  <c r="H2621" i="4"/>
  <c r="H2622" i="4"/>
  <c r="H2623" i="4"/>
  <c r="H2624" i="4"/>
  <c r="H2625" i="4"/>
  <c r="H2626" i="4"/>
  <c r="H2627" i="4"/>
  <c r="H2628" i="4"/>
  <c r="H2629" i="4"/>
  <c r="H2630" i="4"/>
  <c r="H2631" i="4"/>
  <c r="H2632" i="4"/>
  <c r="H2633" i="4"/>
  <c r="H2634" i="4"/>
  <c r="H2635" i="4"/>
  <c r="H2636" i="4"/>
  <c r="H2637" i="4"/>
  <c r="H2638" i="4"/>
  <c r="H2639" i="4"/>
  <c r="H2640" i="4"/>
  <c r="H2641" i="4"/>
  <c r="H2642" i="4"/>
  <c r="H2643" i="4"/>
  <c r="H2644" i="4"/>
  <c r="H2645" i="4"/>
  <c r="H2646" i="4"/>
  <c r="H2647" i="4"/>
  <c r="H2648" i="4"/>
  <c r="H2649" i="4"/>
  <c r="H2650" i="4"/>
  <c r="H2651" i="4"/>
  <c r="H2652" i="4"/>
  <c r="H2653" i="4"/>
  <c r="H2654" i="4"/>
  <c r="H2655" i="4"/>
  <c r="H2656" i="4"/>
  <c r="H2657" i="4"/>
  <c r="H2658" i="4"/>
  <c r="H2659" i="4"/>
  <c r="H2660" i="4"/>
  <c r="H2661" i="4"/>
  <c r="H2662" i="4"/>
  <c r="H2663" i="4"/>
  <c r="H2664" i="4"/>
  <c r="H2665" i="4"/>
  <c r="H2666" i="4"/>
  <c r="H2667" i="4"/>
  <c r="H2668" i="4"/>
  <c r="H2669" i="4"/>
  <c r="H2670" i="4"/>
  <c r="H2671" i="4"/>
  <c r="H2672" i="4"/>
  <c r="H2673" i="4"/>
  <c r="H2674" i="4"/>
  <c r="H2675" i="4"/>
  <c r="H2676" i="4"/>
  <c r="H2677" i="4"/>
  <c r="H2678" i="4"/>
  <c r="H2679" i="4"/>
  <c r="H2680" i="4"/>
  <c r="H2681" i="4"/>
  <c r="H2682" i="4"/>
  <c r="H2683" i="4"/>
  <c r="H2684" i="4"/>
  <c r="H2685" i="4"/>
  <c r="H2686" i="4"/>
  <c r="H2687" i="4"/>
  <c r="H2688" i="4"/>
  <c r="H2689" i="4"/>
  <c r="H2690" i="4"/>
  <c r="H2691" i="4"/>
  <c r="H2692" i="4"/>
  <c r="H2693" i="4"/>
  <c r="H2694" i="4"/>
  <c r="H2695" i="4"/>
  <c r="H2696" i="4"/>
  <c r="H2697" i="4"/>
  <c r="H2698" i="4"/>
  <c r="H2699" i="4"/>
  <c r="H2700" i="4"/>
  <c r="H2701" i="4"/>
  <c r="H2702" i="4"/>
  <c r="H2703" i="4"/>
  <c r="H2704" i="4"/>
  <c r="H2705" i="4"/>
  <c r="H2706" i="4"/>
  <c r="H2707" i="4"/>
  <c r="H2708" i="4"/>
  <c r="H2709" i="4"/>
  <c r="H2710" i="4"/>
  <c r="H2711" i="4"/>
  <c r="H2712" i="4"/>
  <c r="H2713" i="4"/>
  <c r="H2714" i="4"/>
  <c r="H2715" i="4"/>
  <c r="H2716" i="4"/>
  <c r="H2717" i="4"/>
  <c r="H2718" i="4"/>
  <c r="H2719" i="4"/>
  <c r="H2720" i="4"/>
  <c r="H2721" i="4"/>
  <c r="H2722" i="4"/>
  <c r="H2723" i="4"/>
  <c r="H2724" i="4"/>
  <c r="H2725" i="4"/>
  <c r="H2726" i="4"/>
  <c r="H2727" i="4"/>
  <c r="H2728" i="4"/>
  <c r="H2729" i="4"/>
  <c r="H2730" i="4"/>
  <c r="H2731" i="4"/>
  <c r="H2732" i="4"/>
  <c r="H2733" i="4"/>
  <c r="H2734" i="4"/>
  <c r="H2735" i="4"/>
  <c r="H2736" i="4"/>
  <c r="H2737" i="4"/>
  <c r="H2738" i="4"/>
  <c r="H2739" i="4"/>
  <c r="H2740" i="4"/>
  <c r="H2741" i="4"/>
  <c r="H2742" i="4"/>
  <c r="H2743" i="4"/>
  <c r="H2744" i="4"/>
  <c r="H2745" i="4"/>
  <c r="H2746" i="4"/>
  <c r="H2747" i="4"/>
  <c r="H2748" i="4"/>
  <c r="H2749" i="4"/>
  <c r="H2750" i="4"/>
  <c r="H2751" i="4"/>
  <c r="H2752" i="4"/>
  <c r="H2753" i="4"/>
  <c r="H2754" i="4"/>
  <c r="H2755" i="4"/>
  <c r="H2756" i="4"/>
  <c r="H2757" i="4"/>
  <c r="H2758" i="4"/>
  <c r="H2759" i="4"/>
  <c r="H2760" i="4"/>
  <c r="H2761" i="4"/>
  <c r="H2762" i="4"/>
  <c r="H2763" i="4"/>
  <c r="H2764" i="4"/>
  <c r="H2765" i="4"/>
  <c r="H2766" i="4"/>
  <c r="H2767" i="4"/>
  <c r="H2768" i="4"/>
  <c r="H2769" i="4"/>
  <c r="H2770" i="4"/>
  <c r="H2771" i="4"/>
  <c r="H2772" i="4"/>
  <c r="H2773" i="4"/>
  <c r="H2774" i="4"/>
  <c r="H2775" i="4"/>
  <c r="H2776" i="4"/>
  <c r="H2777" i="4"/>
  <c r="H2778" i="4"/>
  <c r="H2779" i="4"/>
  <c r="H2780" i="4"/>
  <c r="H2781" i="4"/>
  <c r="H2782" i="4"/>
  <c r="H2783" i="4"/>
  <c r="H2784" i="4"/>
  <c r="H2785" i="4"/>
  <c r="H2786" i="4"/>
  <c r="H2787" i="4"/>
  <c r="H2788" i="4"/>
  <c r="H2789" i="4"/>
  <c r="H2790" i="4"/>
  <c r="H2791" i="4"/>
  <c r="H2792" i="4"/>
  <c r="H2793" i="4"/>
  <c r="H2794" i="4"/>
  <c r="H2795" i="4"/>
  <c r="H2796" i="4"/>
  <c r="H2797" i="4"/>
  <c r="H2798" i="4"/>
  <c r="H2799" i="4"/>
  <c r="H2800" i="4"/>
  <c r="H2801" i="4"/>
  <c r="H2802" i="4"/>
  <c r="H2803" i="4"/>
  <c r="H2804" i="4"/>
  <c r="H2805" i="4"/>
  <c r="H2806" i="4"/>
  <c r="H2807" i="4"/>
  <c r="H2808" i="4"/>
  <c r="H2809" i="4"/>
  <c r="H2810" i="4"/>
  <c r="H2811" i="4"/>
  <c r="H2812" i="4"/>
  <c r="H2813" i="4"/>
  <c r="H2814" i="4"/>
  <c r="H2815" i="4"/>
  <c r="H2816" i="4"/>
  <c r="H2817" i="4"/>
  <c r="H2818" i="4"/>
  <c r="H2819" i="4"/>
  <c r="H2820" i="4"/>
  <c r="H2821" i="4"/>
  <c r="H2822" i="4"/>
  <c r="H2823" i="4"/>
  <c r="H2824" i="4"/>
  <c r="H2825" i="4"/>
  <c r="H2826" i="4"/>
  <c r="H2827" i="4"/>
  <c r="H2828" i="4"/>
  <c r="H2829" i="4"/>
  <c r="H2830" i="4"/>
  <c r="H2831" i="4"/>
  <c r="H2832" i="4"/>
  <c r="H2833" i="4"/>
  <c r="H2834" i="4"/>
  <c r="H2835" i="4"/>
  <c r="H2836" i="4"/>
  <c r="H2837" i="4"/>
  <c r="H2838" i="4"/>
  <c r="H2839" i="4"/>
  <c r="H2840" i="4"/>
  <c r="H2841" i="4"/>
  <c r="H2842" i="4"/>
  <c r="H2843" i="4"/>
  <c r="H2844" i="4"/>
  <c r="H2845" i="4"/>
  <c r="H2846" i="4"/>
  <c r="H2847" i="4"/>
  <c r="H2848" i="4"/>
  <c r="H2849" i="4"/>
  <c r="H2850" i="4"/>
  <c r="H2851" i="4"/>
  <c r="H2852" i="4"/>
  <c r="H2853" i="4"/>
  <c r="H2854" i="4"/>
  <c r="H2855" i="4"/>
  <c r="H2856" i="4"/>
  <c r="H2857" i="4"/>
  <c r="H2858" i="4"/>
  <c r="H2859" i="4"/>
  <c r="H2860" i="4"/>
  <c r="H2861" i="4"/>
  <c r="H2862" i="4"/>
  <c r="H2863" i="4"/>
  <c r="H2864" i="4"/>
  <c r="H2865" i="4"/>
  <c r="H2866" i="4"/>
  <c r="H2867" i="4"/>
  <c r="H2868" i="4"/>
  <c r="H2869" i="4"/>
  <c r="H2870" i="4"/>
  <c r="H2871" i="4"/>
  <c r="H2872" i="4"/>
  <c r="H2873" i="4"/>
  <c r="H2874" i="4"/>
  <c r="H2875" i="4"/>
  <c r="H2876" i="4"/>
  <c r="H2877" i="4"/>
  <c r="H2878" i="4"/>
  <c r="H2879" i="4"/>
  <c r="H2880" i="4"/>
  <c r="H2881" i="4"/>
  <c r="H2882" i="4"/>
  <c r="H2883" i="4"/>
  <c r="H2884" i="4"/>
  <c r="H2885" i="4"/>
  <c r="H2886" i="4"/>
  <c r="H2887" i="4"/>
  <c r="H2888" i="4"/>
  <c r="H2889" i="4"/>
  <c r="H2890" i="4"/>
  <c r="H2891" i="4"/>
  <c r="H2892" i="4"/>
  <c r="H2893" i="4"/>
  <c r="H2894" i="4"/>
  <c r="H2895" i="4"/>
  <c r="H2896" i="4"/>
  <c r="H2897" i="4"/>
  <c r="H2898" i="4"/>
  <c r="H2899" i="4"/>
  <c r="H2900" i="4"/>
  <c r="H2901" i="4"/>
  <c r="H2902" i="4"/>
  <c r="H2903" i="4"/>
  <c r="H2904" i="4"/>
  <c r="H2905" i="4"/>
  <c r="H2906" i="4"/>
  <c r="H2907" i="4"/>
  <c r="H2908" i="4"/>
  <c r="H2909" i="4"/>
  <c r="H2910" i="4"/>
  <c r="H2911" i="4"/>
  <c r="H2912" i="4"/>
  <c r="H2913" i="4"/>
  <c r="H2914" i="4"/>
  <c r="H2915" i="4"/>
  <c r="H2916" i="4"/>
  <c r="H2917" i="4"/>
  <c r="H2918" i="4"/>
  <c r="H2919" i="4"/>
  <c r="H2920" i="4"/>
  <c r="H2921" i="4"/>
  <c r="H2922" i="4"/>
  <c r="H2923" i="4"/>
  <c r="H2924" i="4"/>
  <c r="H2925" i="4"/>
  <c r="H2926" i="4"/>
  <c r="H2927" i="4"/>
  <c r="H2928" i="4"/>
  <c r="H2929" i="4"/>
  <c r="H2930" i="4"/>
  <c r="H2931" i="4"/>
  <c r="H2932" i="4"/>
  <c r="H2933" i="4"/>
  <c r="H2934" i="4"/>
  <c r="H2935" i="4"/>
  <c r="H2936" i="4"/>
  <c r="H2937" i="4"/>
  <c r="H2938" i="4"/>
  <c r="H2939" i="4"/>
  <c r="H2940" i="4"/>
  <c r="H2941" i="4"/>
  <c r="H2942" i="4"/>
  <c r="H2943" i="4"/>
  <c r="H2944" i="4"/>
  <c r="H2945" i="4"/>
  <c r="H2946" i="4"/>
  <c r="H2947" i="4"/>
  <c r="H2948" i="4"/>
  <c r="H2949" i="4"/>
  <c r="H2950" i="4"/>
  <c r="H2951" i="4"/>
  <c r="H2952" i="4"/>
  <c r="H2953" i="4"/>
  <c r="H2954" i="4"/>
  <c r="H2955" i="4"/>
  <c r="H2956" i="4"/>
  <c r="H2957" i="4"/>
  <c r="H2958" i="4"/>
  <c r="H2959" i="4"/>
  <c r="H2960" i="4"/>
  <c r="H2961" i="4"/>
  <c r="H2962" i="4"/>
  <c r="H2963" i="4"/>
  <c r="H2964" i="4"/>
  <c r="H2965" i="4"/>
  <c r="H2966" i="4"/>
  <c r="H2967" i="4"/>
  <c r="H2968" i="4"/>
  <c r="H2969" i="4"/>
  <c r="H2970" i="4"/>
  <c r="H2971" i="4"/>
  <c r="H2972" i="4"/>
  <c r="H2973" i="4"/>
  <c r="H2974" i="4"/>
  <c r="H2975" i="4"/>
  <c r="H2976" i="4"/>
  <c r="H2977" i="4"/>
  <c r="H2978" i="4"/>
  <c r="H2979" i="4"/>
  <c r="H2980" i="4"/>
  <c r="H2981" i="4"/>
  <c r="H2982" i="4"/>
  <c r="H2983" i="4"/>
  <c r="H2984" i="4"/>
  <c r="H2985" i="4"/>
  <c r="H2986" i="4"/>
  <c r="H2987" i="4"/>
  <c r="H2988" i="4"/>
  <c r="H2989" i="4"/>
  <c r="H2990" i="4"/>
  <c r="H2991" i="4"/>
  <c r="H2992" i="4"/>
  <c r="H2993" i="4"/>
  <c r="H2994" i="4"/>
  <c r="H2995" i="4"/>
  <c r="H2996" i="4"/>
  <c r="H2997" i="4"/>
  <c r="H2998" i="4"/>
  <c r="H2999" i="4"/>
  <c r="H3000" i="4"/>
  <c r="H3001" i="4"/>
  <c r="H3002" i="4"/>
  <c r="H3003" i="4"/>
  <c r="H3004" i="4"/>
  <c r="H3005" i="4"/>
  <c r="H3006" i="4"/>
  <c r="H3007" i="4"/>
  <c r="H3008" i="4"/>
  <c r="H3009" i="4"/>
  <c r="H3010" i="4"/>
  <c r="H3011" i="4"/>
  <c r="H3012" i="4"/>
  <c r="H3013" i="4"/>
  <c r="H3014" i="4"/>
  <c r="H3015" i="4"/>
  <c r="H3016" i="4"/>
  <c r="H3017" i="4"/>
  <c r="H3018" i="4"/>
  <c r="H3019" i="4"/>
  <c r="H3020" i="4"/>
  <c r="H3021" i="4"/>
  <c r="H3022" i="4"/>
  <c r="H3023" i="4"/>
  <c r="H3024" i="4"/>
  <c r="H3025" i="4"/>
  <c r="H3026" i="4"/>
  <c r="H3027" i="4"/>
  <c r="H3028" i="4"/>
  <c r="H3029" i="4"/>
  <c r="H3030" i="4"/>
  <c r="H3031" i="4"/>
  <c r="H3032" i="4"/>
  <c r="H3033" i="4"/>
  <c r="H3034" i="4"/>
  <c r="H3035" i="4"/>
  <c r="H3036" i="4"/>
  <c r="H3037" i="4"/>
  <c r="H3038" i="4"/>
  <c r="H3039" i="4"/>
  <c r="H3040" i="4"/>
  <c r="H3041" i="4"/>
  <c r="H3042" i="4"/>
  <c r="H3043" i="4"/>
  <c r="H3044" i="4"/>
  <c r="H3045" i="4"/>
  <c r="H3046" i="4"/>
  <c r="H3047" i="4"/>
  <c r="H3048" i="4"/>
  <c r="H3049" i="4"/>
  <c r="H3050" i="4"/>
  <c r="H3051" i="4"/>
  <c r="H3052" i="4"/>
  <c r="H3053" i="4"/>
  <c r="H3054" i="4"/>
  <c r="H3055" i="4"/>
  <c r="H3056" i="4"/>
  <c r="H3057" i="4"/>
  <c r="H3058" i="4"/>
  <c r="H3059" i="4"/>
  <c r="H3060" i="4"/>
  <c r="H3061" i="4"/>
  <c r="H3062" i="4"/>
  <c r="H3063" i="4"/>
  <c r="H3064" i="4"/>
  <c r="H3065" i="4"/>
  <c r="H3066" i="4"/>
  <c r="H3067" i="4"/>
  <c r="H3068" i="4"/>
  <c r="H3069" i="4"/>
  <c r="H3070" i="4"/>
  <c r="H3071" i="4"/>
  <c r="H3072" i="4"/>
  <c r="H3073" i="4"/>
  <c r="H3074" i="4"/>
  <c r="H3075" i="4"/>
  <c r="H3076" i="4"/>
  <c r="H3077" i="4"/>
  <c r="H3078" i="4"/>
  <c r="H3079" i="4"/>
  <c r="H3080" i="4"/>
  <c r="H3081" i="4"/>
  <c r="H3082" i="4"/>
  <c r="H3083" i="4"/>
  <c r="H3084" i="4"/>
  <c r="H3085" i="4"/>
  <c r="H3086" i="4"/>
  <c r="H3087" i="4"/>
  <c r="H3088" i="4"/>
  <c r="H3089" i="4"/>
  <c r="H3090" i="4"/>
  <c r="H3091" i="4"/>
  <c r="H3092" i="4"/>
  <c r="H3093" i="4"/>
  <c r="H3094" i="4"/>
  <c r="H3095" i="4"/>
  <c r="H3096" i="4"/>
  <c r="H3097" i="4"/>
  <c r="H3098" i="4"/>
  <c r="H3099" i="4"/>
  <c r="H3100" i="4"/>
  <c r="H3101" i="4"/>
  <c r="H3102" i="4"/>
  <c r="H3103" i="4"/>
  <c r="H3104" i="4"/>
  <c r="H3105" i="4"/>
  <c r="H3106" i="4"/>
  <c r="H3107" i="4"/>
  <c r="H3108" i="4"/>
  <c r="H3109" i="4"/>
  <c r="H3110" i="4"/>
  <c r="H3111" i="4"/>
  <c r="H3112" i="4"/>
  <c r="H3113" i="4"/>
  <c r="H3114" i="4"/>
  <c r="H3115" i="4"/>
  <c r="H3116" i="4"/>
  <c r="H3117" i="4"/>
  <c r="H3118" i="4"/>
  <c r="H3119" i="4"/>
  <c r="H3120" i="4"/>
  <c r="H3121" i="4"/>
  <c r="H3122" i="4"/>
  <c r="H3123" i="4"/>
  <c r="H3124" i="4"/>
  <c r="H3125" i="4"/>
  <c r="H3126" i="4"/>
  <c r="H3127" i="4"/>
  <c r="H3128" i="4"/>
  <c r="H3129" i="4"/>
  <c r="H3130" i="4"/>
  <c r="H3131" i="4"/>
  <c r="H3132" i="4"/>
  <c r="H3133" i="4"/>
  <c r="H3134" i="4"/>
  <c r="H3135" i="4"/>
  <c r="H3136" i="4"/>
  <c r="H3137" i="4"/>
  <c r="H3138" i="4"/>
  <c r="H3139" i="4"/>
  <c r="H3140" i="4"/>
  <c r="H3141" i="4"/>
  <c r="H3142" i="4"/>
  <c r="H3143" i="4"/>
  <c r="H3144" i="4"/>
  <c r="H3145" i="4"/>
  <c r="H3146" i="4"/>
  <c r="H3147" i="4"/>
  <c r="H3148" i="4"/>
  <c r="H3149" i="4"/>
  <c r="H3150" i="4"/>
  <c r="H3151" i="4"/>
  <c r="H3152" i="4"/>
  <c r="H3153" i="4"/>
  <c r="H3154" i="4"/>
  <c r="H3155" i="4"/>
  <c r="H3156" i="4"/>
  <c r="H3157" i="4"/>
  <c r="H3158" i="4"/>
  <c r="H3159" i="4"/>
  <c r="H3160" i="4"/>
  <c r="H3161" i="4"/>
  <c r="H3162" i="4"/>
  <c r="H3163" i="4"/>
  <c r="H3164" i="4"/>
  <c r="H3165" i="4"/>
  <c r="H3166" i="4"/>
  <c r="H3167" i="4"/>
  <c r="H3168" i="4"/>
  <c r="H3169" i="4"/>
  <c r="H3170" i="4"/>
  <c r="H3171" i="4"/>
  <c r="H3172" i="4"/>
  <c r="H3173" i="4"/>
  <c r="H3174" i="4"/>
  <c r="H3175" i="4"/>
  <c r="H3176" i="4"/>
  <c r="H3177" i="4"/>
  <c r="H3178" i="4"/>
  <c r="H3179" i="4"/>
  <c r="H3180" i="4"/>
  <c r="H3181" i="4"/>
  <c r="H3182" i="4"/>
  <c r="H3183" i="4"/>
  <c r="H3184" i="4"/>
  <c r="H3185" i="4"/>
  <c r="H3186" i="4"/>
  <c r="H3187" i="4"/>
  <c r="H3188" i="4"/>
  <c r="H3189" i="4"/>
  <c r="H3190" i="4"/>
  <c r="H3191" i="4"/>
  <c r="H3192" i="4"/>
  <c r="H3193" i="4"/>
  <c r="H3194" i="4"/>
  <c r="H3195" i="4"/>
  <c r="H3196" i="4"/>
  <c r="H3197" i="4"/>
  <c r="H3198" i="4"/>
  <c r="H3199" i="4"/>
  <c r="H3200" i="4"/>
  <c r="H3201" i="4"/>
  <c r="H3202" i="4"/>
  <c r="H3203" i="4"/>
  <c r="H3204" i="4"/>
  <c r="H3205" i="4"/>
  <c r="H3206" i="4"/>
  <c r="H3207" i="4"/>
  <c r="H3208" i="4"/>
  <c r="H3209" i="4"/>
  <c r="H3210" i="4"/>
  <c r="H3211" i="4"/>
  <c r="H3212" i="4"/>
  <c r="H3213" i="4"/>
  <c r="H3214" i="4"/>
  <c r="H3215" i="4"/>
  <c r="H3216" i="4"/>
  <c r="H3217" i="4"/>
  <c r="H3218" i="4"/>
  <c r="H3219" i="4"/>
  <c r="H3220" i="4"/>
  <c r="H3221" i="4"/>
  <c r="H3222" i="4"/>
  <c r="H3223" i="4"/>
  <c r="H3224" i="4"/>
  <c r="H3225" i="4"/>
  <c r="H3226" i="4"/>
  <c r="H3227" i="4"/>
  <c r="H3228" i="4"/>
  <c r="H3229" i="4"/>
  <c r="H3230" i="4"/>
  <c r="H3231" i="4"/>
  <c r="H3232" i="4"/>
  <c r="H3233" i="4"/>
  <c r="H3234" i="4"/>
  <c r="H3235" i="4"/>
  <c r="H3236" i="4"/>
  <c r="H3237" i="4"/>
  <c r="H3238" i="4"/>
  <c r="H3239" i="4"/>
  <c r="H3240" i="4"/>
  <c r="H3241" i="4"/>
  <c r="H3242" i="4"/>
  <c r="H3243" i="4"/>
  <c r="H3244" i="4"/>
  <c r="H3245" i="4"/>
  <c r="H3246" i="4"/>
  <c r="H3247" i="4"/>
  <c r="H3248" i="4"/>
  <c r="H3249" i="4"/>
  <c r="H3250" i="4"/>
  <c r="H3251" i="4"/>
  <c r="H3252" i="4"/>
  <c r="H3253" i="4"/>
  <c r="H3254" i="4"/>
  <c r="H3255" i="4"/>
  <c r="H3256" i="4"/>
  <c r="H3257" i="4"/>
  <c r="H3258" i="4"/>
  <c r="H3259" i="4"/>
  <c r="H3260" i="4"/>
  <c r="H3261" i="4"/>
  <c r="H3262" i="4"/>
  <c r="H3263" i="4"/>
  <c r="H3264" i="4"/>
  <c r="H3265" i="4"/>
  <c r="H3266" i="4"/>
  <c r="H3267" i="4"/>
  <c r="H3268" i="4"/>
  <c r="H3269" i="4"/>
  <c r="H3270" i="4"/>
  <c r="H3271" i="4"/>
  <c r="H3272" i="4"/>
  <c r="H3273" i="4"/>
  <c r="H3274" i="4"/>
  <c r="H3275" i="4"/>
  <c r="H3276" i="4"/>
  <c r="H3277" i="4"/>
  <c r="H3278" i="4"/>
  <c r="H3279" i="4"/>
  <c r="H3280" i="4"/>
  <c r="H3281" i="4"/>
  <c r="H3282" i="4"/>
  <c r="H3283" i="4"/>
  <c r="H3284" i="4"/>
  <c r="H3285" i="4"/>
  <c r="H3286" i="4"/>
  <c r="H3287" i="4"/>
  <c r="H3288" i="4"/>
  <c r="H3289" i="4"/>
  <c r="H3290" i="4"/>
  <c r="H3291" i="4"/>
  <c r="H3292" i="4"/>
  <c r="H3293" i="4"/>
  <c r="H3294" i="4"/>
  <c r="H3295" i="4"/>
  <c r="H3296" i="4"/>
  <c r="H3297" i="4"/>
  <c r="H3298" i="4"/>
  <c r="H3299" i="4"/>
  <c r="H3300" i="4"/>
  <c r="H3301" i="4"/>
  <c r="H3302" i="4"/>
  <c r="H3303" i="4"/>
  <c r="H3304" i="4"/>
  <c r="H3305" i="4"/>
  <c r="H3306" i="4"/>
  <c r="H3307" i="4"/>
  <c r="H3308" i="4"/>
  <c r="H3309" i="4"/>
  <c r="H3310" i="4"/>
  <c r="H3311" i="4"/>
  <c r="H3312" i="4"/>
  <c r="H3313" i="4"/>
  <c r="H3314" i="4"/>
  <c r="H3315" i="4"/>
  <c r="H3316" i="4"/>
  <c r="H3317" i="4"/>
  <c r="H3318" i="4"/>
  <c r="H3319" i="4"/>
  <c r="H3320" i="4"/>
  <c r="H3321" i="4"/>
  <c r="H3322" i="4"/>
  <c r="H3323" i="4"/>
  <c r="H3324" i="4"/>
  <c r="H3325" i="4"/>
  <c r="H3326" i="4"/>
  <c r="H3327" i="4"/>
  <c r="H3328" i="4"/>
  <c r="H3329" i="4"/>
  <c r="H3330" i="4"/>
  <c r="H3331" i="4"/>
  <c r="H3332" i="4"/>
  <c r="H3333" i="4"/>
  <c r="H3334" i="4"/>
  <c r="H3335" i="4"/>
  <c r="H3336" i="4"/>
  <c r="H3337" i="4"/>
  <c r="H3338" i="4"/>
  <c r="H3339" i="4"/>
  <c r="H3340" i="4"/>
  <c r="H3341" i="4"/>
  <c r="H3342" i="4"/>
  <c r="H3343" i="4"/>
  <c r="H3344" i="4"/>
  <c r="H3345" i="4"/>
  <c r="H3346" i="4"/>
  <c r="H3347" i="4"/>
  <c r="H3348" i="4"/>
  <c r="H3349" i="4"/>
  <c r="H3350" i="4"/>
  <c r="H3351" i="4"/>
  <c r="H3352" i="4"/>
  <c r="H3353" i="4"/>
  <c r="H3354" i="4"/>
  <c r="H3355" i="4"/>
  <c r="H3356" i="4"/>
  <c r="H3357" i="4"/>
  <c r="H3358" i="4"/>
  <c r="H3359" i="4"/>
  <c r="H3360" i="4"/>
  <c r="H3361" i="4"/>
  <c r="H3362" i="4"/>
  <c r="H3363" i="4"/>
  <c r="H3364" i="4"/>
  <c r="H3365" i="4"/>
  <c r="H3366" i="4"/>
  <c r="H3367" i="4"/>
  <c r="H3368" i="4"/>
  <c r="H3369" i="4"/>
  <c r="H3370" i="4"/>
  <c r="H3371" i="4"/>
  <c r="H3372" i="4"/>
  <c r="H3373" i="4"/>
  <c r="H3374" i="4"/>
  <c r="H3375" i="4"/>
  <c r="H3376" i="4"/>
  <c r="H3377" i="4"/>
  <c r="H3378" i="4"/>
  <c r="H3379" i="4"/>
  <c r="H3380" i="4"/>
  <c r="H3381" i="4"/>
  <c r="H3382" i="4"/>
  <c r="H3383" i="4"/>
  <c r="H3384" i="4"/>
  <c r="H3385" i="4"/>
  <c r="H3386" i="4"/>
  <c r="H3387" i="4"/>
  <c r="H3388" i="4"/>
  <c r="H3389" i="4"/>
  <c r="H3390" i="4"/>
  <c r="H3391" i="4"/>
  <c r="H3392" i="4"/>
  <c r="H3393" i="4"/>
  <c r="H3394" i="4"/>
  <c r="H3395" i="4"/>
  <c r="H3396" i="4"/>
  <c r="H3397" i="4"/>
  <c r="H3398" i="4"/>
  <c r="H3399" i="4"/>
  <c r="H3400" i="4"/>
  <c r="H3401" i="4"/>
  <c r="H3402" i="4"/>
  <c r="H3403" i="4"/>
  <c r="H3404" i="4"/>
  <c r="H3405" i="4"/>
  <c r="H3406" i="4"/>
  <c r="H3407" i="4"/>
  <c r="H3408" i="4"/>
  <c r="H3409" i="4"/>
  <c r="H3410" i="4"/>
  <c r="H3411" i="4"/>
  <c r="H3412" i="4"/>
  <c r="H3413" i="4"/>
  <c r="H3414" i="4"/>
  <c r="H3415" i="4"/>
  <c r="H3416" i="4"/>
  <c r="H3417" i="4"/>
  <c r="H3418" i="4"/>
  <c r="H3419" i="4"/>
  <c r="H3420" i="4"/>
  <c r="H3421" i="4"/>
  <c r="H3422" i="4"/>
  <c r="H3423" i="4"/>
  <c r="H3424" i="4"/>
  <c r="H3425" i="4"/>
  <c r="H3426" i="4"/>
  <c r="H3427" i="4"/>
  <c r="H3428" i="4"/>
  <c r="H3429" i="4"/>
  <c r="H3430" i="4"/>
  <c r="H3431" i="4"/>
  <c r="H3432" i="4"/>
  <c r="H3433" i="4"/>
  <c r="H3434" i="4"/>
  <c r="H3435" i="4"/>
  <c r="H3436" i="4"/>
  <c r="H3437" i="4"/>
  <c r="H3438" i="4"/>
  <c r="H3439" i="4"/>
  <c r="H3440" i="4"/>
  <c r="H3441" i="4"/>
  <c r="H3442" i="4"/>
  <c r="H3443" i="4"/>
  <c r="H3444" i="4"/>
  <c r="H3445" i="4"/>
  <c r="H3446" i="4"/>
  <c r="H3447" i="4"/>
  <c r="H3448" i="4"/>
  <c r="H3449" i="4"/>
  <c r="H3450" i="4"/>
  <c r="H3451" i="4"/>
  <c r="H3452" i="4"/>
  <c r="H3453" i="4"/>
  <c r="H3454" i="4"/>
  <c r="H3455" i="4"/>
  <c r="H3456" i="4"/>
  <c r="H3457" i="4"/>
  <c r="H3458" i="4"/>
  <c r="H3459" i="4"/>
  <c r="H3460" i="4"/>
  <c r="H3461" i="4"/>
  <c r="H3462" i="4"/>
  <c r="H3463" i="4"/>
  <c r="H3464" i="4"/>
  <c r="H3465" i="4"/>
  <c r="H3466" i="4"/>
  <c r="H3467" i="4"/>
  <c r="H3468" i="4"/>
  <c r="H3469" i="4"/>
  <c r="H3470" i="4"/>
  <c r="H3471" i="4"/>
  <c r="H3472" i="4"/>
  <c r="H3473" i="4"/>
  <c r="H3474" i="4"/>
  <c r="H3475" i="4"/>
  <c r="H3476" i="4"/>
  <c r="H3477" i="4"/>
  <c r="H3478" i="4"/>
  <c r="H3479" i="4"/>
  <c r="H3480" i="4"/>
  <c r="H3481" i="4"/>
  <c r="H3482" i="4"/>
  <c r="H3483" i="4"/>
  <c r="H3484" i="4"/>
  <c r="H3485" i="4"/>
  <c r="H3486" i="4"/>
  <c r="H3487" i="4"/>
  <c r="H3488" i="4"/>
  <c r="H3489" i="4"/>
  <c r="H3490" i="4"/>
  <c r="H3491" i="4"/>
  <c r="H3492" i="4"/>
  <c r="H3493" i="4"/>
  <c r="H3494" i="4"/>
  <c r="H3495" i="4"/>
  <c r="H3496" i="4"/>
  <c r="H3497" i="4"/>
  <c r="H3498" i="4"/>
  <c r="H3499" i="4"/>
  <c r="H3500" i="4"/>
  <c r="H3501" i="4"/>
  <c r="H3502" i="4"/>
  <c r="H3503" i="4"/>
  <c r="H3504" i="4"/>
  <c r="H3505" i="4"/>
  <c r="H3506" i="4"/>
  <c r="H3507" i="4"/>
  <c r="H3508" i="4"/>
  <c r="H3509" i="4"/>
  <c r="H3510" i="4"/>
  <c r="H3511" i="4"/>
  <c r="H3512" i="4"/>
  <c r="H3513" i="4"/>
  <c r="H3514" i="4"/>
  <c r="H3515" i="4"/>
  <c r="H3516" i="4"/>
  <c r="H3517" i="4"/>
  <c r="H3518" i="4"/>
  <c r="H3519" i="4"/>
  <c r="H3520" i="4"/>
  <c r="H3521" i="4"/>
  <c r="H3522" i="4"/>
  <c r="H3523" i="4"/>
  <c r="H3524" i="4"/>
  <c r="H3525" i="4"/>
  <c r="H3526" i="4"/>
  <c r="H3527" i="4"/>
  <c r="H3528" i="4"/>
  <c r="H3529" i="4"/>
  <c r="H3530" i="4"/>
  <c r="H3531" i="4"/>
  <c r="H3532" i="4"/>
  <c r="H3533" i="4"/>
  <c r="H3534" i="4"/>
  <c r="H3535" i="4"/>
  <c r="H3536" i="4"/>
  <c r="H3537" i="4"/>
  <c r="H3538" i="4"/>
  <c r="H3539" i="4"/>
  <c r="H3540" i="4"/>
  <c r="H3541" i="4"/>
  <c r="H3542" i="4"/>
  <c r="H3543" i="4"/>
  <c r="H3544" i="4"/>
  <c r="H3545" i="4"/>
  <c r="H3546" i="4"/>
  <c r="H3547" i="4"/>
  <c r="H3548" i="4"/>
  <c r="H3549" i="4"/>
  <c r="H3550" i="4"/>
  <c r="H3551" i="4"/>
  <c r="H3552" i="4"/>
  <c r="H3553" i="4"/>
  <c r="H3554" i="4"/>
  <c r="H3555" i="4"/>
  <c r="H3556" i="4"/>
  <c r="H3557" i="4"/>
  <c r="H3558" i="4"/>
  <c r="H3559" i="4"/>
  <c r="H3560" i="4"/>
  <c r="H3561" i="4"/>
  <c r="H3562" i="4"/>
  <c r="H3563" i="4"/>
  <c r="H3564" i="4"/>
  <c r="H3565" i="4"/>
  <c r="H3566" i="4"/>
  <c r="H3567" i="4"/>
  <c r="H3568" i="4"/>
  <c r="H3569" i="4"/>
  <c r="H3570" i="4"/>
  <c r="H3571" i="4"/>
  <c r="H3572" i="4"/>
  <c r="H3573" i="4"/>
  <c r="H3574" i="4"/>
  <c r="H3575" i="4"/>
  <c r="H3576" i="4"/>
  <c r="H3577" i="4"/>
  <c r="H3578" i="4"/>
  <c r="H3579" i="4"/>
  <c r="H3580" i="4"/>
  <c r="H3581" i="4"/>
  <c r="H3582" i="4"/>
  <c r="H3583" i="4"/>
  <c r="H3584" i="4"/>
  <c r="H3585" i="4"/>
  <c r="H3586" i="4"/>
  <c r="H3587" i="4"/>
  <c r="H3588" i="4"/>
  <c r="H3589" i="4"/>
  <c r="H3590" i="4"/>
  <c r="H3591" i="4"/>
  <c r="H3592" i="4"/>
  <c r="H3593" i="4"/>
  <c r="H3594" i="4"/>
  <c r="H3595" i="4"/>
  <c r="H3596" i="4"/>
  <c r="H3597" i="4"/>
  <c r="H3598" i="4"/>
  <c r="H3599" i="4"/>
  <c r="H3600" i="4"/>
  <c r="H3601" i="4"/>
  <c r="H3602" i="4"/>
  <c r="H3603" i="4"/>
  <c r="H3604" i="4"/>
  <c r="H3605" i="4"/>
  <c r="H3606" i="4"/>
  <c r="H3607" i="4"/>
  <c r="H3608" i="4"/>
  <c r="H3609" i="4"/>
  <c r="H3610" i="4"/>
  <c r="H3611" i="4"/>
  <c r="H3612" i="4"/>
  <c r="H3613" i="4"/>
  <c r="H3614" i="4"/>
  <c r="H3615" i="4"/>
  <c r="H3616" i="4"/>
  <c r="H3617" i="4"/>
  <c r="H3618" i="4"/>
  <c r="H3619" i="4"/>
  <c r="H3620" i="4"/>
  <c r="H3621" i="4"/>
  <c r="H3622" i="4"/>
  <c r="H3623" i="4"/>
  <c r="H3624" i="4"/>
  <c r="H3625" i="4"/>
  <c r="H3626" i="4"/>
  <c r="H3627" i="4"/>
  <c r="H3628" i="4"/>
  <c r="H3629" i="4"/>
  <c r="H3630" i="4"/>
  <c r="H3631" i="4"/>
  <c r="H3632" i="4"/>
  <c r="H3633" i="4"/>
  <c r="H3634" i="4"/>
  <c r="H3635" i="4"/>
  <c r="H3636" i="4"/>
  <c r="H3637" i="4"/>
  <c r="H3638" i="4"/>
  <c r="H3639" i="4"/>
  <c r="H3640" i="4"/>
  <c r="H3641" i="4"/>
  <c r="H3642" i="4"/>
  <c r="H3643" i="4"/>
  <c r="H3644" i="4"/>
  <c r="H3645" i="4"/>
  <c r="H3646" i="4"/>
  <c r="H3647" i="4"/>
  <c r="H3648" i="4"/>
  <c r="H3649" i="4"/>
  <c r="H3650" i="4"/>
  <c r="H3651" i="4"/>
  <c r="H3652" i="4"/>
  <c r="H3653" i="4"/>
  <c r="H3654" i="4"/>
  <c r="H3655" i="4"/>
  <c r="H3656" i="4"/>
  <c r="H3657" i="4"/>
  <c r="H3658" i="4"/>
  <c r="H3659" i="4"/>
  <c r="H3660" i="4"/>
  <c r="H3661" i="4"/>
  <c r="H3662" i="4"/>
  <c r="H3663" i="4"/>
  <c r="H3664" i="4"/>
  <c r="H3665" i="4"/>
  <c r="H3666" i="4"/>
  <c r="H3667" i="4"/>
  <c r="H3668" i="4"/>
  <c r="H3669" i="4"/>
  <c r="H3670" i="4"/>
  <c r="H3671" i="4"/>
  <c r="H3672" i="4"/>
  <c r="H3673" i="4"/>
  <c r="H3674" i="4"/>
  <c r="H3675" i="4"/>
  <c r="H3676" i="4"/>
  <c r="H3677" i="4"/>
  <c r="H3678" i="4"/>
  <c r="H3679" i="4"/>
  <c r="H3680" i="4"/>
  <c r="H3681" i="4"/>
  <c r="H3682" i="4"/>
  <c r="H3683" i="4"/>
  <c r="H3684" i="4"/>
  <c r="H3685" i="4"/>
  <c r="H3686" i="4"/>
  <c r="H3687" i="4"/>
  <c r="H3688" i="4"/>
  <c r="H3689" i="4"/>
  <c r="H3690" i="4"/>
  <c r="H3691" i="4"/>
  <c r="H3692" i="4"/>
  <c r="H3693" i="4"/>
  <c r="H3694" i="4"/>
  <c r="H3695" i="4"/>
  <c r="H3696" i="4"/>
  <c r="H3697" i="4"/>
  <c r="H3698" i="4"/>
  <c r="H3699" i="4"/>
  <c r="H3700" i="4"/>
  <c r="H3701" i="4"/>
  <c r="H3702" i="4"/>
  <c r="H3703" i="4"/>
  <c r="H3704" i="4"/>
  <c r="H3705" i="4"/>
  <c r="H3706" i="4"/>
  <c r="H3707" i="4"/>
  <c r="H3708" i="4"/>
  <c r="H3709" i="4"/>
  <c r="H3710" i="4"/>
  <c r="H3711" i="4"/>
  <c r="H3712" i="4"/>
  <c r="H3713" i="4"/>
  <c r="H3714" i="4"/>
  <c r="H3715" i="4"/>
  <c r="H3716" i="4"/>
  <c r="H3717" i="4"/>
  <c r="H3718" i="4"/>
  <c r="H3719" i="4"/>
  <c r="H3720" i="4"/>
  <c r="H3721" i="4"/>
  <c r="H3722" i="4"/>
  <c r="H3723" i="4"/>
  <c r="H3724" i="4"/>
  <c r="H3725" i="4"/>
  <c r="H3726" i="4"/>
  <c r="H3727" i="4"/>
  <c r="H3728" i="4"/>
  <c r="H3729" i="4"/>
  <c r="H3730" i="4"/>
  <c r="H3731" i="4"/>
  <c r="H3732" i="4"/>
  <c r="H3733" i="4"/>
  <c r="H3734" i="4"/>
  <c r="H3735" i="4"/>
  <c r="H3736" i="4"/>
  <c r="H3737" i="4"/>
  <c r="H3738" i="4"/>
  <c r="H3739" i="4"/>
  <c r="H3740" i="4"/>
  <c r="H3741" i="4"/>
  <c r="H3742" i="4"/>
  <c r="H3743" i="4"/>
  <c r="H3744" i="4"/>
  <c r="H3745" i="4"/>
  <c r="H3746" i="4"/>
  <c r="H3747" i="4"/>
  <c r="H3748" i="4"/>
  <c r="H3749" i="4"/>
  <c r="H3750" i="4"/>
  <c r="H3751" i="4"/>
  <c r="H3752" i="4"/>
  <c r="H3753" i="4"/>
  <c r="H3754" i="4"/>
  <c r="H3755" i="4"/>
  <c r="H3756" i="4"/>
  <c r="H3757" i="4"/>
  <c r="H3758" i="4"/>
  <c r="H3759" i="4"/>
  <c r="H3760" i="4"/>
  <c r="H3761" i="4"/>
  <c r="H3762" i="4"/>
  <c r="H3763" i="4"/>
  <c r="H3764" i="4"/>
  <c r="H3765" i="4"/>
  <c r="H3766" i="4"/>
  <c r="H3767" i="4"/>
  <c r="H3768" i="4"/>
  <c r="H3769" i="4"/>
  <c r="H3770" i="4"/>
  <c r="H3771" i="4"/>
  <c r="H3772" i="4"/>
  <c r="H3773" i="4"/>
  <c r="H3774" i="4"/>
  <c r="H3775" i="4"/>
  <c r="H3776" i="4"/>
  <c r="H3777" i="4"/>
  <c r="H3778" i="4"/>
  <c r="H3779" i="4"/>
  <c r="H3780" i="4"/>
  <c r="H3781" i="4"/>
  <c r="H3782" i="4"/>
  <c r="H3783" i="4"/>
  <c r="H3784" i="4"/>
  <c r="H3785" i="4"/>
  <c r="H3786" i="4"/>
  <c r="H3787" i="4"/>
  <c r="H3788" i="4"/>
  <c r="H3789" i="4"/>
  <c r="H3790" i="4"/>
  <c r="H3791" i="4"/>
  <c r="H3792" i="4"/>
  <c r="H3793" i="4"/>
  <c r="H3794" i="4"/>
  <c r="H3795" i="4"/>
  <c r="H3796" i="4"/>
  <c r="H3797" i="4"/>
  <c r="H3798" i="4"/>
  <c r="H3799" i="4"/>
  <c r="H3800" i="4"/>
  <c r="H3801" i="4"/>
  <c r="H3802" i="4"/>
  <c r="H3803" i="4"/>
  <c r="H3804" i="4"/>
  <c r="H3805" i="4"/>
  <c r="H3806" i="4"/>
  <c r="H3807" i="4"/>
  <c r="H3808" i="4"/>
  <c r="H3809" i="4"/>
  <c r="H3810" i="4"/>
  <c r="H3811" i="4"/>
  <c r="H3812" i="4"/>
  <c r="H3813" i="4"/>
  <c r="H3814" i="4"/>
  <c r="H3815" i="4"/>
  <c r="H3816" i="4"/>
  <c r="H3817" i="4"/>
  <c r="H3818" i="4"/>
  <c r="H3819" i="4"/>
  <c r="H3820" i="4"/>
  <c r="H3821" i="4"/>
  <c r="H3822" i="4"/>
  <c r="H3823" i="4"/>
  <c r="H3824" i="4"/>
  <c r="H3825" i="4"/>
  <c r="H3826" i="4"/>
  <c r="H3827" i="4"/>
  <c r="H3828" i="4"/>
  <c r="H3829" i="4"/>
  <c r="H3830" i="4"/>
  <c r="H3831" i="4"/>
  <c r="H3832" i="4"/>
  <c r="H3833" i="4"/>
  <c r="H3834" i="4"/>
  <c r="H3835" i="4"/>
  <c r="H3836" i="4"/>
  <c r="H3837" i="4"/>
  <c r="H3838" i="4"/>
  <c r="H3839" i="4"/>
  <c r="H3840" i="4"/>
  <c r="H3841" i="4"/>
  <c r="H3842" i="4"/>
  <c r="H3843" i="4"/>
  <c r="H3844" i="4"/>
  <c r="H3845" i="4"/>
  <c r="H3846" i="4"/>
  <c r="H3847" i="4"/>
  <c r="H3848" i="4"/>
  <c r="H3849" i="4"/>
  <c r="H3850" i="4"/>
  <c r="H3851" i="4"/>
  <c r="H3852" i="4"/>
  <c r="H3853" i="4"/>
  <c r="H3854" i="4"/>
  <c r="H3855" i="4"/>
  <c r="H3856" i="4"/>
  <c r="H3857" i="4"/>
  <c r="H3858" i="4"/>
  <c r="H3859" i="4"/>
  <c r="H3860" i="4"/>
  <c r="H3861" i="4"/>
  <c r="H3862" i="4"/>
  <c r="H3863" i="4"/>
  <c r="H3864" i="4"/>
  <c r="H3865" i="4"/>
  <c r="H3866" i="4"/>
  <c r="H3867" i="4"/>
  <c r="H3868" i="4"/>
  <c r="H3869" i="4"/>
  <c r="H3870" i="4"/>
  <c r="H3871" i="4"/>
  <c r="H3872" i="4"/>
  <c r="H3873" i="4"/>
  <c r="H3874" i="4"/>
  <c r="H3875" i="4"/>
  <c r="H3876" i="4"/>
  <c r="H3877" i="4"/>
  <c r="H3878" i="4"/>
  <c r="H3879" i="4"/>
  <c r="H3880" i="4"/>
  <c r="H3881" i="4"/>
  <c r="H3882" i="4"/>
  <c r="H3883" i="4"/>
  <c r="H3884" i="4"/>
  <c r="H3885" i="4"/>
  <c r="H3886" i="4"/>
  <c r="H3887" i="4"/>
  <c r="H3888" i="4"/>
  <c r="H3889" i="4"/>
  <c r="H3890" i="4"/>
  <c r="H3891" i="4"/>
  <c r="H3892" i="4"/>
  <c r="H3893" i="4"/>
  <c r="H3894" i="4"/>
  <c r="H3895" i="4"/>
  <c r="H3896" i="4"/>
  <c r="H3897" i="4"/>
  <c r="H3898" i="4"/>
  <c r="H3899" i="4"/>
  <c r="H3900" i="4"/>
  <c r="H3901" i="4"/>
  <c r="H3902" i="4"/>
  <c r="H3903" i="4"/>
  <c r="H3904" i="4"/>
  <c r="H3905" i="4"/>
  <c r="H3906" i="4"/>
  <c r="H3907" i="4"/>
  <c r="H3908" i="4"/>
  <c r="H3909" i="4"/>
  <c r="H3910" i="4"/>
  <c r="H3911" i="4"/>
  <c r="H3912" i="4"/>
  <c r="H3913" i="4"/>
  <c r="H3914" i="4"/>
  <c r="H3915" i="4"/>
  <c r="H3916" i="4"/>
  <c r="H3917" i="4"/>
  <c r="H3918" i="4"/>
  <c r="H3919" i="4"/>
  <c r="H3920" i="4"/>
  <c r="H3921" i="4"/>
  <c r="H3922" i="4"/>
  <c r="H3923" i="4"/>
  <c r="H3924" i="4"/>
  <c r="H3925" i="4"/>
  <c r="H3926" i="4"/>
  <c r="H3927" i="4"/>
  <c r="H3928" i="4"/>
  <c r="H3929" i="4"/>
  <c r="H3930" i="4"/>
  <c r="H3931" i="4"/>
  <c r="H3932" i="4"/>
  <c r="H3933" i="4"/>
  <c r="H3934" i="4"/>
  <c r="H3935" i="4"/>
  <c r="H3936" i="4"/>
  <c r="H3937" i="4"/>
  <c r="H3938" i="4"/>
  <c r="H3939" i="4"/>
  <c r="H3940" i="4"/>
  <c r="H3941" i="4"/>
  <c r="H3942" i="4"/>
  <c r="H3943" i="4"/>
  <c r="H3944" i="4"/>
  <c r="H3945" i="4"/>
  <c r="H3946" i="4"/>
  <c r="H3947" i="4"/>
  <c r="H3948" i="4"/>
  <c r="H3949" i="4"/>
  <c r="H3950" i="4"/>
  <c r="H3951" i="4"/>
  <c r="H3952" i="4"/>
  <c r="H3953" i="4"/>
  <c r="H3954" i="4"/>
  <c r="H3955" i="4"/>
  <c r="H3956" i="4"/>
  <c r="H3957" i="4"/>
  <c r="H3958" i="4"/>
  <c r="H3959" i="4"/>
  <c r="H3960" i="4"/>
  <c r="H3961" i="4"/>
  <c r="H3962" i="4"/>
  <c r="H3963" i="4"/>
  <c r="H3964" i="4"/>
  <c r="H3965" i="4"/>
  <c r="H3966" i="4"/>
  <c r="H3967" i="4"/>
  <c r="H3968" i="4"/>
  <c r="H3969" i="4"/>
  <c r="H3970" i="4"/>
  <c r="H3971" i="4"/>
  <c r="H3972" i="4"/>
  <c r="H3973" i="4"/>
  <c r="H3974" i="4"/>
  <c r="H3975" i="4"/>
  <c r="H3976" i="4"/>
  <c r="H3977" i="4"/>
  <c r="H3978" i="4"/>
  <c r="H3979" i="4"/>
  <c r="H3980" i="4"/>
  <c r="H3981" i="4"/>
  <c r="H3982" i="4"/>
  <c r="H3983" i="4"/>
  <c r="H3984" i="4"/>
  <c r="H3985" i="4"/>
  <c r="H3986" i="4"/>
  <c r="H3987" i="4"/>
  <c r="H3988" i="4"/>
  <c r="H3989" i="4"/>
  <c r="H3990" i="4"/>
  <c r="H3991" i="4"/>
  <c r="H3992" i="4"/>
  <c r="H3993" i="4"/>
  <c r="H3994" i="4"/>
  <c r="H3995" i="4"/>
  <c r="H3996" i="4"/>
  <c r="H3997" i="4"/>
  <c r="H3998" i="4"/>
  <c r="H3999" i="4"/>
  <c r="H4000" i="4"/>
  <c r="H4001" i="4"/>
  <c r="H4002" i="4"/>
  <c r="H4003" i="4"/>
  <c r="H4004" i="4"/>
  <c r="H4005" i="4"/>
  <c r="H4006" i="4"/>
  <c r="H4007" i="4"/>
  <c r="H4008" i="4"/>
  <c r="H4009" i="4"/>
  <c r="H4010" i="4"/>
  <c r="H4011" i="4"/>
  <c r="H4012" i="4"/>
  <c r="H4013" i="4"/>
  <c r="H4014" i="4"/>
  <c r="H4015" i="4"/>
  <c r="H4016" i="4"/>
  <c r="H4017" i="4"/>
  <c r="H4018" i="4"/>
  <c r="H4019" i="4"/>
  <c r="H4020" i="4"/>
  <c r="H4021" i="4"/>
  <c r="H4022" i="4"/>
  <c r="H4023" i="4"/>
  <c r="H4024" i="4"/>
  <c r="H4025" i="4"/>
  <c r="H4026" i="4"/>
  <c r="H4027" i="4"/>
  <c r="H4028" i="4"/>
  <c r="H4029" i="4"/>
  <c r="H4030" i="4"/>
  <c r="H4031" i="4"/>
  <c r="H4032" i="4"/>
  <c r="H4033" i="4"/>
  <c r="H4034" i="4"/>
  <c r="H4035" i="4"/>
  <c r="H4036" i="4"/>
  <c r="H4037" i="4"/>
  <c r="H4038" i="4"/>
  <c r="H4039" i="4"/>
  <c r="H4040" i="4"/>
  <c r="H4041" i="4"/>
  <c r="H4042" i="4"/>
  <c r="H4043" i="4"/>
  <c r="H4044" i="4"/>
  <c r="H4045" i="4"/>
  <c r="H4046" i="4"/>
  <c r="H4047" i="4"/>
  <c r="H4048" i="4"/>
  <c r="H4049" i="4"/>
  <c r="H4050" i="4"/>
  <c r="H4051" i="4"/>
  <c r="H4052" i="4"/>
  <c r="H4053" i="4"/>
  <c r="H4054" i="4"/>
  <c r="H4055" i="4"/>
  <c r="H4056" i="4"/>
  <c r="H4057" i="4"/>
  <c r="H4058" i="4"/>
  <c r="H4059" i="4"/>
  <c r="H4060" i="4"/>
  <c r="H4061" i="4"/>
  <c r="H4062" i="4"/>
  <c r="H4063" i="4"/>
  <c r="H4064" i="4"/>
  <c r="H4065" i="4"/>
  <c r="H4066" i="4"/>
  <c r="H4067" i="4"/>
  <c r="H4068" i="4"/>
  <c r="H4069" i="4"/>
  <c r="H4070" i="4"/>
  <c r="H4071" i="4"/>
  <c r="H4072" i="4"/>
  <c r="H4073" i="4"/>
  <c r="H4074" i="4"/>
  <c r="H4075" i="4"/>
  <c r="H4076" i="4"/>
  <c r="H4077" i="4"/>
  <c r="H4078" i="4"/>
  <c r="H4079" i="4"/>
  <c r="H4080" i="4"/>
  <c r="H4081" i="4"/>
  <c r="H4082" i="4"/>
  <c r="H4083" i="4"/>
  <c r="H4084" i="4"/>
  <c r="H4085" i="4"/>
  <c r="H4086" i="4"/>
  <c r="H4087" i="4"/>
  <c r="H4088" i="4"/>
  <c r="H4089" i="4"/>
  <c r="H4090" i="4"/>
  <c r="H4091" i="4"/>
  <c r="H4092" i="4"/>
  <c r="H4093" i="4"/>
  <c r="H4094" i="4"/>
  <c r="H4095" i="4"/>
  <c r="H4096" i="4"/>
  <c r="H4097" i="4"/>
  <c r="H4098" i="4"/>
  <c r="H4099" i="4"/>
  <c r="H4100" i="4"/>
  <c r="H4101" i="4"/>
  <c r="H4102" i="4"/>
  <c r="H4103" i="4"/>
  <c r="H4104" i="4"/>
  <c r="H4105" i="4"/>
  <c r="H4106" i="4"/>
  <c r="H4107" i="4"/>
  <c r="H4108" i="4"/>
  <c r="H4109" i="4"/>
  <c r="H4110" i="4"/>
  <c r="H4111" i="4"/>
  <c r="H4112" i="4"/>
  <c r="H4113" i="4"/>
  <c r="H4114" i="4"/>
  <c r="H4115" i="4"/>
  <c r="H4116" i="4"/>
  <c r="H4117" i="4"/>
  <c r="H4118" i="4"/>
  <c r="H4119" i="4"/>
  <c r="H4120" i="4"/>
  <c r="H4121" i="4"/>
  <c r="H4122" i="4"/>
  <c r="H4123" i="4"/>
  <c r="H4124" i="4"/>
  <c r="H4125" i="4"/>
  <c r="H4126" i="4"/>
  <c r="H4127" i="4"/>
  <c r="H4128" i="4"/>
  <c r="H4129" i="4"/>
  <c r="H4130" i="4"/>
  <c r="H4131" i="4"/>
  <c r="H4132" i="4"/>
  <c r="H4133" i="4"/>
  <c r="H4134" i="4"/>
  <c r="H4135" i="4"/>
  <c r="H4136" i="4"/>
  <c r="H4137" i="4"/>
  <c r="H4138" i="4"/>
  <c r="H4139" i="4"/>
  <c r="H4140" i="4"/>
  <c r="H4141" i="4"/>
  <c r="H4142" i="4"/>
  <c r="H4143" i="4"/>
  <c r="H4144" i="4"/>
  <c r="H4145" i="4"/>
  <c r="H4146" i="4"/>
  <c r="H4147" i="4"/>
  <c r="H4148" i="4"/>
  <c r="H4149" i="4"/>
  <c r="H4150" i="4"/>
  <c r="H4151" i="4"/>
  <c r="H4152" i="4"/>
  <c r="H4153" i="4"/>
  <c r="H4154" i="4"/>
  <c r="H4155" i="4"/>
  <c r="H4156" i="4"/>
  <c r="H4157" i="4"/>
  <c r="H4158" i="4"/>
  <c r="H4159" i="4"/>
  <c r="H4160" i="4"/>
  <c r="H4161" i="4"/>
  <c r="H4162" i="4"/>
  <c r="H4163" i="4"/>
  <c r="H4164" i="4"/>
  <c r="H4165" i="4"/>
  <c r="H4166" i="4"/>
  <c r="H4167" i="4"/>
  <c r="H4168" i="4"/>
  <c r="H4169" i="4"/>
  <c r="H4170" i="4"/>
  <c r="H4171" i="4"/>
  <c r="H4172" i="4"/>
  <c r="H4173" i="4"/>
  <c r="H4174" i="4"/>
  <c r="H4175" i="4"/>
  <c r="H4176" i="4"/>
  <c r="H4177" i="4"/>
  <c r="H4178" i="4"/>
  <c r="H4179" i="4"/>
  <c r="H4180" i="4"/>
  <c r="H4181" i="4"/>
  <c r="H4182" i="4"/>
  <c r="H4183" i="4"/>
  <c r="H4184" i="4"/>
  <c r="H4185" i="4"/>
  <c r="H4186" i="4"/>
  <c r="H4187" i="4"/>
  <c r="H4188" i="4"/>
  <c r="H4189" i="4"/>
  <c r="H4190" i="4"/>
  <c r="H4191" i="4"/>
  <c r="H4192" i="4"/>
  <c r="H4193" i="4"/>
  <c r="H4194" i="4"/>
  <c r="H4195" i="4"/>
  <c r="H4196" i="4"/>
  <c r="H4197" i="4"/>
  <c r="H4198" i="4"/>
  <c r="H4199" i="4"/>
  <c r="H4200" i="4"/>
  <c r="H4201" i="4"/>
  <c r="H4202" i="4"/>
  <c r="H4203" i="4"/>
  <c r="H4204" i="4"/>
  <c r="H4205" i="4"/>
  <c r="H4206" i="4"/>
  <c r="H4207" i="4"/>
  <c r="H4208" i="4"/>
  <c r="H4209" i="4"/>
  <c r="H4210" i="4"/>
  <c r="H4211" i="4"/>
  <c r="H4212" i="4"/>
  <c r="H4213" i="4"/>
  <c r="H4214" i="4"/>
  <c r="H4215" i="4"/>
  <c r="H4216" i="4"/>
  <c r="H4217" i="4"/>
  <c r="H4218" i="4"/>
  <c r="H4219" i="4"/>
  <c r="H4220" i="4"/>
  <c r="H4221" i="4"/>
  <c r="H4222" i="4"/>
  <c r="H4223" i="4"/>
  <c r="H4224" i="4"/>
  <c r="H4225" i="4"/>
  <c r="H4226" i="4"/>
  <c r="H4227" i="4"/>
  <c r="H4228" i="4"/>
  <c r="H4229" i="4"/>
  <c r="H4230" i="4"/>
  <c r="H4231" i="4"/>
  <c r="H4232" i="4"/>
  <c r="H4233" i="4"/>
  <c r="H4234" i="4"/>
  <c r="H4235" i="4"/>
  <c r="H4236" i="4"/>
  <c r="H4237" i="4"/>
  <c r="H4238" i="4"/>
  <c r="H4239" i="4"/>
  <c r="H4240" i="4"/>
  <c r="H4241" i="4"/>
  <c r="H4242" i="4"/>
  <c r="H4243" i="4"/>
  <c r="H4244" i="4"/>
  <c r="H4245" i="4"/>
  <c r="H4246" i="4"/>
  <c r="H4247" i="4"/>
  <c r="H4248" i="4"/>
  <c r="H4249" i="4"/>
  <c r="H4250" i="4"/>
  <c r="H4251" i="4"/>
  <c r="H4252" i="4"/>
  <c r="H4253" i="4"/>
  <c r="H4254" i="4"/>
  <c r="H4255" i="4"/>
  <c r="H4256" i="4"/>
  <c r="H4257" i="4"/>
  <c r="H4258" i="4"/>
  <c r="H4259" i="4"/>
  <c r="H4260" i="4"/>
  <c r="H4261" i="4"/>
  <c r="H4262" i="4"/>
  <c r="H4263" i="4"/>
  <c r="H4264" i="4"/>
  <c r="H4265" i="4"/>
  <c r="H4266" i="4"/>
  <c r="H4267" i="4"/>
  <c r="H4268" i="4"/>
  <c r="H4269" i="4"/>
  <c r="H4270" i="4"/>
  <c r="H4271" i="4"/>
  <c r="H4272" i="4"/>
  <c r="H4273" i="4"/>
  <c r="H4274" i="4"/>
  <c r="H4275" i="4"/>
  <c r="H4276" i="4"/>
  <c r="H4277" i="4"/>
  <c r="H4278" i="4"/>
  <c r="H4279" i="4"/>
  <c r="H4280" i="4"/>
  <c r="H4281" i="4"/>
  <c r="H4282" i="4"/>
  <c r="H4283" i="4"/>
  <c r="H4284" i="4"/>
  <c r="H4285" i="4"/>
  <c r="H4286" i="4"/>
  <c r="H4287" i="4"/>
  <c r="H4288" i="4"/>
  <c r="H4289" i="4"/>
  <c r="H4290" i="4"/>
  <c r="H4291" i="4"/>
  <c r="H4292" i="4"/>
  <c r="H4293" i="4"/>
  <c r="H4294" i="4"/>
  <c r="H4295" i="4"/>
  <c r="H4296" i="4"/>
  <c r="H4297" i="4"/>
  <c r="H4298" i="4"/>
  <c r="H4299" i="4"/>
  <c r="H4300" i="4"/>
  <c r="H4301" i="4"/>
  <c r="H4302" i="4"/>
  <c r="H4303" i="4"/>
  <c r="H4304" i="4"/>
  <c r="H4305" i="4"/>
  <c r="H4306" i="4"/>
  <c r="H4307" i="4"/>
  <c r="H4308" i="4"/>
  <c r="H4309" i="4"/>
  <c r="H4310" i="4"/>
  <c r="H4311" i="4"/>
  <c r="H4312" i="4"/>
  <c r="H4313" i="4"/>
  <c r="H4314" i="4"/>
  <c r="H4315" i="4"/>
  <c r="H4316" i="4"/>
  <c r="H4317" i="4"/>
  <c r="H4318" i="4"/>
  <c r="H4319" i="4"/>
  <c r="H4320" i="4"/>
  <c r="H4321" i="4"/>
  <c r="H4322" i="4"/>
  <c r="H4323" i="4"/>
  <c r="H4324" i="4"/>
  <c r="H4325" i="4"/>
  <c r="H4326" i="4"/>
  <c r="H4327" i="4"/>
  <c r="H4328" i="4"/>
  <c r="H4329" i="4"/>
  <c r="H4330" i="4"/>
  <c r="H4331" i="4"/>
  <c r="H4332" i="4"/>
  <c r="H4333" i="4"/>
  <c r="H4334" i="4"/>
  <c r="H4335" i="4"/>
  <c r="H4336" i="4"/>
  <c r="H4337" i="4"/>
  <c r="H4338" i="4"/>
  <c r="H4339" i="4"/>
  <c r="H4340" i="4"/>
  <c r="H4341" i="4"/>
  <c r="H4342" i="4"/>
  <c r="H4343" i="4"/>
  <c r="H4344" i="4"/>
  <c r="H4345" i="4"/>
  <c r="H4346" i="4"/>
  <c r="H4347" i="4"/>
  <c r="H4348" i="4"/>
  <c r="H4349" i="4"/>
  <c r="H4350" i="4"/>
  <c r="H4351" i="4"/>
  <c r="H4352" i="4"/>
  <c r="H4353" i="4"/>
  <c r="H4354" i="4"/>
  <c r="H4355" i="4"/>
  <c r="H4356" i="4"/>
  <c r="H4357" i="4"/>
  <c r="H4358" i="4"/>
  <c r="H4359" i="4"/>
  <c r="H4360" i="4"/>
  <c r="H4361" i="4"/>
  <c r="H4362" i="4"/>
  <c r="H4363" i="4"/>
  <c r="H4364" i="4"/>
  <c r="H4365" i="4"/>
  <c r="H4366" i="4"/>
  <c r="H4367" i="4"/>
  <c r="H4368" i="4"/>
  <c r="H4369" i="4"/>
  <c r="H4370" i="4"/>
  <c r="H4371" i="4"/>
  <c r="H4372" i="4"/>
  <c r="H4373" i="4"/>
  <c r="H4374" i="4"/>
  <c r="H4375" i="4"/>
  <c r="H4376" i="4"/>
  <c r="H4377" i="4"/>
  <c r="H4378" i="4"/>
  <c r="H4379" i="4"/>
  <c r="H4380" i="4"/>
  <c r="H4381" i="4"/>
  <c r="H4382" i="4"/>
  <c r="H4383" i="4"/>
  <c r="H4384" i="4"/>
  <c r="H4385" i="4"/>
  <c r="H4386" i="4"/>
  <c r="H4387" i="4"/>
  <c r="H4388" i="4"/>
  <c r="H4389" i="4"/>
  <c r="H4390" i="4"/>
  <c r="H4391" i="4"/>
  <c r="H4392" i="4"/>
  <c r="H4393" i="4"/>
  <c r="H4394" i="4"/>
  <c r="H4395" i="4"/>
  <c r="H4396" i="4"/>
  <c r="H4397" i="4"/>
  <c r="H4398" i="4"/>
  <c r="H4399" i="4"/>
  <c r="H4400" i="4"/>
  <c r="H4401" i="4"/>
  <c r="H4402" i="4"/>
  <c r="H4403" i="4"/>
  <c r="H4404" i="4"/>
  <c r="H4405" i="4"/>
  <c r="H4406" i="4"/>
  <c r="H4407" i="4"/>
  <c r="H4408" i="4"/>
  <c r="H4409" i="4"/>
  <c r="H4410" i="4"/>
  <c r="H4411" i="4"/>
  <c r="H4412" i="4"/>
  <c r="H4413" i="4"/>
  <c r="H4414" i="4"/>
  <c r="H4415" i="4"/>
  <c r="H4416" i="4"/>
  <c r="H4417" i="4"/>
  <c r="H4418" i="4"/>
  <c r="H4419" i="4"/>
  <c r="H4420" i="4"/>
  <c r="H4421" i="4"/>
  <c r="H4422" i="4"/>
  <c r="H4423" i="4"/>
  <c r="H4424" i="4"/>
  <c r="H4425" i="4"/>
  <c r="H4426" i="4"/>
  <c r="H4427" i="4"/>
  <c r="H4428" i="4"/>
  <c r="H4429" i="4"/>
  <c r="H4430" i="4"/>
  <c r="H4431" i="4"/>
  <c r="H4432" i="4"/>
  <c r="H4433" i="4"/>
  <c r="H4434" i="4"/>
  <c r="H4435" i="4"/>
  <c r="H4436" i="4"/>
  <c r="H4437" i="4"/>
  <c r="H4438" i="4"/>
  <c r="H4439" i="4"/>
  <c r="H4440" i="4"/>
  <c r="H4441" i="4"/>
  <c r="H4442" i="4"/>
  <c r="H4443" i="4"/>
  <c r="H4444" i="4"/>
  <c r="H4445" i="4"/>
  <c r="H4446" i="4"/>
  <c r="H4447" i="4"/>
  <c r="H4448" i="4"/>
  <c r="H4449" i="4"/>
  <c r="H4450" i="4"/>
  <c r="H4451" i="4"/>
  <c r="H4452" i="4"/>
  <c r="H4453" i="4"/>
  <c r="H4454" i="4"/>
  <c r="H4455" i="4"/>
  <c r="H4456" i="4"/>
  <c r="H4457" i="4"/>
  <c r="H4458" i="4"/>
  <c r="H4459" i="4"/>
  <c r="H4460" i="4"/>
  <c r="H4461" i="4"/>
  <c r="H4462" i="4"/>
  <c r="H4463" i="4"/>
  <c r="H4464" i="4"/>
  <c r="H4465" i="4"/>
  <c r="H4466" i="4"/>
  <c r="H4467" i="4"/>
  <c r="H4468" i="4"/>
  <c r="H4469" i="4"/>
  <c r="H4470" i="4"/>
  <c r="H4471" i="4"/>
  <c r="H4472" i="4"/>
  <c r="H4473" i="4"/>
  <c r="H4474" i="4"/>
  <c r="H4475" i="4"/>
  <c r="H4476" i="4"/>
  <c r="H4477" i="4"/>
  <c r="H4478" i="4"/>
  <c r="H4479" i="4"/>
  <c r="H4480" i="4"/>
  <c r="H4481" i="4"/>
  <c r="H4482" i="4"/>
  <c r="H4483" i="4"/>
  <c r="H4484" i="4"/>
  <c r="H4485" i="4"/>
  <c r="H4486" i="4"/>
  <c r="H4487" i="4"/>
  <c r="H4488" i="4"/>
  <c r="H4489" i="4"/>
  <c r="H4490" i="4"/>
  <c r="H4491" i="4"/>
  <c r="H4492" i="4"/>
  <c r="H4493" i="4"/>
  <c r="H4494" i="4"/>
  <c r="H4495" i="4"/>
  <c r="H4496" i="4"/>
  <c r="H4497" i="4"/>
  <c r="H4498" i="4"/>
  <c r="H4499" i="4"/>
  <c r="H4500" i="4"/>
  <c r="H4501" i="4"/>
  <c r="H4502" i="4"/>
  <c r="H4503" i="4"/>
  <c r="H4504" i="4"/>
  <c r="H4505" i="4"/>
  <c r="H4506" i="4"/>
  <c r="H4507" i="4"/>
  <c r="H4508" i="4"/>
  <c r="H4509" i="4"/>
  <c r="H4510" i="4"/>
  <c r="H4511" i="4"/>
  <c r="H4512" i="4"/>
  <c r="H4513" i="4"/>
  <c r="H4514" i="4"/>
  <c r="H4515" i="4"/>
  <c r="H4516" i="4"/>
  <c r="H4517" i="4"/>
  <c r="H4518" i="4"/>
  <c r="H4519" i="4"/>
  <c r="H4520" i="4"/>
  <c r="H4521" i="4"/>
  <c r="H4522" i="4"/>
  <c r="H4523" i="4"/>
  <c r="H4524" i="4"/>
  <c r="H4525" i="4"/>
  <c r="H4526" i="4"/>
  <c r="H4527" i="4"/>
  <c r="H4528" i="4"/>
  <c r="H4529" i="4"/>
  <c r="H4530" i="4"/>
  <c r="H4531" i="4"/>
  <c r="H4532" i="4"/>
  <c r="H4533" i="4"/>
  <c r="H4534" i="4"/>
  <c r="H4535" i="4"/>
  <c r="H4536" i="4"/>
  <c r="H4537" i="4"/>
  <c r="H4538" i="4"/>
  <c r="H4539" i="4"/>
  <c r="H4540" i="4"/>
  <c r="H4541" i="4"/>
  <c r="H4542" i="4"/>
  <c r="H4543" i="4"/>
  <c r="H4544" i="4"/>
  <c r="H4545" i="4"/>
  <c r="H4546" i="4"/>
  <c r="H4547" i="4"/>
  <c r="H4548" i="4"/>
  <c r="H4549" i="4"/>
  <c r="H4550" i="4"/>
  <c r="H4551" i="4"/>
  <c r="H4552" i="4"/>
  <c r="H4553" i="4"/>
  <c r="H4554" i="4"/>
  <c r="H4555" i="4"/>
  <c r="H4556" i="4"/>
  <c r="H4557" i="4"/>
  <c r="H4558" i="4"/>
  <c r="H4559" i="4"/>
  <c r="H4560" i="4"/>
  <c r="H4561" i="4"/>
  <c r="H4562" i="4"/>
  <c r="H4563" i="4"/>
  <c r="H4564" i="4"/>
  <c r="H4565" i="4"/>
  <c r="H4566" i="4"/>
  <c r="H4567" i="4"/>
  <c r="H4568" i="4"/>
  <c r="H4569" i="4"/>
  <c r="H4570" i="4"/>
  <c r="H4571" i="4"/>
  <c r="H4572" i="4"/>
  <c r="H4573" i="4"/>
  <c r="H4574" i="4"/>
  <c r="H4575" i="4"/>
  <c r="H4576" i="4"/>
  <c r="H4577" i="4"/>
  <c r="H4578" i="4"/>
  <c r="H4579" i="4"/>
  <c r="H4580" i="4"/>
  <c r="H4581" i="4"/>
  <c r="H4582" i="4"/>
  <c r="H4583" i="4"/>
  <c r="H4584" i="4"/>
  <c r="H4585" i="4"/>
  <c r="H4586" i="4"/>
  <c r="H4587" i="4"/>
  <c r="H4588" i="4"/>
  <c r="H4589" i="4"/>
  <c r="H4590" i="4"/>
  <c r="H4591" i="4"/>
  <c r="H4592" i="4"/>
  <c r="H4593" i="4"/>
  <c r="H4594" i="4"/>
  <c r="H4595" i="4"/>
  <c r="H4596" i="4"/>
  <c r="H4597" i="4"/>
  <c r="H4598" i="4"/>
  <c r="H4599" i="4"/>
  <c r="H4600" i="4"/>
  <c r="H4601" i="4"/>
  <c r="H4602" i="4"/>
  <c r="H4603" i="4"/>
  <c r="H4604" i="4"/>
  <c r="H4605" i="4"/>
  <c r="H4606" i="4"/>
  <c r="H4607" i="4"/>
  <c r="H4608" i="4"/>
  <c r="H4609" i="4"/>
  <c r="H4610" i="4"/>
  <c r="H4611" i="4"/>
  <c r="H4612" i="4"/>
  <c r="H4613" i="4"/>
  <c r="H4614" i="4"/>
  <c r="H4615" i="4"/>
  <c r="H4616" i="4"/>
  <c r="H4617" i="4"/>
  <c r="H4618" i="4"/>
  <c r="H4619" i="4"/>
  <c r="H4620" i="4"/>
  <c r="H4621" i="4"/>
  <c r="H4622" i="4"/>
  <c r="H4623" i="4"/>
  <c r="H4624" i="4"/>
  <c r="H4625" i="4"/>
  <c r="H4626" i="4"/>
  <c r="H4627" i="4"/>
  <c r="H4628" i="4"/>
  <c r="H4629" i="4"/>
  <c r="H4630" i="4"/>
  <c r="H4631" i="4"/>
  <c r="H4632" i="4"/>
  <c r="H4633" i="4"/>
  <c r="H4634" i="4"/>
  <c r="H4635" i="4"/>
  <c r="H4636" i="4"/>
  <c r="H4637" i="4"/>
  <c r="H4638" i="4"/>
  <c r="H4639" i="4"/>
  <c r="H4640" i="4"/>
  <c r="H4641" i="4"/>
  <c r="H4642" i="4"/>
  <c r="H4643" i="4"/>
  <c r="H4644" i="4"/>
  <c r="H4645" i="4"/>
  <c r="H4646" i="4"/>
  <c r="H4647" i="4"/>
  <c r="H4648" i="4"/>
  <c r="H4649" i="4"/>
  <c r="H4650" i="4"/>
  <c r="H4651" i="4"/>
  <c r="H4652" i="4"/>
  <c r="H4653" i="4"/>
  <c r="H4654" i="4"/>
  <c r="H4655" i="4"/>
  <c r="H4656" i="4"/>
  <c r="H4657" i="4"/>
  <c r="H4658" i="4"/>
  <c r="H4659" i="4"/>
  <c r="H4660" i="4"/>
  <c r="H4661" i="4"/>
  <c r="H4662" i="4"/>
  <c r="H4663" i="4"/>
  <c r="H4664" i="4"/>
  <c r="H4665" i="4"/>
  <c r="H4666" i="4"/>
  <c r="H4667" i="4"/>
  <c r="H4668" i="4"/>
  <c r="H4669" i="4"/>
  <c r="H4670" i="4"/>
  <c r="H4671" i="4"/>
  <c r="H4672" i="4"/>
  <c r="H4673" i="4"/>
  <c r="H4674" i="4"/>
  <c r="H4675" i="4"/>
  <c r="H4676" i="4"/>
  <c r="H4677" i="4"/>
  <c r="H4678" i="4"/>
  <c r="H4679" i="4"/>
  <c r="H4680" i="4"/>
  <c r="H4681" i="4"/>
  <c r="H4682" i="4"/>
  <c r="H4683" i="4"/>
  <c r="H4684" i="4"/>
  <c r="H4685" i="4"/>
  <c r="H4686" i="4"/>
  <c r="H4687" i="4"/>
  <c r="H4688" i="4"/>
  <c r="H4689" i="4"/>
  <c r="H4690" i="4"/>
  <c r="H4691" i="4"/>
  <c r="H4692" i="4"/>
  <c r="H4693" i="4"/>
  <c r="H4694" i="4"/>
  <c r="H4695" i="4"/>
  <c r="H4696" i="4"/>
  <c r="H4697" i="4"/>
  <c r="H4698" i="4"/>
  <c r="H4699" i="4"/>
  <c r="H4700" i="4"/>
  <c r="H4701" i="4"/>
  <c r="H4702" i="4"/>
  <c r="H4703" i="4"/>
  <c r="H4704" i="4"/>
  <c r="H4705" i="4"/>
  <c r="H4706" i="4"/>
  <c r="H4707" i="4"/>
  <c r="H4708" i="4"/>
  <c r="H4709" i="4"/>
  <c r="H4710" i="4"/>
  <c r="H4711" i="4"/>
  <c r="H4712" i="4"/>
  <c r="H4713" i="4"/>
  <c r="H4714" i="4"/>
  <c r="H4715" i="4"/>
  <c r="H4716" i="4"/>
  <c r="H4717" i="4"/>
  <c r="H4718" i="4"/>
  <c r="H4719" i="4"/>
  <c r="H4720" i="4"/>
  <c r="H4721" i="4"/>
  <c r="H4722" i="4"/>
  <c r="H4723" i="4"/>
  <c r="H4724" i="4"/>
  <c r="H4725" i="4"/>
  <c r="H4726" i="4"/>
  <c r="H4727" i="4"/>
  <c r="H4728" i="4"/>
  <c r="H4729" i="4"/>
  <c r="H4730" i="4"/>
  <c r="H4731" i="4"/>
  <c r="H4732" i="4"/>
  <c r="H4733" i="4"/>
  <c r="H4734" i="4"/>
  <c r="H4735" i="4"/>
  <c r="H4736" i="4"/>
  <c r="H4737" i="4"/>
  <c r="H4738" i="4"/>
  <c r="H4739" i="4"/>
  <c r="H4740" i="4"/>
  <c r="H4741" i="4"/>
  <c r="H4742" i="4"/>
  <c r="H4743" i="4"/>
  <c r="H4744" i="4"/>
  <c r="H4745" i="4"/>
  <c r="H4746" i="4"/>
  <c r="H4747" i="4"/>
  <c r="H4748" i="4"/>
  <c r="H4749" i="4"/>
  <c r="H4750" i="4"/>
  <c r="H4751" i="4"/>
  <c r="H4752" i="4"/>
  <c r="H4753" i="4"/>
  <c r="H4754" i="4"/>
  <c r="H4755" i="4"/>
  <c r="H4756" i="4"/>
  <c r="H4757" i="4"/>
  <c r="H4758" i="4"/>
  <c r="H4759" i="4"/>
  <c r="H4760" i="4"/>
  <c r="H4761" i="4"/>
  <c r="H4762" i="4"/>
  <c r="H4763" i="4"/>
  <c r="H4764" i="4"/>
  <c r="H4765" i="4"/>
  <c r="H4766" i="4"/>
  <c r="H4767" i="4"/>
  <c r="H4768" i="4"/>
  <c r="H4769" i="4"/>
  <c r="H4770" i="4"/>
  <c r="H4771" i="4"/>
  <c r="H4772" i="4"/>
  <c r="H4773" i="4"/>
  <c r="H4774" i="4"/>
  <c r="H4775" i="4"/>
  <c r="H4776" i="4"/>
  <c r="H4777" i="4"/>
  <c r="H4778" i="4"/>
  <c r="H4779" i="4"/>
  <c r="H4780" i="4"/>
  <c r="H4781" i="4"/>
  <c r="H4782" i="4"/>
  <c r="H4783" i="4"/>
  <c r="H4784" i="4"/>
  <c r="H4785" i="4"/>
  <c r="H4786" i="4"/>
  <c r="H4787" i="4"/>
  <c r="H4788" i="4"/>
  <c r="H4789" i="4"/>
  <c r="H4790" i="4"/>
  <c r="H4791" i="4"/>
  <c r="H4792" i="4"/>
  <c r="H4793" i="4"/>
  <c r="H4794" i="4"/>
  <c r="H4795" i="4"/>
  <c r="H4796" i="4"/>
  <c r="H4797" i="4"/>
  <c r="H4798" i="4"/>
  <c r="H4799" i="4"/>
  <c r="H4800" i="4"/>
  <c r="H4801" i="4"/>
  <c r="H4802" i="4"/>
  <c r="H4803" i="4"/>
  <c r="H4804" i="4"/>
  <c r="H4805" i="4"/>
  <c r="H4806" i="4"/>
  <c r="H4807" i="4"/>
  <c r="H4808" i="4"/>
  <c r="H4809" i="4"/>
  <c r="H4810" i="4"/>
  <c r="H4811" i="4"/>
  <c r="H4812" i="4"/>
  <c r="H4813" i="4"/>
  <c r="H4814" i="4"/>
  <c r="H4815" i="4"/>
  <c r="H4816" i="4"/>
  <c r="H4817" i="4"/>
  <c r="H4818" i="4"/>
  <c r="H4819" i="4"/>
  <c r="H4820" i="4"/>
  <c r="H4821" i="4"/>
  <c r="H4822" i="4"/>
  <c r="H4823" i="4"/>
  <c r="H4824" i="4"/>
  <c r="H4825" i="4"/>
  <c r="H4826" i="4"/>
  <c r="H4827" i="4"/>
  <c r="H4828" i="4"/>
  <c r="H4829" i="4"/>
  <c r="H4830" i="4"/>
  <c r="H4831" i="4"/>
  <c r="H4832" i="4"/>
  <c r="H4833" i="4"/>
  <c r="H4834" i="4"/>
  <c r="H4835" i="4"/>
  <c r="H4836" i="4"/>
  <c r="H4837" i="4"/>
  <c r="H4838" i="4"/>
  <c r="H4839" i="4"/>
  <c r="H4840" i="4"/>
  <c r="H4841" i="4"/>
  <c r="H4842" i="4"/>
  <c r="H4843" i="4"/>
  <c r="H4844" i="4"/>
  <c r="H4845" i="4"/>
  <c r="H4846" i="4"/>
  <c r="H4847" i="4"/>
  <c r="H4848" i="4"/>
  <c r="H4849" i="4"/>
  <c r="H4850" i="4"/>
  <c r="H4851" i="4"/>
  <c r="H4852" i="4"/>
  <c r="H4853" i="4"/>
  <c r="H4854" i="4"/>
  <c r="H4855" i="4"/>
  <c r="H4856" i="4"/>
  <c r="H4857" i="4"/>
  <c r="H4858" i="4"/>
  <c r="H4859" i="4"/>
  <c r="H4860" i="4"/>
  <c r="H4861" i="4"/>
  <c r="H4862" i="4"/>
  <c r="H4863" i="4"/>
  <c r="H4864" i="4"/>
  <c r="H4865" i="4"/>
  <c r="H4866" i="4"/>
  <c r="H4867" i="4"/>
  <c r="H4868" i="4"/>
  <c r="H4869" i="4"/>
  <c r="H4870" i="4"/>
  <c r="H4871" i="4"/>
  <c r="H4872" i="4"/>
  <c r="H4873" i="4"/>
  <c r="H4874" i="4"/>
  <c r="H4875" i="4"/>
  <c r="H4876" i="4"/>
  <c r="H4877" i="4"/>
  <c r="H4878" i="4"/>
  <c r="H4879" i="4"/>
  <c r="H4880" i="4"/>
  <c r="H4881" i="4"/>
  <c r="H4882" i="4"/>
  <c r="H4883" i="4"/>
  <c r="H4884" i="4"/>
  <c r="H4885" i="4"/>
  <c r="H4886" i="4"/>
  <c r="H4887" i="4"/>
  <c r="H4888" i="4"/>
  <c r="H4889" i="4"/>
  <c r="H4890" i="4"/>
  <c r="H4891" i="4"/>
  <c r="H4892" i="4"/>
  <c r="H4893" i="4"/>
  <c r="H4894" i="4"/>
  <c r="H4895" i="4"/>
  <c r="H4896" i="4"/>
  <c r="H4897" i="4"/>
  <c r="H4898" i="4"/>
  <c r="H4899" i="4"/>
  <c r="H4900" i="4"/>
  <c r="H4901" i="4"/>
  <c r="H4902" i="4"/>
  <c r="H4903" i="4"/>
  <c r="H4904" i="4"/>
  <c r="H4905" i="4"/>
  <c r="H4906" i="4"/>
  <c r="H4907" i="4"/>
  <c r="H4908" i="4"/>
  <c r="H4909" i="4"/>
  <c r="H4910" i="4"/>
  <c r="H4911" i="4"/>
  <c r="H4912" i="4"/>
  <c r="H4913" i="4"/>
  <c r="H4914" i="4"/>
  <c r="H4915" i="4"/>
  <c r="H4916" i="4"/>
  <c r="H4917" i="4"/>
  <c r="H4918" i="4"/>
  <c r="H4919" i="4"/>
  <c r="H4920" i="4"/>
  <c r="H4921" i="4"/>
  <c r="H4922" i="4"/>
  <c r="H4923" i="4"/>
  <c r="H4924" i="4"/>
  <c r="H4925" i="4"/>
  <c r="H4926" i="4"/>
  <c r="H4927" i="4"/>
  <c r="H4928" i="4"/>
  <c r="H4929" i="4"/>
  <c r="H4930" i="4"/>
  <c r="H4931" i="4"/>
  <c r="H4932" i="4"/>
  <c r="H4933" i="4"/>
  <c r="H4934" i="4"/>
  <c r="H4935" i="4"/>
  <c r="H4936" i="4"/>
  <c r="H4937" i="4"/>
  <c r="H4938" i="4"/>
  <c r="H4939" i="4"/>
  <c r="H4940" i="4"/>
  <c r="H4941" i="4"/>
  <c r="H4942" i="4"/>
  <c r="H4943" i="4"/>
  <c r="H4944" i="4"/>
  <c r="H4945" i="4"/>
  <c r="H4946" i="4"/>
  <c r="H4947" i="4"/>
  <c r="H4948" i="4"/>
  <c r="H4949" i="4"/>
  <c r="H4950" i="4"/>
  <c r="H4951" i="4"/>
  <c r="H4952" i="4"/>
  <c r="H4953" i="4"/>
  <c r="H4954" i="4"/>
  <c r="H4955" i="4"/>
  <c r="H4956" i="4"/>
  <c r="H4957" i="4"/>
  <c r="H4958" i="4"/>
  <c r="H4959" i="4"/>
  <c r="H4960" i="4"/>
  <c r="H4961" i="4"/>
  <c r="H4962" i="4"/>
  <c r="H4963" i="4"/>
  <c r="H4964" i="4"/>
  <c r="H4965" i="4"/>
  <c r="H4966" i="4"/>
  <c r="H4967" i="4"/>
  <c r="H4968" i="4"/>
  <c r="H4969" i="4"/>
  <c r="H4970" i="4"/>
  <c r="H4971" i="4"/>
  <c r="H4972" i="4"/>
  <c r="H4973" i="4"/>
  <c r="H4974" i="4"/>
  <c r="H4975" i="4"/>
  <c r="H4976" i="4"/>
  <c r="H4977" i="4"/>
  <c r="H4978" i="4"/>
  <c r="H4979" i="4"/>
  <c r="H4980" i="4"/>
  <c r="H4981" i="4"/>
  <c r="H4982" i="4"/>
  <c r="H4983" i="4"/>
  <c r="H4984" i="4"/>
  <c r="H4985" i="4"/>
  <c r="H4986" i="4"/>
  <c r="H4987" i="4"/>
  <c r="H4988" i="4"/>
  <c r="H4989" i="4"/>
  <c r="H4990" i="4"/>
  <c r="H4991" i="4"/>
  <c r="H4992" i="4"/>
  <c r="H4993" i="4"/>
  <c r="H4994" i="4"/>
  <c r="H4995" i="4"/>
  <c r="H4996" i="4"/>
  <c r="H4997" i="4"/>
  <c r="H4998" i="4"/>
  <c r="H4999" i="4"/>
  <c r="H5000" i="4"/>
  <c r="H5001" i="4"/>
  <c r="H5002" i="4"/>
  <c r="H5003" i="4"/>
  <c r="H5004" i="4"/>
  <c r="H5005" i="4"/>
  <c r="H5006" i="4"/>
  <c r="H5007" i="4"/>
  <c r="H5008" i="4"/>
  <c r="H5009" i="4"/>
  <c r="H5010" i="4"/>
  <c r="H5011" i="4"/>
  <c r="H5012" i="4"/>
  <c r="H5013" i="4"/>
  <c r="H5014" i="4"/>
  <c r="H5015" i="4"/>
  <c r="H5016" i="4"/>
  <c r="H5017" i="4"/>
  <c r="H5018" i="4"/>
  <c r="H5019" i="4"/>
  <c r="H5020" i="4"/>
  <c r="H5021" i="4"/>
  <c r="H5022" i="4"/>
  <c r="H5023" i="4"/>
  <c r="H5024" i="4"/>
  <c r="H5025" i="4"/>
  <c r="H5026" i="4"/>
  <c r="H5027" i="4"/>
  <c r="H5028" i="4"/>
  <c r="H5029" i="4"/>
  <c r="H5030" i="4"/>
  <c r="H5031" i="4"/>
  <c r="H5032" i="4"/>
  <c r="H5033" i="4"/>
  <c r="H5034" i="4"/>
  <c r="H5035" i="4"/>
  <c r="H5036" i="4"/>
  <c r="H5037" i="4"/>
  <c r="H5038" i="4"/>
  <c r="H5039" i="4"/>
  <c r="H5040" i="4"/>
  <c r="H5041" i="4"/>
  <c r="H5042" i="4"/>
  <c r="H5043" i="4"/>
  <c r="H5044" i="4"/>
  <c r="H5045" i="4"/>
  <c r="H5046" i="4"/>
  <c r="H5047" i="4"/>
  <c r="H5048" i="4"/>
  <c r="H5049" i="4"/>
  <c r="H5050" i="4"/>
  <c r="H5051" i="4"/>
  <c r="H5052" i="4"/>
  <c r="H5053" i="4"/>
  <c r="H5054" i="4"/>
  <c r="H5055" i="4"/>
  <c r="H5056" i="4"/>
  <c r="H5057" i="4"/>
  <c r="H5058" i="4"/>
  <c r="H5059" i="4"/>
  <c r="H5060" i="4"/>
  <c r="H5061" i="4"/>
  <c r="H5062" i="4"/>
  <c r="H5063" i="4"/>
  <c r="H5064" i="4"/>
  <c r="H5065" i="4"/>
  <c r="H5066" i="4"/>
  <c r="H5067" i="4"/>
  <c r="H5068" i="4"/>
  <c r="H5069" i="4"/>
  <c r="H5070" i="4"/>
  <c r="H5071" i="4"/>
  <c r="H5072" i="4"/>
  <c r="H5073" i="4"/>
  <c r="H5074" i="4"/>
  <c r="H5075" i="4"/>
  <c r="H5076" i="4"/>
  <c r="H5077" i="4"/>
  <c r="H5078" i="4"/>
  <c r="H5079" i="4"/>
  <c r="H5080" i="4"/>
  <c r="H5081" i="4"/>
  <c r="H5082" i="4"/>
  <c r="H5083" i="4"/>
  <c r="H5084" i="4"/>
  <c r="H5085" i="4"/>
  <c r="H5086" i="4"/>
  <c r="H5087" i="4"/>
  <c r="H5088" i="4"/>
  <c r="H5089" i="4"/>
  <c r="H5090" i="4"/>
  <c r="H5091" i="4"/>
  <c r="H5092" i="4"/>
  <c r="H5093" i="4"/>
  <c r="H5094" i="4"/>
  <c r="H5095" i="4"/>
  <c r="H5096" i="4"/>
  <c r="H5097" i="4"/>
  <c r="H5098" i="4"/>
  <c r="H5099" i="4"/>
  <c r="H5100" i="4"/>
  <c r="H5101" i="4"/>
  <c r="H5102" i="4"/>
  <c r="H5103" i="4"/>
  <c r="H5104" i="4"/>
  <c r="H5105" i="4"/>
  <c r="H5106" i="4"/>
  <c r="H5107" i="4"/>
  <c r="H5108" i="4"/>
  <c r="H5109" i="4"/>
  <c r="H5110" i="4"/>
  <c r="H5111" i="4"/>
  <c r="H5112" i="4"/>
  <c r="H5113" i="4"/>
  <c r="H5114" i="4"/>
  <c r="H5115" i="4"/>
  <c r="H5116" i="4"/>
  <c r="H5117" i="4"/>
  <c r="H5118" i="4"/>
  <c r="H5119" i="4"/>
  <c r="H5120" i="4"/>
  <c r="H5121" i="4"/>
  <c r="H5122" i="4"/>
  <c r="H5123" i="4"/>
  <c r="H5124" i="4"/>
  <c r="H5125" i="4"/>
  <c r="H5126" i="4"/>
  <c r="H5127" i="4"/>
  <c r="H5128" i="4"/>
  <c r="H5129" i="4"/>
  <c r="H5130" i="4"/>
  <c r="H5131" i="4"/>
  <c r="H5132" i="4"/>
  <c r="H5133" i="4"/>
  <c r="H5134" i="4"/>
  <c r="H5135" i="4"/>
  <c r="H5136" i="4"/>
  <c r="H5137" i="4"/>
  <c r="H5138" i="4"/>
  <c r="H5139" i="4"/>
  <c r="H5140" i="4"/>
  <c r="H5141" i="4"/>
  <c r="H5142" i="4"/>
  <c r="H5143" i="4"/>
  <c r="H5144" i="4"/>
  <c r="H5145" i="4"/>
  <c r="H5146" i="4"/>
  <c r="H5147" i="4"/>
  <c r="H5148" i="4"/>
  <c r="H5149" i="4"/>
  <c r="H5150" i="4"/>
  <c r="H5151" i="4"/>
  <c r="H5152" i="4"/>
  <c r="H5153" i="4"/>
  <c r="H5154" i="4"/>
  <c r="H5155" i="4"/>
  <c r="H5156" i="4"/>
  <c r="H5157" i="4"/>
  <c r="H5158" i="4"/>
  <c r="H5159" i="4"/>
  <c r="H5160" i="4"/>
  <c r="H5161" i="4"/>
  <c r="H5162" i="4"/>
  <c r="H5163" i="4"/>
  <c r="H5164" i="4"/>
  <c r="H5165" i="4"/>
  <c r="H5166" i="4"/>
  <c r="H5167" i="4"/>
  <c r="H5168" i="4"/>
  <c r="H5169" i="4"/>
  <c r="H5170" i="4"/>
  <c r="H5171" i="4"/>
  <c r="H5172" i="4"/>
  <c r="H5173" i="4"/>
  <c r="H5174" i="4"/>
  <c r="H5175" i="4"/>
  <c r="H5176" i="4"/>
  <c r="H5177" i="4"/>
  <c r="H5178" i="4"/>
  <c r="H5179" i="4"/>
  <c r="H5180" i="4"/>
  <c r="H5181" i="4"/>
  <c r="H5182" i="4"/>
  <c r="H5183" i="4"/>
  <c r="H5184" i="4"/>
  <c r="H5185" i="4"/>
  <c r="H5186" i="4"/>
  <c r="H5187" i="4"/>
  <c r="H5188" i="4"/>
  <c r="H5189" i="4"/>
  <c r="H5190" i="4"/>
  <c r="H5191" i="4"/>
  <c r="H5192" i="4"/>
  <c r="H5193" i="4"/>
  <c r="H5194" i="4"/>
  <c r="H5195" i="4"/>
  <c r="H5196" i="4"/>
  <c r="H5197" i="4"/>
  <c r="H5198" i="4"/>
  <c r="H5199" i="4"/>
  <c r="H5200" i="4"/>
  <c r="H5201" i="4"/>
  <c r="H5202" i="4"/>
  <c r="H5203" i="4"/>
  <c r="H5204" i="4"/>
  <c r="H5205" i="4"/>
  <c r="H5206" i="4"/>
  <c r="H5207" i="4"/>
  <c r="H5208" i="4"/>
  <c r="H5209" i="4"/>
  <c r="H5210" i="4"/>
  <c r="H5211" i="4"/>
  <c r="H5212" i="4"/>
  <c r="H5213" i="4"/>
  <c r="H5214" i="4"/>
  <c r="H5215" i="4"/>
  <c r="H5216" i="4"/>
  <c r="H5217" i="4"/>
  <c r="H5218" i="4"/>
  <c r="H5219" i="4"/>
  <c r="H5220" i="4"/>
  <c r="H5221" i="4"/>
  <c r="H5222" i="4"/>
  <c r="H5223" i="4"/>
  <c r="H5224" i="4"/>
  <c r="H5225" i="4"/>
  <c r="H5226" i="4"/>
  <c r="H5227" i="4"/>
  <c r="H5228" i="4"/>
  <c r="H5229" i="4"/>
  <c r="H5230" i="4"/>
  <c r="H5231" i="4"/>
  <c r="H5232" i="4"/>
  <c r="H5233" i="4"/>
  <c r="H5234" i="4"/>
  <c r="H5235" i="4"/>
  <c r="H5236" i="4"/>
  <c r="H5237" i="4"/>
  <c r="H5238" i="4"/>
  <c r="H5239" i="4"/>
  <c r="H5240" i="4"/>
  <c r="H5241" i="4"/>
  <c r="H5242" i="4"/>
  <c r="H5243" i="4"/>
  <c r="H5244" i="4"/>
  <c r="H5245" i="4"/>
  <c r="H5246" i="4"/>
  <c r="H5247" i="4"/>
  <c r="H5248" i="4"/>
  <c r="H5249" i="4"/>
  <c r="H5250" i="4"/>
  <c r="H5251" i="4"/>
  <c r="H5252" i="4"/>
  <c r="H5253" i="4"/>
  <c r="H5254" i="4"/>
  <c r="H5255" i="4"/>
  <c r="H5256" i="4"/>
  <c r="H5257" i="4"/>
  <c r="H5258" i="4"/>
  <c r="H5259" i="4"/>
  <c r="H5260" i="4"/>
  <c r="H5261" i="4"/>
  <c r="H5262" i="4"/>
  <c r="H5263" i="4"/>
  <c r="H5264" i="4"/>
  <c r="H5265" i="4"/>
  <c r="H5266" i="4"/>
  <c r="H5267" i="4"/>
  <c r="H5268" i="4"/>
  <c r="H5269" i="4"/>
  <c r="H5270" i="4"/>
  <c r="H5271" i="4"/>
  <c r="H5272" i="4"/>
  <c r="H5273" i="4"/>
  <c r="H5274" i="4"/>
  <c r="H5275" i="4"/>
  <c r="H5276" i="4"/>
  <c r="H5277" i="4"/>
  <c r="H5278" i="4"/>
  <c r="H5279" i="4"/>
  <c r="H5280" i="4"/>
  <c r="H5281" i="4"/>
  <c r="H5282" i="4"/>
  <c r="H5283" i="4"/>
  <c r="H5284" i="4"/>
  <c r="H5285" i="4"/>
  <c r="H5286" i="4"/>
  <c r="H5287" i="4"/>
  <c r="H5288" i="4"/>
  <c r="H5289" i="4"/>
  <c r="H5290" i="4"/>
  <c r="H5291" i="4"/>
  <c r="H5292" i="4"/>
  <c r="H5293" i="4"/>
  <c r="H5294" i="4"/>
  <c r="H5295" i="4"/>
  <c r="H5296" i="4"/>
  <c r="H5297" i="4"/>
  <c r="H5298" i="4"/>
  <c r="H5299" i="4"/>
  <c r="H5300" i="4"/>
  <c r="H5301" i="4"/>
  <c r="H5302" i="4"/>
  <c r="H5303" i="4"/>
  <c r="H5304" i="4"/>
  <c r="H5305" i="4"/>
  <c r="H5306" i="4"/>
  <c r="H5307" i="4"/>
  <c r="H5308" i="4"/>
  <c r="H5309" i="4"/>
  <c r="H5310" i="4"/>
  <c r="H5311" i="4"/>
  <c r="H5312" i="4"/>
  <c r="H5313" i="4"/>
  <c r="H5314" i="4"/>
  <c r="H5315" i="4"/>
  <c r="H5316" i="4"/>
  <c r="H5317" i="4"/>
  <c r="H5318" i="4"/>
  <c r="H5319" i="4"/>
  <c r="H5320" i="4"/>
  <c r="H5321" i="4"/>
  <c r="H5322" i="4"/>
  <c r="H5323" i="4"/>
  <c r="H5324" i="4"/>
  <c r="H5325" i="4"/>
  <c r="H5326" i="4"/>
  <c r="H5327" i="4"/>
  <c r="H5328" i="4"/>
  <c r="H5329" i="4"/>
  <c r="H5330" i="4"/>
  <c r="H5331" i="4"/>
  <c r="H5332" i="4"/>
  <c r="H5333" i="4"/>
  <c r="H5334" i="4"/>
  <c r="H5335" i="4"/>
  <c r="H5336" i="4"/>
  <c r="H5337" i="4"/>
  <c r="H5338" i="4"/>
  <c r="H5339" i="4"/>
  <c r="H5340" i="4"/>
  <c r="H5341" i="4"/>
  <c r="H5342" i="4"/>
  <c r="H5343" i="4"/>
  <c r="H5344" i="4"/>
  <c r="H5345" i="4"/>
  <c r="H5346" i="4"/>
  <c r="H5347" i="4"/>
  <c r="H5348" i="4"/>
  <c r="H5349" i="4"/>
  <c r="H5350" i="4"/>
  <c r="H5351" i="4"/>
  <c r="H5352" i="4"/>
  <c r="H5353" i="4"/>
  <c r="H5354" i="4"/>
  <c r="H5355" i="4"/>
  <c r="H5356" i="4"/>
  <c r="H5357" i="4"/>
  <c r="H5358" i="4"/>
  <c r="H5359" i="4"/>
  <c r="H5360" i="4"/>
  <c r="H5361" i="4"/>
  <c r="H5362" i="4"/>
  <c r="H5363" i="4"/>
  <c r="H5364" i="4"/>
  <c r="H5365" i="4"/>
  <c r="H5366" i="4"/>
  <c r="H5367" i="4"/>
  <c r="H5368" i="4"/>
  <c r="H5369" i="4"/>
  <c r="H5370" i="4"/>
  <c r="H5371" i="4"/>
  <c r="H5372" i="4"/>
  <c r="H5373" i="4"/>
  <c r="H5374" i="4"/>
  <c r="H5375" i="4"/>
  <c r="H5376" i="4"/>
  <c r="H5377" i="4"/>
  <c r="H5378" i="4"/>
  <c r="H5379" i="4"/>
  <c r="H5380" i="4"/>
  <c r="H5381" i="4"/>
  <c r="H5382" i="4"/>
  <c r="H5383" i="4"/>
  <c r="H5384" i="4"/>
  <c r="H5385" i="4"/>
  <c r="H5386" i="4"/>
  <c r="H5387" i="4"/>
  <c r="H5388" i="4"/>
  <c r="H5389" i="4"/>
  <c r="H5390" i="4"/>
  <c r="H5391" i="4"/>
  <c r="H5392" i="4"/>
  <c r="H5393" i="4"/>
  <c r="H5394" i="4"/>
  <c r="H5395" i="4"/>
  <c r="H5396" i="4"/>
  <c r="H5397" i="4"/>
  <c r="H5398" i="4"/>
  <c r="H5399" i="4"/>
  <c r="H5400" i="4"/>
  <c r="H5401" i="4"/>
  <c r="H5402" i="4"/>
  <c r="H5403" i="4"/>
  <c r="H5404" i="4"/>
  <c r="H5405" i="4"/>
  <c r="H5406" i="4"/>
  <c r="H5407" i="4"/>
  <c r="H5408" i="4"/>
  <c r="H5409" i="4"/>
  <c r="H5410" i="4"/>
  <c r="H5411" i="4"/>
  <c r="H5412" i="4"/>
  <c r="H5413" i="4"/>
  <c r="H5414" i="4"/>
  <c r="H5415" i="4"/>
  <c r="H5416" i="4"/>
  <c r="H5417" i="4"/>
  <c r="H5418" i="4"/>
  <c r="H5419" i="4"/>
  <c r="H5420" i="4"/>
  <c r="H5421" i="4"/>
  <c r="H5422" i="4"/>
  <c r="H5423" i="4"/>
  <c r="H5424" i="4"/>
  <c r="H5425" i="4"/>
  <c r="H5426" i="4"/>
  <c r="H5427" i="4"/>
  <c r="H5428" i="4"/>
  <c r="H5429" i="4"/>
  <c r="H5430" i="4"/>
  <c r="H5431" i="4"/>
  <c r="H5432" i="4"/>
  <c r="H5433" i="4"/>
  <c r="H5434" i="4"/>
  <c r="H5435" i="4"/>
  <c r="H5436" i="4"/>
  <c r="H5437" i="4"/>
  <c r="H5438" i="4"/>
  <c r="H5439" i="4"/>
  <c r="H5440" i="4"/>
  <c r="H5441" i="4"/>
  <c r="H5442" i="4"/>
  <c r="H5443" i="4"/>
  <c r="H5444" i="4"/>
  <c r="H5445" i="4"/>
  <c r="H5446" i="4"/>
  <c r="H5447" i="4"/>
  <c r="H5448" i="4"/>
  <c r="H5449" i="4"/>
  <c r="H5450" i="4"/>
  <c r="H5451" i="4"/>
  <c r="H5452" i="4"/>
  <c r="H5453" i="4"/>
  <c r="H5454" i="4"/>
  <c r="H5455" i="4"/>
  <c r="H5456" i="4"/>
  <c r="H5457" i="4"/>
  <c r="H5458" i="4"/>
  <c r="H5459" i="4"/>
  <c r="H5460" i="4"/>
  <c r="H5461" i="4"/>
  <c r="H5462" i="4"/>
  <c r="H5463" i="4"/>
  <c r="H5464" i="4"/>
  <c r="H5465" i="4"/>
  <c r="H5466" i="4"/>
  <c r="H5467" i="4"/>
  <c r="H5468" i="4"/>
  <c r="H5469" i="4"/>
  <c r="H5470" i="4"/>
  <c r="H5471" i="4"/>
  <c r="H5472" i="4"/>
  <c r="H5473" i="4"/>
  <c r="H5474" i="4"/>
  <c r="H5475" i="4"/>
  <c r="H5476" i="4"/>
  <c r="H5477" i="4"/>
  <c r="H5478" i="4"/>
  <c r="H5479" i="4"/>
  <c r="H5480" i="4"/>
  <c r="H5481" i="4"/>
  <c r="H5482" i="4"/>
  <c r="H5483" i="4"/>
  <c r="H5484" i="4"/>
  <c r="H5485" i="4"/>
  <c r="H5486" i="4"/>
  <c r="H5487" i="4"/>
  <c r="H5488" i="4"/>
  <c r="H5489" i="4"/>
  <c r="H5490" i="4"/>
  <c r="H5491" i="4"/>
  <c r="H5492" i="4"/>
  <c r="H5493" i="4"/>
  <c r="H5494" i="4"/>
  <c r="H5495" i="4"/>
  <c r="H5496" i="4"/>
  <c r="H5497" i="4"/>
  <c r="H5498" i="4"/>
  <c r="H5499" i="4"/>
  <c r="H5500" i="4"/>
  <c r="H5501" i="4"/>
  <c r="H5502" i="4"/>
  <c r="H5503" i="4"/>
  <c r="H5504" i="4"/>
  <c r="H5505" i="4"/>
  <c r="H5506" i="4"/>
  <c r="H5507" i="4"/>
  <c r="H5508" i="4"/>
  <c r="H5509" i="4"/>
  <c r="H5510" i="4"/>
  <c r="H5511" i="4"/>
  <c r="H5512" i="4"/>
  <c r="H5513" i="4"/>
  <c r="H5514" i="4"/>
  <c r="H5515" i="4"/>
  <c r="H5516" i="4"/>
  <c r="H5517" i="4"/>
  <c r="H5518" i="4"/>
  <c r="H5519" i="4"/>
  <c r="H5520" i="4"/>
  <c r="H5521" i="4"/>
  <c r="H5522" i="4"/>
  <c r="H5523" i="4"/>
  <c r="H5524" i="4"/>
  <c r="H5525" i="4"/>
  <c r="H5526" i="4"/>
  <c r="H5527" i="4"/>
  <c r="H5528" i="4"/>
  <c r="H5529" i="4"/>
  <c r="H5530" i="4"/>
  <c r="H5531" i="4"/>
  <c r="H5532" i="4"/>
  <c r="H5533" i="4"/>
  <c r="H5534" i="4"/>
  <c r="H5535" i="4"/>
  <c r="H5536" i="4"/>
  <c r="H5537" i="4"/>
  <c r="H5538" i="4"/>
  <c r="H5539" i="4"/>
  <c r="H5540" i="4"/>
  <c r="H5541" i="4"/>
  <c r="H5542" i="4"/>
  <c r="H5543" i="4"/>
  <c r="H5544" i="4"/>
  <c r="H5545" i="4"/>
  <c r="H5546" i="4"/>
  <c r="H5547" i="4"/>
  <c r="H5548" i="4"/>
  <c r="H5549" i="4"/>
  <c r="H5550" i="4"/>
  <c r="H5551" i="4"/>
  <c r="H5552" i="4"/>
  <c r="H5553" i="4"/>
  <c r="H5554" i="4"/>
  <c r="H5555" i="4"/>
  <c r="H5556" i="4"/>
  <c r="H5557" i="4"/>
  <c r="H5558" i="4"/>
  <c r="H5559" i="4"/>
  <c r="H5560" i="4"/>
  <c r="H5561" i="4"/>
  <c r="H5562" i="4"/>
  <c r="H5563" i="4"/>
  <c r="H5564" i="4"/>
  <c r="H5565" i="4"/>
  <c r="H5566" i="4"/>
  <c r="H5567" i="4"/>
  <c r="H5568" i="4"/>
  <c r="H5569" i="4"/>
  <c r="H5570" i="4"/>
  <c r="H5571" i="4"/>
  <c r="H5572" i="4"/>
  <c r="H5573" i="4"/>
  <c r="H5574" i="4"/>
  <c r="H5575" i="4"/>
  <c r="H5576" i="4"/>
  <c r="H5577" i="4"/>
  <c r="J4" i="4"/>
</calcChain>
</file>

<file path=xl/sharedStrings.xml><?xml version="1.0" encoding="utf-8"?>
<sst xmlns="http://schemas.openxmlformats.org/spreadsheetml/2006/main" count="5750" uniqueCount="52">
  <si>
    <t>Vuosi</t>
  </si>
  <si>
    <t>Kuu</t>
  </si>
  <si>
    <t>TuoteID</t>
  </si>
  <si>
    <t>Kpl</t>
  </si>
  <si>
    <t>Tuotto</t>
  </si>
  <si>
    <t>Ryhmä</t>
  </si>
  <si>
    <t>Nimi</t>
  </si>
  <si>
    <t>Hankintahinta</t>
  </si>
  <si>
    <t>Lepotuoli</t>
  </si>
  <si>
    <t>Lepolissu</t>
  </si>
  <si>
    <t>Leposuper</t>
  </si>
  <si>
    <t>Lepolasse</t>
  </si>
  <si>
    <t>Pianotuoli</t>
  </si>
  <si>
    <t>Piano leveä</t>
  </si>
  <si>
    <t>Piano pro</t>
  </si>
  <si>
    <t>Piano pyöreä</t>
  </si>
  <si>
    <t>Pinnatuoli</t>
  </si>
  <si>
    <t>Keittiökoivu</t>
  </si>
  <si>
    <t>Keittiömänty</t>
  </si>
  <si>
    <t>Keittiötammi</t>
  </si>
  <si>
    <t>Ryhti</t>
  </si>
  <si>
    <t>Rahi</t>
  </si>
  <si>
    <t>Rahireino</t>
  </si>
  <si>
    <t>Rahirauno</t>
  </si>
  <si>
    <t>Rahiristo</t>
  </si>
  <si>
    <t>Säkkituoli</t>
  </si>
  <si>
    <t>Umpiuppo</t>
  </si>
  <si>
    <t>Uppotuppo</t>
  </si>
  <si>
    <t>Työtuoli</t>
  </si>
  <si>
    <t>Office light</t>
  </si>
  <si>
    <t>Office heavy</t>
  </si>
  <si>
    <t>Row Labels</t>
  </si>
  <si>
    <t>Grand Total</t>
  </si>
  <si>
    <t>Column Labels</t>
  </si>
  <si>
    <t>Sum of Tuotto</t>
  </si>
  <si>
    <t>Kate</t>
  </si>
  <si>
    <t>Piiri</t>
  </si>
  <si>
    <t>HELSINKI</t>
  </si>
  <si>
    <t>TURKU</t>
  </si>
  <si>
    <t>TAMPERE</t>
  </si>
  <si>
    <t>OULU</t>
  </si>
  <si>
    <t>tuotetta</t>
  </si>
  <si>
    <t>piiriä</t>
  </si>
  <si>
    <t>tietuetta/kk</t>
  </si>
  <si>
    <t>TUOTELUETTELO</t>
  </si>
  <si>
    <t>Myyntitilasto</t>
  </si>
  <si>
    <t>Piirit</t>
  </si>
  <si>
    <t>Viimeksi noudettu:</t>
  </si>
  <si>
    <t>tietuetta</t>
  </si>
  <si>
    <t>x</t>
  </si>
  <si>
    <t>lokakuu loppuu tähän</t>
  </si>
  <si>
    <t>&lt;&lt;&lt;&lt;&lt;&lt; Marraskuu tuohon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</si>
</sst>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i/>
      <u/>
      <sz val="11"/>
      <color theme="1"/>
      <name val="Calibri"/>
      <family val="2"/>
      <scheme val="minor"/>
    </font>
    <font>
      <b/>
      <i/>
      <u/>
      <sz val="18"/>
      <color theme="1"/>
      <name val="Calibri"/>
      <family val="2"/>
      <scheme val="minor"/>
    </font>
    <font>
      <u/>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12">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3" fontId="0" fillId="0" borderId="0" xfId="0" applyNumberFormat="1"/>
    <xf numFmtId="0" fontId="1" fillId="0" borderId="0" xfId="0" applyFont="1"/>
    <xf numFmtId="0" fontId="2" fillId="0" borderId="0" xfId="0" applyFont="1"/>
    <xf numFmtId="0" fontId="3" fillId="0" borderId="0" xfId="0" applyFont="1"/>
    <xf numFmtId="0" fontId="0" fillId="2" borderId="0" xfId="0" applyFill="1"/>
    <xf numFmtId="0" fontId="0" fillId="0" borderId="0" xfId="0" applyAlignment="1">
      <alignment horizontal="right"/>
    </xf>
    <xf numFmtId="0" fontId="0" fillId="2" borderId="0" xfId="0" applyFill="1" applyAlignment="1">
      <alignment horizontal="center"/>
    </xf>
    <xf numFmtId="0" fontId="0" fillId="0" borderId="0" xfId="0" applyNumberFormat="1"/>
  </cellXfs>
  <cellStyles count="1">
    <cellStyle name="Normal" xfId="0" builtinId="0"/>
  </cellStyles>
  <dxfs count="2">
    <dxf>
      <numFmt numFmtId="0" formatCode="General"/>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[517137_teht5 (1).xlsm]raportit!yhteenveto</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stacked"/>
        <c:varyColors val="0"/>
        <c:ser>
          <c:idx val="0"/>
          <c:order val="0"/>
          <c:tx>
            <c:strRef>
              <c:f>raportit!$B$1:$B$2</c:f>
              <c:strCache>
                <c:ptCount val="1"/>
                <c:pt idx="0">
                  <c:v>Lepotuoli</c:v>
                </c:pt>
              </c:strCache>
            </c:strRef>
          </c:tx>
          <c:spPr>
            <a:solidFill>
              <a:schemeClr val="accent1"/>
            </a:solidFill>
            <a:ln>
              <a:noFill/>
            </a:ln>
            <a:effectLst/>
          </c:spPr>
          <c:invertIfNegative val="0"/>
          <c:cat>
            <c:multiLvlStrRef>
              <c:f>raportit!$A$3:$A$21</c:f>
              <c:multiLvlStrCache>
                <c:ptCount val="17"/>
                <c:lvl>
                  <c:pt idx="6">
                    <c:v>1</c:v>
                  </c:pt>
                  <c:pt idx="7">
                    <c:v>2</c:v>
                  </c:pt>
                  <c:pt idx="8">
                    <c:v>3</c:v>
                  </c:pt>
                  <c:pt idx="9">
                    <c:v>4</c:v>
                  </c:pt>
                  <c:pt idx="10">
                    <c:v>5</c:v>
                  </c:pt>
                  <c:pt idx="11">
                    <c:v>6</c:v>
                  </c:pt>
                  <c:pt idx="12">
                    <c:v>7</c:v>
                  </c:pt>
                  <c:pt idx="13">
                    <c:v>8</c:v>
                  </c:pt>
                  <c:pt idx="14">
                    <c:v>9</c:v>
                  </c:pt>
                  <c:pt idx="15">
                    <c:v>10</c:v>
                  </c:pt>
                  <c:pt idx="16">
                    <c:v>11</c:v>
                  </c:pt>
                </c:lvl>
                <c:lvl>
                  <c:pt idx="0">
                    <c:v>2012</c:v>
                  </c:pt>
                  <c:pt idx="1">
                    <c:v>2013</c:v>
                  </c:pt>
                  <c:pt idx="2">
                    <c:v>2014</c:v>
                  </c:pt>
                  <c:pt idx="3">
                    <c:v>2015</c:v>
                  </c:pt>
                  <c:pt idx="4">
                    <c:v>2016</c:v>
                  </c:pt>
                  <c:pt idx="5">
                    <c:v>2017</c:v>
                  </c:pt>
                  <c:pt idx="6">
                    <c:v>2018</c:v>
                  </c:pt>
                </c:lvl>
              </c:multiLvlStrCache>
            </c:multiLvlStrRef>
          </c:cat>
          <c:val>
            <c:numRef>
              <c:f>raportit!$B$3:$B$21</c:f>
              <c:numCache>
                <c:formatCode>#,##0</c:formatCode>
                <c:ptCount val="17"/>
                <c:pt idx="0">
                  <c:v>449610.42</c:v>
                </c:pt>
                <c:pt idx="1">
                  <c:v>446004.06999999995</c:v>
                </c:pt>
                <c:pt idx="2">
                  <c:v>430024.57000000007</c:v>
                </c:pt>
                <c:pt idx="3">
                  <c:v>470578.91000000009</c:v>
                </c:pt>
                <c:pt idx="4">
                  <c:v>417290.92000000004</c:v>
                </c:pt>
                <c:pt idx="5">
                  <c:v>437091.96</c:v>
                </c:pt>
                <c:pt idx="6">
                  <c:v>45076.6</c:v>
                </c:pt>
                <c:pt idx="7">
                  <c:v>34243.25</c:v>
                </c:pt>
                <c:pt idx="8">
                  <c:v>32635.439999999999</c:v>
                </c:pt>
                <c:pt idx="9">
                  <c:v>48573.630000000005</c:v>
                </c:pt>
                <c:pt idx="10">
                  <c:v>37928.17</c:v>
                </c:pt>
                <c:pt idx="11">
                  <c:v>31092.789999999997</c:v>
                </c:pt>
                <c:pt idx="12">
                  <c:v>29244.989999999998</c:v>
                </c:pt>
                <c:pt idx="13">
                  <c:v>41918.58</c:v>
                </c:pt>
                <c:pt idx="14">
                  <c:v>38118.32</c:v>
                </c:pt>
                <c:pt idx="15">
                  <c:v>29521.739999999998</c:v>
                </c:pt>
                <c:pt idx="16">
                  <c:v>27267.68</c:v>
                </c:pt>
              </c:numCache>
            </c:numRef>
          </c:val>
          <c:extLst>
            <c:ext xmlns:c16="http://schemas.microsoft.com/office/drawing/2014/chart" uri="{C3380CC4-5D6E-409C-BE32-E72D297353CC}">
              <c16:uniqueId val="{00000000-DF43-4247-A042-80850F80C53F}"/>
            </c:ext>
          </c:extLst>
        </c:ser>
        <c:ser>
          <c:idx val="1"/>
          <c:order val="1"/>
          <c:tx>
            <c:strRef>
              <c:f>raportit!$C$1:$C$2</c:f>
              <c:strCache>
                <c:ptCount val="1"/>
                <c:pt idx="0">
                  <c:v>Pianotuoli</c:v>
                </c:pt>
              </c:strCache>
            </c:strRef>
          </c:tx>
          <c:spPr>
            <a:solidFill>
              <a:schemeClr val="accent2"/>
            </a:solidFill>
            <a:ln>
              <a:noFill/>
            </a:ln>
            <a:effectLst/>
          </c:spPr>
          <c:invertIfNegative val="0"/>
          <c:cat>
            <c:multiLvlStrRef>
              <c:f>raportit!$A$3:$A$21</c:f>
              <c:multiLvlStrCache>
                <c:ptCount val="17"/>
                <c:lvl>
                  <c:pt idx="6">
                    <c:v>1</c:v>
                  </c:pt>
                  <c:pt idx="7">
                    <c:v>2</c:v>
                  </c:pt>
                  <c:pt idx="8">
                    <c:v>3</c:v>
                  </c:pt>
                  <c:pt idx="9">
                    <c:v>4</c:v>
                  </c:pt>
                  <c:pt idx="10">
                    <c:v>5</c:v>
                  </c:pt>
                  <c:pt idx="11">
                    <c:v>6</c:v>
                  </c:pt>
                  <c:pt idx="12">
                    <c:v>7</c:v>
                  </c:pt>
                  <c:pt idx="13">
                    <c:v>8</c:v>
                  </c:pt>
                  <c:pt idx="14">
                    <c:v>9</c:v>
                  </c:pt>
                  <c:pt idx="15">
                    <c:v>10</c:v>
                  </c:pt>
                  <c:pt idx="16">
                    <c:v>11</c:v>
                  </c:pt>
                </c:lvl>
                <c:lvl>
                  <c:pt idx="0">
                    <c:v>2012</c:v>
                  </c:pt>
                  <c:pt idx="1">
                    <c:v>2013</c:v>
                  </c:pt>
                  <c:pt idx="2">
                    <c:v>2014</c:v>
                  </c:pt>
                  <c:pt idx="3">
                    <c:v>2015</c:v>
                  </c:pt>
                  <c:pt idx="4">
                    <c:v>2016</c:v>
                  </c:pt>
                  <c:pt idx="5">
                    <c:v>2017</c:v>
                  </c:pt>
                  <c:pt idx="6">
                    <c:v>2018</c:v>
                  </c:pt>
                </c:lvl>
              </c:multiLvlStrCache>
            </c:multiLvlStrRef>
          </c:cat>
          <c:val>
            <c:numRef>
              <c:f>raportit!$C$3:$C$21</c:f>
              <c:numCache>
                <c:formatCode>#,##0</c:formatCode>
                <c:ptCount val="17"/>
                <c:pt idx="0">
                  <c:v>477530.88999999996</c:v>
                </c:pt>
                <c:pt idx="1">
                  <c:v>456876.23999999987</c:v>
                </c:pt>
                <c:pt idx="2">
                  <c:v>416930.79999999993</c:v>
                </c:pt>
                <c:pt idx="3">
                  <c:v>481363.22000000003</c:v>
                </c:pt>
                <c:pt idx="4">
                  <c:v>434252.83</c:v>
                </c:pt>
                <c:pt idx="5">
                  <c:v>455305.3600000001</c:v>
                </c:pt>
                <c:pt idx="6">
                  <c:v>32667.59</c:v>
                </c:pt>
                <c:pt idx="7">
                  <c:v>33282.35</c:v>
                </c:pt>
                <c:pt idx="8">
                  <c:v>36001.14</c:v>
                </c:pt>
                <c:pt idx="9">
                  <c:v>43977.63</c:v>
                </c:pt>
                <c:pt idx="10">
                  <c:v>39424.65</c:v>
                </c:pt>
                <c:pt idx="11">
                  <c:v>47018.41</c:v>
                </c:pt>
                <c:pt idx="12">
                  <c:v>36782.81</c:v>
                </c:pt>
                <c:pt idx="13">
                  <c:v>33609.82</c:v>
                </c:pt>
                <c:pt idx="14">
                  <c:v>37885.68</c:v>
                </c:pt>
                <c:pt idx="15">
                  <c:v>41759.75</c:v>
                </c:pt>
                <c:pt idx="16">
                  <c:v>41017.01</c:v>
                </c:pt>
              </c:numCache>
            </c:numRef>
          </c:val>
          <c:extLst>
            <c:ext xmlns:c16="http://schemas.microsoft.com/office/drawing/2014/chart" uri="{C3380CC4-5D6E-409C-BE32-E72D297353CC}">
              <c16:uniqueId val="{00000001-DF43-4247-A042-80850F80C53F}"/>
            </c:ext>
          </c:extLst>
        </c:ser>
        <c:ser>
          <c:idx val="2"/>
          <c:order val="2"/>
          <c:tx>
            <c:strRef>
              <c:f>raportit!$D$1:$D$2</c:f>
              <c:strCache>
                <c:ptCount val="1"/>
                <c:pt idx="0">
                  <c:v>Pinnatuoli</c:v>
                </c:pt>
              </c:strCache>
            </c:strRef>
          </c:tx>
          <c:spPr>
            <a:solidFill>
              <a:schemeClr val="accent3"/>
            </a:solidFill>
            <a:ln>
              <a:noFill/>
            </a:ln>
            <a:effectLst/>
          </c:spPr>
          <c:invertIfNegative val="0"/>
          <c:cat>
            <c:multiLvlStrRef>
              <c:f>raportit!$A$3:$A$21</c:f>
              <c:multiLvlStrCache>
                <c:ptCount val="17"/>
                <c:lvl>
                  <c:pt idx="6">
                    <c:v>1</c:v>
                  </c:pt>
                  <c:pt idx="7">
                    <c:v>2</c:v>
                  </c:pt>
                  <c:pt idx="8">
                    <c:v>3</c:v>
                  </c:pt>
                  <c:pt idx="9">
                    <c:v>4</c:v>
                  </c:pt>
                  <c:pt idx="10">
                    <c:v>5</c:v>
                  </c:pt>
                  <c:pt idx="11">
                    <c:v>6</c:v>
                  </c:pt>
                  <c:pt idx="12">
                    <c:v>7</c:v>
                  </c:pt>
                  <c:pt idx="13">
                    <c:v>8</c:v>
                  </c:pt>
                  <c:pt idx="14">
                    <c:v>9</c:v>
                  </c:pt>
                  <c:pt idx="15">
                    <c:v>10</c:v>
                  </c:pt>
                  <c:pt idx="16">
                    <c:v>11</c:v>
                  </c:pt>
                </c:lvl>
                <c:lvl>
                  <c:pt idx="0">
                    <c:v>2012</c:v>
                  </c:pt>
                  <c:pt idx="1">
                    <c:v>2013</c:v>
                  </c:pt>
                  <c:pt idx="2">
                    <c:v>2014</c:v>
                  </c:pt>
                  <c:pt idx="3">
                    <c:v>2015</c:v>
                  </c:pt>
                  <c:pt idx="4">
                    <c:v>2016</c:v>
                  </c:pt>
                  <c:pt idx="5">
                    <c:v>2017</c:v>
                  </c:pt>
                  <c:pt idx="6">
                    <c:v>2018</c:v>
                  </c:pt>
                </c:lvl>
              </c:multiLvlStrCache>
            </c:multiLvlStrRef>
          </c:cat>
          <c:val>
            <c:numRef>
              <c:f>raportit!$D$3:$D$21</c:f>
              <c:numCache>
                <c:formatCode>#,##0</c:formatCode>
                <c:ptCount val="17"/>
                <c:pt idx="0">
                  <c:v>3110263.24</c:v>
                </c:pt>
                <c:pt idx="1">
                  <c:v>3127642.0700000003</c:v>
                </c:pt>
                <c:pt idx="2">
                  <c:v>3095659.1599999997</c:v>
                </c:pt>
                <c:pt idx="3">
                  <c:v>2820736.7199999997</c:v>
                </c:pt>
                <c:pt idx="4">
                  <c:v>3012560.5999999996</c:v>
                </c:pt>
                <c:pt idx="5">
                  <c:v>2815433.5</c:v>
                </c:pt>
                <c:pt idx="6">
                  <c:v>210991.62</c:v>
                </c:pt>
                <c:pt idx="7">
                  <c:v>191607.67999999999</c:v>
                </c:pt>
                <c:pt idx="8">
                  <c:v>275290.63</c:v>
                </c:pt>
                <c:pt idx="9">
                  <c:v>279473.91000000003</c:v>
                </c:pt>
                <c:pt idx="10">
                  <c:v>303754.70999999996</c:v>
                </c:pt>
                <c:pt idx="11">
                  <c:v>200079.99</c:v>
                </c:pt>
                <c:pt idx="12">
                  <c:v>200682.78</c:v>
                </c:pt>
                <c:pt idx="13">
                  <c:v>271014.27</c:v>
                </c:pt>
                <c:pt idx="14">
                  <c:v>284658.08</c:v>
                </c:pt>
                <c:pt idx="15">
                  <c:v>223032.48</c:v>
                </c:pt>
                <c:pt idx="16">
                  <c:v>274827.31</c:v>
                </c:pt>
              </c:numCache>
            </c:numRef>
          </c:val>
          <c:extLst>
            <c:ext xmlns:c16="http://schemas.microsoft.com/office/drawing/2014/chart" uri="{C3380CC4-5D6E-409C-BE32-E72D297353CC}">
              <c16:uniqueId val="{00000002-DF43-4247-A042-80850F80C53F}"/>
            </c:ext>
          </c:extLst>
        </c:ser>
        <c:ser>
          <c:idx val="3"/>
          <c:order val="3"/>
          <c:tx>
            <c:strRef>
              <c:f>raportit!$E$1:$E$2</c:f>
              <c:strCache>
                <c:ptCount val="1"/>
                <c:pt idx="0">
                  <c:v>Rahi</c:v>
                </c:pt>
              </c:strCache>
            </c:strRef>
          </c:tx>
          <c:spPr>
            <a:solidFill>
              <a:schemeClr val="accent4"/>
            </a:solidFill>
            <a:ln>
              <a:noFill/>
            </a:ln>
            <a:effectLst/>
          </c:spPr>
          <c:invertIfNegative val="0"/>
          <c:cat>
            <c:multiLvlStrRef>
              <c:f>raportit!$A$3:$A$21</c:f>
              <c:multiLvlStrCache>
                <c:ptCount val="17"/>
                <c:lvl>
                  <c:pt idx="6">
                    <c:v>1</c:v>
                  </c:pt>
                  <c:pt idx="7">
                    <c:v>2</c:v>
                  </c:pt>
                  <c:pt idx="8">
                    <c:v>3</c:v>
                  </c:pt>
                  <c:pt idx="9">
                    <c:v>4</c:v>
                  </c:pt>
                  <c:pt idx="10">
                    <c:v>5</c:v>
                  </c:pt>
                  <c:pt idx="11">
                    <c:v>6</c:v>
                  </c:pt>
                  <c:pt idx="12">
                    <c:v>7</c:v>
                  </c:pt>
                  <c:pt idx="13">
                    <c:v>8</c:v>
                  </c:pt>
                  <c:pt idx="14">
                    <c:v>9</c:v>
                  </c:pt>
                  <c:pt idx="15">
                    <c:v>10</c:v>
                  </c:pt>
                  <c:pt idx="16">
                    <c:v>11</c:v>
                  </c:pt>
                </c:lvl>
                <c:lvl>
                  <c:pt idx="0">
                    <c:v>2012</c:v>
                  </c:pt>
                  <c:pt idx="1">
                    <c:v>2013</c:v>
                  </c:pt>
                  <c:pt idx="2">
                    <c:v>2014</c:v>
                  </c:pt>
                  <c:pt idx="3">
                    <c:v>2015</c:v>
                  </c:pt>
                  <c:pt idx="4">
                    <c:v>2016</c:v>
                  </c:pt>
                  <c:pt idx="5">
                    <c:v>2017</c:v>
                  </c:pt>
                  <c:pt idx="6">
                    <c:v>2018</c:v>
                  </c:pt>
                </c:lvl>
              </c:multiLvlStrCache>
            </c:multiLvlStrRef>
          </c:cat>
          <c:val>
            <c:numRef>
              <c:f>raportit!$E$3:$E$21</c:f>
              <c:numCache>
                <c:formatCode>#,##0</c:formatCode>
                <c:ptCount val="17"/>
                <c:pt idx="0">
                  <c:v>294197.16000000003</c:v>
                </c:pt>
                <c:pt idx="1">
                  <c:v>256599.96</c:v>
                </c:pt>
                <c:pt idx="2">
                  <c:v>278223.96999999991</c:v>
                </c:pt>
                <c:pt idx="3">
                  <c:v>284793.53999999998</c:v>
                </c:pt>
                <c:pt idx="4">
                  <c:v>262962.35999999993</c:v>
                </c:pt>
                <c:pt idx="5">
                  <c:v>276391.94</c:v>
                </c:pt>
                <c:pt idx="6">
                  <c:v>14442.400000000001</c:v>
                </c:pt>
                <c:pt idx="7">
                  <c:v>14558.07</c:v>
                </c:pt>
                <c:pt idx="8">
                  <c:v>30295.920000000006</c:v>
                </c:pt>
                <c:pt idx="9">
                  <c:v>18340.7</c:v>
                </c:pt>
                <c:pt idx="10">
                  <c:v>16629.169999999998</c:v>
                </c:pt>
                <c:pt idx="11">
                  <c:v>29696.27</c:v>
                </c:pt>
                <c:pt idx="12">
                  <c:v>25340.28</c:v>
                </c:pt>
                <c:pt idx="13">
                  <c:v>27178.559999999998</c:v>
                </c:pt>
                <c:pt idx="14">
                  <c:v>22121.57</c:v>
                </c:pt>
                <c:pt idx="15">
                  <c:v>28608.83</c:v>
                </c:pt>
                <c:pt idx="16">
                  <c:v>16078.220000000001</c:v>
                </c:pt>
              </c:numCache>
            </c:numRef>
          </c:val>
          <c:extLst>
            <c:ext xmlns:c16="http://schemas.microsoft.com/office/drawing/2014/chart" uri="{C3380CC4-5D6E-409C-BE32-E72D297353CC}">
              <c16:uniqueId val="{00000003-DF43-4247-A042-80850F80C53F}"/>
            </c:ext>
          </c:extLst>
        </c:ser>
        <c:ser>
          <c:idx val="4"/>
          <c:order val="4"/>
          <c:tx>
            <c:strRef>
              <c:f>raportit!$F$1:$F$2</c:f>
              <c:strCache>
                <c:ptCount val="1"/>
                <c:pt idx="0">
                  <c:v>Säkkituoli</c:v>
                </c:pt>
              </c:strCache>
            </c:strRef>
          </c:tx>
          <c:spPr>
            <a:solidFill>
              <a:schemeClr val="accent5"/>
            </a:solidFill>
            <a:ln>
              <a:noFill/>
            </a:ln>
            <a:effectLst/>
          </c:spPr>
          <c:invertIfNegative val="0"/>
          <c:cat>
            <c:multiLvlStrRef>
              <c:f>raportit!$A$3:$A$21</c:f>
              <c:multiLvlStrCache>
                <c:ptCount val="17"/>
                <c:lvl>
                  <c:pt idx="6">
                    <c:v>1</c:v>
                  </c:pt>
                  <c:pt idx="7">
                    <c:v>2</c:v>
                  </c:pt>
                  <c:pt idx="8">
                    <c:v>3</c:v>
                  </c:pt>
                  <c:pt idx="9">
                    <c:v>4</c:v>
                  </c:pt>
                  <c:pt idx="10">
                    <c:v>5</c:v>
                  </c:pt>
                  <c:pt idx="11">
                    <c:v>6</c:v>
                  </c:pt>
                  <c:pt idx="12">
                    <c:v>7</c:v>
                  </c:pt>
                  <c:pt idx="13">
                    <c:v>8</c:v>
                  </c:pt>
                  <c:pt idx="14">
                    <c:v>9</c:v>
                  </c:pt>
                  <c:pt idx="15">
                    <c:v>10</c:v>
                  </c:pt>
                  <c:pt idx="16">
                    <c:v>11</c:v>
                  </c:pt>
                </c:lvl>
                <c:lvl>
                  <c:pt idx="0">
                    <c:v>2012</c:v>
                  </c:pt>
                  <c:pt idx="1">
                    <c:v>2013</c:v>
                  </c:pt>
                  <c:pt idx="2">
                    <c:v>2014</c:v>
                  </c:pt>
                  <c:pt idx="3">
                    <c:v>2015</c:v>
                  </c:pt>
                  <c:pt idx="4">
                    <c:v>2016</c:v>
                  </c:pt>
                  <c:pt idx="5">
                    <c:v>2017</c:v>
                  </c:pt>
                  <c:pt idx="6">
                    <c:v>2018</c:v>
                  </c:pt>
                </c:lvl>
              </c:multiLvlStrCache>
            </c:multiLvlStrRef>
          </c:cat>
          <c:val>
            <c:numRef>
              <c:f>raportit!$F$3:$F$21</c:f>
              <c:numCache>
                <c:formatCode>#,##0</c:formatCode>
                <c:ptCount val="17"/>
                <c:pt idx="0">
                  <c:v>107504.86</c:v>
                </c:pt>
                <c:pt idx="1">
                  <c:v>113853.41999999998</c:v>
                </c:pt>
                <c:pt idx="2">
                  <c:v>117218.55</c:v>
                </c:pt>
                <c:pt idx="3">
                  <c:v>112194.14000000001</c:v>
                </c:pt>
                <c:pt idx="4">
                  <c:v>129370.84000000001</c:v>
                </c:pt>
                <c:pt idx="5">
                  <c:v>102954.19</c:v>
                </c:pt>
                <c:pt idx="6">
                  <c:v>6872.29</c:v>
                </c:pt>
                <c:pt idx="7">
                  <c:v>7201.63</c:v>
                </c:pt>
                <c:pt idx="8">
                  <c:v>7448.05</c:v>
                </c:pt>
                <c:pt idx="9">
                  <c:v>7800.47</c:v>
                </c:pt>
                <c:pt idx="10">
                  <c:v>6463.2999999999993</c:v>
                </c:pt>
                <c:pt idx="11">
                  <c:v>10071.51</c:v>
                </c:pt>
                <c:pt idx="12">
                  <c:v>15070.740000000002</c:v>
                </c:pt>
                <c:pt idx="13">
                  <c:v>9885.32</c:v>
                </c:pt>
                <c:pt idx="14">
                  <c:v>13212.509999999998</c:v>
                </c:pt>
                <c:pt idx="15">
                  <c:v>12363.429999999998</c:v>
                </c:pt>
                <c:pt idx="16">
                  <c:v>6628.2999999999993</c:v>
                </c:pt>
              </c:numCache>
            </c:numRef>
          </c:val>
          <c:extLst>
            <c:ext xmlns:c16="http://schemas.microsoft.com/office/drawing/2014/chart" uri="{C3380CC4-5D6E-409C-BE32-E72D297353CC}">
              <c16:uniqueId val="{00000004-DF43-4247-A042-80850F80C53F}"/>
            </c:ext>
          </c:extLst>
        </c:ser>
        <c:ser>
          <c:idx val="5"/>
          <c:order val="5"/>
          <c:tx>
            <c:strRef>
              <c:f>raportit!$G$1:$G$2</c:f>
              <c:strCache>
                <c:ptCount val="1"/>
                <c:pt idx="0">
                  <c:v>Työtuoli</c:v>
                </c:pt>
              </c:strCache>
            </c:strRef>
          </c:tx>
          <c:spPr>
            <a:solidFill>
              <a:schemeClr val="accent6"/>
            </a:solidFill>
            <a:ln>
              <a:noFill/>
            </a:ln>
            <a:effectLst/>
          </c:spPr>
          <c:invertIfNegative val="0"/>
          <c:cat>
            <c:multiLvlStrRef>
              <c:f>raportit!$A$3:$A$21</c:f>
              <c:multiLvlStrCache>
                <c:ptCount val="17"/>
                <c:lvl>
                  <c:pt idx="6">
                    <c:v>1</c:v>
                  </c:pt>
                  <c:pt idx="7">
                    <c:v>2</c:v>
                  </c:pt>
                  <c:pt idx="8">
                    <c:v>3</c:v>
                  </c:pt>
                  <c:pt idx="9">
                    <c:v>4</c:v>
                  </c:pt>
                  <c:pt idx="10">
                    <c:v>5</c:v>
                  </c:pt>
                  <c:pt idx="11">
                    <c:v>6</c:v>
                  </c:pt>
                  <c:pt idx="12">
                    <c:v>7</c:v>
                  </c:pt>
                  <c:pt idx="13">
                    <c:v>8</c:v>
                  </c:pt>
                  <c:pt idx="14">
                    <c:v>9</c:v>
                  </c:pt>
                  <c:pt idx="15">
                    <c:v>10</c:v>
                  </c:pt>
                  <c:pt idx="16">
                    <c:v>11</c:v>
                  </c:pt>
                </c:lvl>
                <c:lvl>
                  <c:pt idx="0">
                    <c:v>2012</c:v>
                  </c:pt>
                  <c:pt idx="1">
                    <c:v>2013</c:v>
                  </c:pt>
                  <c:pt idx="2">
                    <c:v>2014</c:v>
                  </c:pt>
                  <c:pt idx="3">
                    <c:v>2015</c:v>
                  </c:pt>
                  <c:pt idx="4">
                    <c:v>2016</c:v>
                  </c:pt>
                  <c:pt idx="5">
                    <c:v>2017</c:v>
                  </c:pt>
                  <c:pt idx="6">
                    <c:v>2018</c:v>
                  </c:pt>
                </c:lvl>
              </c:multiLvlStrCache>
            </c:multiLvlStrRef>
          </c:cat>
          <c:val>
            <c:numRef>
              <c:f>raportit!$G$3:$G$21</c:f>
              <c:numCache>
                <c:formatCode>#,##0</c:formatCode>
                <c:ptCount val="17"/>
                <c:pt idx="0">
                  <c:v>2514467.459999999</c:v>
                </c:pt>
                <c:pt idx="1">
                  <c:v>2514018.2099999995</c:v>
                </c:pt>
                <c:pt idx="2">
                  <c:v>2559523.0499999998</c:v>
                </c:pt>
                <c:pt idx="3">
                  <c:v>2617349.3099999996</c:v>
                </c:pt>
                <c:pt idx="4">
                  <c:v>2600432.09</c:v>
                </c:pt>
                <c:pt idx="5">
                  <c:v>2785777.79</c:v>
                </c:pt>
                <c:pt idx="6">
                  <c:v>113243.1</c:v>
                </c:pt>
                <c:pt idx="7">
                  <c:v>122878.01</c:v>
                </c:pt>
                <c:pt idx="8">
                  <c:v>150389</c:v>
                </c:pt>
                <c:pt idx="9">
                  <c:v>140263.4</c:v>
                </c:pt>
                <c:pt idx="10">
                  <c:v>133429.45000000001</c:v>
                </c:pt>
                <c:pt idx="11">
                  <c:v>176674.93</c:v>
                </c:pt>
                <c:pt idx="12">
                  <c:v>129472.87</c:v>
                </c:pt>
                <c:pt idx="13">
                  <c:v>220447.8</c:v>
                </c:pt>
                <c:pt idx="14">
                  <c:v>173477.78</c:v>
                </c:pt>
                <c:pt idx="15">
                  <c:v>199839.1</c:v>
                </c:pt>
                <c:pt idx="16">
                  <c:v>245905.40999999997</c:v>
                </c:pt>
              </c:numCache>
            </c:numRef>
          </c:val>
          <c:extLst>
            <c:ext xmlns:c16="http://schemas.microsoft.com/office/drawing/2014/chart" uri="{C3380CC4-5D6E-409C-BE32-E72D297353CC}">
              <c16:uniqueId val="{00000005-DF43-4247-A042-80850F80C53F}"/>
            </c:ext>
          </c:extLst>
        </c:ser>
        <c:dLbls>
          <c:showLegendKey val="0"/>
          <c:showVal val="0"/>
          <c:showCatName val="0"/>
          <c:showSerName val="0"/>
          <c:showPercent val="0"/>
          <c:showBubbleSize val="0"/>
        </c:dLbls>
        <c:gapWidth val="150"/>
        <c:overlap val="100"/>
        <c:axId val="228768056"/>
        <c:axId val="228768448"/>
      </c:barChart>
      <c:catAx>
        <c:axId val="228768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768448"/>
        <c:crosses val="autoZero"/>
        <c:auto val="1"/>
        <c:lblAlgn val="ctr"/>
        <c:lblOffset val="100"/>
        <c:noMultiLvlLbl val="0"/>
      </c:catAx>
      <c:valAx>
        <c:axId val="228768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768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0</xdr:colOff>
      <xdr:row>1</xdr:row>
      <xdr:rowOff>0</xdr:rowOff>
    </xdr:from>
    <xdr:to>
      <xdr:col>16</xdr:col>
      <xdr:colOff>0</xdr:colOff>
      <xdr:row>17</xdr:row>
      <xdr:rowOff>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7620</xdr:colOff>
      <xdr:row>1</xdr:row>
      <xdr:rowOff>152400</xdr:rowOff>
    </xdr:from>
    <xdr:to>
      <xdr:col>18</xdr:col>
      <xdr:colOff>396240</xdr:colOff>
      <xdr:row>15</xdr:row>
      <xdr:rowOff>59055</xdr:rowOff>
    </xdr:to>
    <mc:AlternateContent xmlns:mc="http://schemas.openxmlformats.org/markup-compatibility/2006" xmlns:a14="http://schemas.microsoft.com/office/drawing/2010/main">
      <mc:Choice Requires="a14">
        <xdr:graphicFrame macro="">
          <xdr:nvGraphicFramePr>
            <xdr:cNvPr id="2" name="Piiri">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Piiri"/>
            </a:graphicData>
          </a:graphic>
        </xdr:graphicFrame>
      </mc:Choice>
      <mc:Fallback xmlns="">
        <xdr:sp macro="" textlink="">
          <xdr:nvSpPr>
            <xdr:cNvPr id="0" name=""/>
            <xdr:cNvSpPr>
              <a:spLocks noTextEdit="1"/>
            </xdr:cNvSpPr>
          </xdr:nvSpPr>
          <xdr:spPr>
            <a:xfrm>
              <a:off x="11864340" y="335280"/>
              <a:ext cx="1828800" cy="246697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830580</xdr:colOff>
      <xdr:row>5</xdr:row>
      <xdr:rowOff>22860</xdr:rowOff>
    </xdr:from>
    <xdr:to>
      <xdr:col>8</xdr:col>
      <xdr:colOff>167640</xdr:colOff>
      <xdr:row>13</xdr:row>
      <xdr:rowOff>7620</xdr:rowOff>
    </xdr:to>
    <xdr:sp macro="[0]!pää" textlink="">
      <xdr:nvSpPr>
        <xdr:cNvPr id="2" name="Flowchart: Magnetic Disk 1">
          <a:extLst>
            <a:ext uri="{FF2B5EF4-FFF2-40B4-BE49-F238E27FC236}">
              <a16:creationId xmlns:a16="http://schemas.microsoft.com/office/drawing/2014/main" id="{00000000-0008-0000-0100-000002000000}"/>
            </a:ext>
          </a:extLst>
        </xdr:cNvPr>
        <xdr:cNvSpPr/>
      </xdr:nvSpPr>
      <xdr:spPr>
        <a:xfrm>
          <a:off x="4892040" y="1051560"/>
          <a:ext cx="1379220" cy="1447800"/>
        </a:xfrm>
        <a:prstGeom prst="flowChartMagneticDisk">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i-FI" sz="2000"/>
            <a:t>NOUDA</a:t>
          </a:r>
        </a:p>
      </xdr:txBody>
    </xdr:sp>
    <xdr:clientData/>
  </xdr:twoCellAnchor>
  <xdr:twoCellAnchor>
    <xdr:from>
      <xdr:col>8</xdr:col>
      <xdr:colOff>198120</xdr:colOff>
      <xdr:row>11</xdr:row>
      <xdr:rowOff>144780</xdr:rowOff>
    </xdr:from>
    <xdr:to>
      <xdr:col>9</xdr:col>
      <xdr:colOff>441960</xdr:colOff>
      <xdr:row>12</xdr:row>
      <xdr:rowOff>114300</xdr:rowOff>
    </xdr:to>
    <xdr:sp macro="[0]!pää" textlink="">
      <xdr:nvSpPr>
        <xdr:cNvPr id="3" name="Right Arrow 2">
          <a:extLst>
            <a:ext uri="{FF2B5EF4-FFF2-40B4-BE49-F238E27FC236}">
              <a16:creationId xmlns:a16="http://schemas.microsoft.com/office/drawing/2014/main" id="{00000000-0008-0000-0100-000003000000}"/>
            </a:ext>
          </a:extLst>
        </xdr:cNvPr>
        <xdr:cNvSpPr/>
      </xdr:nvSpPr>
      <xdr:spPr>
        <a:xfrm rot="12856336">
          <a:off x="6301740" y="2270760"/>
          <a:ext cx="853440" cy="1524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i-FI"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ura Pihamaa" refreshedDate="43437.721497222221" createdVersion="5" refreshedVersion="6" minRefreshableVersion="3" recordCount="5644" xr:uid="{00000000-000A-0000-FFFF-FFFF1A000000}">
  <cacheSource type="worksheet">
    <worksheetSource name="myynnit"/>
  </cacheSource>
  <cacheFields count="8">
    <cacheField name="Piiri" numFmtId="0">
      <sharedItems count="4">
        <s v="HELSINKI"/>
        <s v="OULU"/>
        <s v="TAMPERE"/>
        <s v="TURKU"/>
      </sharedItems>
    </cacheField>
    <cacheField name="Vuosi" numFmtId="0">
      <sharedItems containsSemiMixedTypes="0" containsString="0" containsNumber="1" containsInteger="1" minValue="2012" maxValue="2018" count="7">
        <n v="2012"/>
        <n v="2013"/>
        <n v="2014"/>
        <n v="2015"/>
        <n v="2016"/>
        <n v="2017"/>
        <n v="2018"/>
      </sharedItems>
    </cacheField>
    <cacheField name="Kuu" numFmtId="0">
      <sharedItems containsSemiMixedTypes="0" containsString="0" containsNumber="1" containsInteger="1" minValue="1" maxValue="12" count="12">
        <n v="1"/>
        <n v="2"/>
        <n v="3"/>
        <n v="4"/>
        <n v="5"/>
        <n v="6"/>
        <n v="7"/>
        <n v="8"/>
        <n v="9"/>
        <n v="10"/>
        <n v="11"/>
        <n v="12"/>
      </sharedItems>
    </cacheField>
    <cacheField name="TuoteID" numFmtId="0">
      <sharedItems containsSemiMixedTypes="0" containsString="0" containsNumber="1" containsInteger="1" minValue="12184" maxValue="24326"/>
    </cacheField>
    <cacheField name="Kpl" numFmtId="0">
      <sharedItems containsSemiMixedTypes="0" containsString="0" containsNumber="1" containsInteger="1" minValue="3" maxValue="1420"/>
    </cacheField>
    <cacheField name="Tuotto" numFmtId="0">
      <sharedItems containsSemiMixedTypes="0" containsString="0" containsNumber="1" minValue="454.17" maxValue="233658.7"/>
    </cacheField>
    <cacheField name="Kate" numFmtId="0">
      <sharedItems containsSemiMixedTypes="0" containsString="0" containsNumber="1" minValue="193.85" maxValue="72777.899999999994"/>
    </cacheField>
    <cacheField name="Ryhmä" numFmtId="0">
      <sharedItems containsBlank="1" count="7">
        <s v="Rahi"/>
        <s v="Pianotuoli"/>
        <s v="Pinnatuoli"/>
        <s v="Työtuoli"/>
        <s v="Lepotuoli"/>
        <s v="Säkkituoli"/>
        <m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644">
  <r>
    <x v="0"/>
    <x v="0"/>
    <x v="0"/>
    <n v="12184"/>
    <n v="97"/>
    <n v="13184.63"/>
    <n v="6942.9"/>
    <x v="0"/>
  </r>
  <r>
    <x v="0"/>
    <x v="0"/>
    <x v="0"/>
    <n v="12622"/>
    <n v="36"/>
    <n v="8321.24"/>
    <n v="3582.94"/>
    <x v="1"/>
  </r>
  <r>
    <x v="0"/>
    <x v="0"/>
    <x v="0"/>
    <n v="13527"/>
    <n v="344"/>
    <n v="56028.88"/>
    <n v="9149.33"/>
    <x v="2"/>
  </r>
  <r>
    <x v="0"/>
    <x v="0"/>
    <x v="0"/>
    <n v="13618"/>
    <n v="12"/>
    <n v="4573.41"/>
    <n v="2177.5300000000002"/>
    <x v="1"/>
  </r>
  <r>
    <x v="0"/>
    <x v="0"/>
    <x v="0"/>
    <n v="16024"/>
    <n v="147"/>
    <n v="60598.21"/>
    <n v="18530.060000000001"/>
    <x v="3"/>
  </r>
  <r>
    <x v="0"/>
    <x v="0"/>
    <x v="0"/>
    <n v="16650"/>
    <n v="72"/>
    <n v="12035.61"/>
    <n v="4925.8100000000004"/>
    <x v="0"/>
  </r>
  <r>
    <x v="0"/>
    <x v="0"/>
    <x v="0"/>
    <n v="17892"/>
    <n v="170"/>
    <n v="25018.98"/>
    <n v="6676.41"/>
    <x v="4"/>
  </r>
  <r>
    <x v="0"/>
    <x v="0"/>
    <x v="0"/>
    <n v="18342"/>
    <n v="260"/>
    <n v="213881.79"/>
    <n v="53731.61"/>
    <x v="3"/>
  </r>
  <r>
    <x v="0"/>
    <x v="0"/>
    <x v="0"/>
    <n v="20177"/>
    <n v="118"/>
    <n v="11447.98"/>
    <n v="3717.41"/>
    <x v="5"/>
  </r>
  <r>
    <x v="0"/>
    <x v="0"/>
    <x v="0"/>
    <n v="21179"/>
    <n v="71"/>
    <n v="7952.06"/>
    <n v="3299.25"/>
    <x v="0"/>
  </r>
  <r>
    <x v="0"/>
    <x v="0"/>
    <x v="0"/>
    <n v="21260"/>
    <n v="45"/>
    <n v="7805.24"/>
    <n v="2019"/>
    <x v="4"/>
  </r>
  <r>
    <x v="0"/>
    <x v="0"/>
    <x v="0"/>
    <n v="22317"/>
    <n v="66"/>
    <n v="5884.75"/>
    <n v="2073.42"/>
    <x v="5"/>
  </r>
  <r>
    <x v="0"/>
    <x v="0"/>
    <x v="0"/>
    <n v="22940"/>
    <n v="404"/>
    <n v="50492.82"/>
    <n v="8142.54"/>
    <x v="2"/>
  </r>
  <r>
    <x v="0"/>
    <x v="0"/>
    <x v="0"/>
    <n v="23178"/>
    <n v="380"/>
    <n v="64787.8"/>
    <n v="13120.36"/>
    <x v="2"/>
  </r>
  <r>
    <x v="0"/>
    <x v="0"/>
    <x v="0"/>
    <n v="23600"/>
    <n v="1287"/>
    <n v="145910.26999999999"/>
    <n v="34971.14"/>
    <x v="2"/>
  </r>
  <r>
    <x v="0"/>
    <x v="0"/>
    <x v="0"/>
    <n v="23756"/>
    <n v="109"/>
    <n v="22931.21"/>
    <n v="9286.7099999999991"/>
    <x v="1"/>
  </r>
  <r>
    <x v="0"/>
    <x v="0"/>
    <x v="0"/>
    <n v="24326"/>
    <n v="152"/>
    <n v="22894.47"/>
    <n v="6914.43"/>
    <x v="4"/>
  </r>
  <r>
    <x v="1"/>
    <x v="0"/>
    <x v="0"/>
    <n v="12184"/>
    <n v="26"/>
    <n v="2580.0700000000002"/>
    <n v="1264.46"/>
    <x v="0"/>
  </r>
  <r>
    <x v="1"/>
    <x v="0"/>
    <x v="0"/>
    <n v="12622"/>
    <n v="22"/>
    <n v="6352.58"/>
    <n v="2247.7800000000002"/>
    <x v="1"/>
  </r>
  <r>
    <x v="1"/>
    <x v="0"/>
    <x v="0"/>
    <n v="13527"/>
    <n v="185"/>
    <n v="27070.560000000001"/>
    <n v="5530.44"/>
    <x v="2"/>
  </r>
  <r>
    <x v="1"/>
    <x v="0"/>
    <x v="0"/>
    <n v="13618"/>
    <n v="10"/>
    <n v="3608.11"/>
    <n v="1637.83"/>
    <x v="1"/>
  </r>
  <r>
    <x v="1"/>
    <x v="0"/>
    <x v="0"/>
    <n v="16024"/>
    <n v="165"/>
    <n v="79740.38"/>
    <n v="25691.69"/>
    <x v="3"/>
  </r>
  <r>
    <x v="1"/>
    <x v="0"/>
    <x v="0"/>
    <n v="16650"/>
    <n v="28"/>
    <n v="4501.7"/>
    <n v="2602.5"/>
    <x v="0"/>
  </r>
  <r>
    <x v="1"/>
    <x v="0"/>
    <x v="0"/>
    <n v="17892"/>
    <n v="60"/>
    <n v="9120.67"/>
    <n v="1979.23"/>
    <x v="4"/>
  </r>
  <r>
    <x v="1"/>
    <x v="0"/>
    <x v="0"/>
    <n v="18342"/>
    <n v="33"/>
    <n v="30875.9"/>
    <n v="10656.8"/>
    <x v="3"/>
  </r>
  <r>
    <x v="1"/>
    <x v="0"/>
    <x v="0"/>
    <n v="20177"/>
    <n v="12"/>
    <n v="1332.65"/>
    <n v="455.04"/>
    <x v="5"/>
  </r>
  <r>
    <x v="1"/>
    <x v="0"/>
    <x v="0"/>
    <n v="21179"/>
    <n v="31"/>
    <n v="4691.32"/>
    <n v="2304.96"/>
    <x v="0"/>
  </r>
  <r>
    <x v="1"/>
    <x v="0"/>
    <x v="0"/>
    <n v="21260"/>
    <n v="46"/>
    <n v="7997.19"/>
    <n v="1844.64"/>
    <x v="4"/>
  </r>
  <r>
    <x v="1"/>
    <x v="0"/>
    <x v="0"/>
    <n v="22317"/>
    <n v="13"/>
    <n v="1163.5999999999999"/>
    <n v="582.22"/>
    <x v="5"/>
  </r>
  <r>
    <x v="1"/>
    <x v="0"/>
    <x v="0"/>
    <n v="22940"/>
    <n v="141"/>
    <n v="20134.95"/>
    <n v="5291"/>
    <x v="2"/>
  </r>
  <r>
    <x v="1"/>
    <x v="0"/>
    <x v="0"/>
    <n v="23178"/>
    <n v="186"/>
    <n v="31892.76"/>
    <n v="7874.72"/>
    <x v="2"/>
  </r>
  <r>
    <x v="1"/>
    <x v="0"/>
    <x v="0"/>
    <n v="23600"/>
    <n v="491"/>
    <n v="54831.64"/>
    <n v="16389.82"/>
    <x v="2"/>
  </r>
  <r>
    <x v="1"/>
    <x v="0"/>
    <x v="0"/>
    <n v="23756"/>
    <n v="34"/>
    <n v="5523.25"/>
    <n v="2362.63"/>
    <x v="1"/>
  </r>
  <r>
    <x v="1"/>
    <x v="0"/>
    <x v="0"/>
    <n v="24326"/>
    <n v="39"/>
    <n v="5872.45"/>
    <n v="1777.95"/>
    <x v="4"/>
  </r>
  <r>
    <x v="2"/>
    <x v="0"/>
    <x v="0"/>
    <n v="12184"/>
    <n v="64"/>
    <n v="8409.4500000000007"/>
    <n v="5934.18"/>
    <x v="0"/>
  </r>
  <r>
    <x v="2"/>
    <x v="0"/>
    <x v="0"/>
    <n v="12622"/>
    <n v="43"/>
    <n v="11488.25"/>
    <n v="7225.14"/>
    <x v="1"/>
  </r>
  <r>
    <x v="2"/>
    <x v="0"/>
    <x v="0"/>
    <n v="13527"/>
    <n v="508"/>
    <n v="74866.83"/>
    <n v="20280.18"/>
    <x v="2"/>
  </r>
  <r>
    <x v="2"/>
    <x v="0"/>
    <x v="0"/>
    <n v="13618"/>
    <n v="28"/>
    <n v="9440.85"/>
    <n v="4707.87"/>
    <x v="1"/>
  </r>
  <r>
    <x v="2"/>
    <x v="0"/>
    <x v="0"/>
    <n v="16024"/>
    <n v="304"/>
    <n v="129682.14"/>
    <n v="41531.550000000003"/>
    <x v="3"/>
  </r>
  <r>
    <x v="2"/>
    <x v="0"/>
    <x v="0"/>
    <n v="16650"/>
    <n v="18"/>
    <n v="3209.31"/>
    <n v="2299.5100000000002"/>
    <x v="0"/>
  </r>
  <r>
    <x v="2"/>
    <x v="0"/>
    <x v="0"/>
    <n v="17892"/>
    <n v="71"/>
    <n v="9081.27"/>
    <n v="2793.44"/>
    <x v="4"/>
  </r>
  <r>
    <x v="2"/>
    <x v="0"/>
    <x v="0"/>
    <n v="18342"/>
    <n v="179"/>
    <n v="153180.35999999999"/>
    <n v="46804.13"/>
    <x v="3"/>
  </r>
  <r>
    <x v="2"/>
    <x v="0"/>
    <x v="0"/>
    <n v="20177"/>
    <n v="65"/>
    <n v="7010.81"/>
    <n v="3627.72"/>
    <x v="5"/>
  </r>
  <r>
    <x v="2"/>
    <x v="0"/>
    <x v="0"/>
    <n v="21179"/>
    <n v="27"/>
    <n v="2851.77"/>
    <n v="2050.1999999999998"/>
    <x v="0"/>
  </r>
  <r>
    <x v="2"/>
    <x v="0"/>
    <x v="0"/>
    <n v="21260"/>
    <n v="46"/>
    <n v="8257.2800000000007"/>
    <n v="2688.55"/>
    <x v="4"/>
  </r>
  <r>
    <x v="2"/>
    <x v="0"/>
    <x v="0"/>
    <n v="22317"/>
    <n v="20"/>
    <n v="1646.7"/>
    <n v="772.14"/>
    <x v="5"/>
  </r>
  <r>
    <x v="2"/>
    <x v="0"/>
    <x v="0"/>
    <n v="22940"/>
    <n v="366"/>
    <n v="51380.71"/>
    <n v="11384.07"/>
    <x v="2"/>
  </r>
  <r>
    <x v="2"/>
    <x v="0"/>
    <x v="0"/>
    <n v="23178"/>
    <n v="153"/>
    <n v="25612.34"/>
    <n v="6616.11"/>
    <x v="2"/>
  </r>
  <r>
    <x v="2"/>
    <x v="0"/>
    <x v="0"/>
    <n v="23600"/>
    <n v="445"/>
    <n v="46234"/>
    <n v="14175.22"/>
    <x v="2"/>
  </r>
  <r>
    <x v="2"/>
    <x v="0"/>
    <x v="0"/>
    <n v="23756"/>
    <n v="133"/>
    <n v="26789.07"/>
    <n v="15713.32"/>
    <x v="1"/>
  </r>
  <r>
    <x v="2"/>
    <x v="0"/>
    <x v="0"/>
    <n v="24326"/>
    <n v="62"/>
    <n v="9877.24"/>
    <n v="2776.47"/>
    <x v="4"/>
  </r>
  <r>
    <x v="3"/>
    <x v="0"/>
    <x v="0"/>
    <n v="12184"/>
    <n v="70"/>
    <n v="10382.77"/>
    <n v="5707.46"/>
    <x v="0"/>
  </r>
  <r>
    <x v="3"/>
    <x v="0"/>
    <x v="0"/>
    <n v="12622"/>
    <n v="27"/>
    <n v="6187.73"/>
    <n v="2752.27"/>
    <x v="1"/>
  </r>
  <r>
    <x v="3"/>
    <x v="0"/>
    <x v="0"/>
    <n v="13527"/>
    <n v="479"/>
    <n v="72612.75"/>
    <n v="16734.91"/>
    <x v="2"/>
  </r>
  <r>
    <x v="3"/>
    <x v="0"/>
    <x v="0"/>
    <n v="13618"/>
    <n v="14"/>
    <n v="5382.18"/>
    <n v="2341.6"/>
    <x v="1"/>
  </r>
  <r>
    <x v="3"/>
    <x v="0"/>
    <x v="0"/>
    <n v="16024"/>
    <n v="188"/>
    <n v="85143.39"/>
    <n v="18829.509999999998"/>
    <x v="3"/>
  </r>
  <r>
    <x v="3"/>
    <x v="0"/>
    <x v="0"/>
    <n v="16650"/>
    <n v="40"/>
    <n v="7210.22"/>
    <n v="3490.33"/>
    <x v="0"/>
  </r>
  <r>
    <x v="3"/>
    <x v="0"/>
    <x v="0"/>
    <n v="17892"/>
    <n v="90"/>
    <n v="13400.03"/>
    <n v="3243.49"/>
    <x v="4"/>
  </r>
  <r>
    <x v="3"/>
    <x v="0"/>
    <x v="0"/>
    <n v="18342"/>
    <n v="166"/>
    <n v="140335.17000000001"/>
    <n v="38365.15"/>
    <x v="3"/>
  </r>
  <r>
    <x v="3"/>
    <x v="0"/>
    <x v="0"/>
    <n v="20177"/>
    <n v="85"/>
    <n v="8000.12"/>
    <n v="3467.17"/>
    <x v="5"/>
  </r>
  <r>
    <x v="3"/>
    <x v="0"/>
    <x v="0"/>
    <n v="21179"/>
    <n v="35"/>
    <n v="3486.69"/>
    <n v="1927.44"/>
    <x v="0"/>
  </r>
  <r>
    <x v="3"/>
    <x v="0"/>
    <x v="0"/>
    <n v="21260"/>
    <n v="35"/>
    <n v="6844.27"/>
    <n v="1749.38"/>
    <x v="4"/>
  </r>
  <r>
    <x v="3"/>
    <x v="0"/>
    <x v="0"/>
    <n v="22317"/>
    <n v="75"/>
    <n v="6429.55"/>
    <n v="2203.6"/>
    <x v="5"/>
  </r>
  <r>
    <x v="3"/>
    <x v="0"/>
    <x v="0"/>
    <n v="22940"/>
    <n v="578"/>
    <n v="75121.56"/>
    <n v="14378.93"/>
    <x v="2"/>
  </r>
  <r>
    <x v="3"/>
    <x v="0"/>
    <x v="0"/>
    <n v="23178"/>
    <n v="182"/>
    <n v="34269.53"/>
    <n v="6333.5"/>
    <x v="2"/>
  </r>
  <r>
    <x v="3"/>
    <x v="0"/>
    <x v="0"/>
    <n v="23600"/>
    <n v="1282"/>
    <n v="129561.77"/>
    <n v="33503.440000000002"/>
    <x v="2"/>
  </r>
  <r>
    <x v="3"/>
    <x v="0"/>
    <x v="0"/>
    <n v="23756"/>
    <n v="77"/>
    <n v="13390.67"/>
    <n v="6028.54"/>
    <x v="1"/>
  </r>
  <r>
    <x v="3"/>
    <x v="0"/>
    <x v="0"/>
    <n v="24326"/>
    <n v="143"/>
    <n v="19385.52"/>
    <n v="4534.01"/>
    <x v="4"/>
  </r>
  <r>
    <x v="0"/>
    <x v="0"/>
    <x v="1"/>
    <n v="12184"/>
    <n v="101"/>
    <n v="11357.75"/>
    <n v="5959.85"/>
    <x v="0"/>
  </r>
  <r>
    <x v="0"/>
    <x v="0"/>
    <x v="1"/>
    <n v="12622"/>
    <n v="60"/>
    <n v="15981.93"/>
    <n v="6623.59"/>
    <x v="1"/>
  </r>
  <r>
    <x v="0"/>
    <x v="0"/>
    <x v="1"/>
    <n v="13527"/>
    <n v="784"/>
    <n v="134380.96"/>
    <n v="27489.38"/>
    <x v="2"/>
  </r>
  <r>
    <x v="0"/>
    <x v="0"/>
    <x v="1"/>
    <n v="13618"/>
    <n v="17"/>
    <n v="7241.7"/>
    <n v="2954.93"/>
    <x v="1"/>
  </r>
  <r>
    <x v="0"/>
    <x v="0"/>
    <x v="1"/>
    <n v="16024"/>
    <n v="258"/>
    <n v="107209.21"/>
    <n v="26636.69"/>
    <x v="3"/>
  </r>
  <r>
    <x v="0"/>
    <x v="0"/>
    <x v="1"/>
    <n v="16650"/>
    <n v="65"/>
    <n v="10040.48"/>
    <n v="4545.8999999999996"/>
    <x v="0"/>
  </r>
  <r>
    <x v="0"/>
    <x v="0"/>
    <x v="1"/>
    <n v="17892"/>
    <n v="161"/>
    <n v="22202.99"/>
    <n v="6537.45"/>
    <x v="4"/>
  </r>
  <r>
    <x v="0"/>
    <x v="0"/>
    <x v="1"/>
    <n v="18342"/>
    <n v="130"/>
    <n v="120953.4"/>
    <n v="34084.75"/>
    <x v="3"/>
  </r>
  <r>
    <x v="0"/>
    <x v="0"/>
    <x v="1"/>
    <n v="20177"/>
    <n v="114"/>
    <n v="13174.41"/>
    <n v="5144.33"/>
    <x v="5"/>
  </r>
  <r>
    <x v="0"/>
    <x v="0"/>
    <x v="1"/>
    <n v="21179"/>
    <n v="48"/>
    <n v="5389.27"/>
    <n v="2405.52"/>
    <x v="0"/>
  </r>
  <r>
    <x v="0"/>
    <x v="0"/>
    <x v="1"/>
    <n v="21260"/>
    <n v="45"/>
    <n v="8474.61"/>
    <n v="2738.12"/>
    <x v="4"/>
  </r>
  <r>
    <x v="0"/>
    <x v="0"/>
    <x v="1"/>
    <n v="22317"/>
    <n v="82"/>
    <n v="8000.19"/>
    <n v="3185.01"/>
    <x v="5"/>
  </r>
  <r>
    <x v="0"/>
    <x v="0"/>
    <x v="1"/>
    <n v="22940"/>
    <n v="349"/>
    <n v="43367.24"/>
    <n v="7668.56"/>
    <x v="2"/>
  </r>
  <r>
    <x v="0"/>
    <x v="0"/>
    <x v="1"/>
    <n v="23178"/>
    <n v="257"/>
    <n v="45614.68"/>
    <n v="8026.95"/>
    <x v="2"/>
  </r>
  <r>
    <x v="0"/>
    <x v="0"/>
    <x v="1"/>
    <n v="23600"/>
    <n v="604"/>
    <n v="60065.16"/>
    <n v="12952.6"/>
    <x v="2"/>
  </r>
  <r>
    <x v="0"/>
    <x v="0"/>
    <x v="1"/>
    <n v="23756"/>
    <n v="98"/>
    <n v="18096.47"/>
    <n v="9608.23"/>
    <x v="1"/>
  </r>
  <r>
    <x v="0"/>
    <x v="0"/>
    <x v="1"/>
    <n v="24326"/>
    <n v="160"/>
    <n v="22237.85"/>
    <n v="5896.85"/>
    <x v="4"/>
  </r>
  <r>
    <x v="1"/>
    <x v="0"/>
    <x v="1"/>
    <n v="12184"/>
    <n v="27"/>
    <n v="2815.18"/>
    <n v="1222.49"/>
    <x v="0"/>
  </r>
  <r>
    <x v="1"/>
    <x v="0"/>
    <x v="1"/>
    <n v="12622"/>
    <n v="19"/>
    <n v="5644.91"/>
    <n v="2536.9299999999998"/>
    <x v="1"/>
  </r>
  <r>
    <x v="1"/>
    <x v="0"/>
    <x v="1"/>
    <n v="13527"/>
    <n v="373"/>
    <n v="58276.76"/>
    <n v="9236.0300000000007"/>
    <x v="2"/>
  </r>
  <r>
    <x v="1"/>
    <x v="0"/>
    <x v="1"/>
    <n v="13618"/>
    <n v="9"/>
    <n v="3039.43"/>
    <n v="1326.6"/>
    <x v="1"/>
  </r>
  <r>
    <x v="1"/>
    <x v="0"/>
    <x v="1"/>
    <n v="16024"/>
    <n v="177"/>
    <n v="68581.399999999994"/>
    <n v="21530.58"/>
    <x v="3"/>
  </r>
  <r>
    <x v="1"/>
    <x v="0"/>
    <x v="1"/>
    <n v="16650"/>
    <n v="12"/>
    <n v="1992"/>
    <n v="1063.81"/>
    <x v="0"/>
  </r>
  <r>
    <x v="1"/>
    <x v="0"/>
    <x v="1"/>
    <n v="17892"/>
    <n v="88"/>
    <n v="12541.99"/>
    <n v="3371.73"/>
    <x v="4"/>
  </r>
  <r>
    <x v="1"/>
    <x v="0"/>
    <x v="1"/>
    <n v="18342"/>
    <n v="23"/>
    <n v="21073.31"/>
    <n v="5875.64"/>
    <x v="3"/>
  </r>
  <r>
    <x v="1"/>
    <x v="0"/>
    <x v="1"/>
    <n v="20177"/>
    <n v="31"/>
    <n v="3572.51"/>
    <n v="1465.86"/>
    <x v="5"/>
  </r>
  <r>
    <x v="1"/>
    <x v="0"/>
    <x v="1"/>
    <n v="21179"/>
    <n v="40"/>
    <n v="4841.82"/>
    <n v="2514.58"/>
    <x v="0"/>
  </r>
  <r>
    <x v="1"/>
    <x v="0"/>
    <x v="1"/>
    <n v="21260"/>
    <n v="38"/>
    <n v="7015.78"/>
    <n v="1637.57"/>
    <x v="4"/>
  </r>
  <r>
    <x v="1"/>
    <x v="0"/>
    <x v="1"/>
    <n v="22317"/>
    <n v="19"/>
    <n v="1790.8"/>
    <n v="908.7"/>
    <x v="5"/>
  </r>
  <r>
    <x v="1"/>
    <x v="0"/>
    <x v="1"/>
    <n v="22940"/>
    <n v="152"/>
    <n v="21211.200000000001"/>
    <n v="5597.46"/>
    <x v="2"/>
  </r>
  <r>
    <x v="1"/>
    <x v="0"/>
    <x v="1"/>
    <n v="23178"/>
    <n v="156"/>
    <n v="26840.41"/>
    <n v="6992.34"/>
    <x v="2"/>
  </r>
  <r>
    <x v="1"/>
    <x v="0"/>
    <x v="1"/>
    <n v="23600"/>
    <n v="467"/>
    <n v="56451.46"/>
    <n v="13000.34"/>
    <x v="2"/>
  </r>
  <r>
    <x v="1"/>
    <x v="0"/>
    <x v="1"/>
    <n v="23756"/>
    <n v="67"/>
    <n v="10791.12"/>
    <n v="4971.09"/>
    <x v="1"/>
  </r>
  <r>
    <x v="1"/>
    <x v="0"/>
    <x v="1"/>
    <n v="24326"/>
    <n v="29"/>
    <n v="4250.6899999999996"/>
    <n v="1218.52"/>
    <x v="4"/>
  </r>
  <r>
    <x v="2"/>
    <x v="0"/>
    <x v="1"/>
    <n v="12184"/>
    <n v="100"/>
    <n v="13961.71"/>
    <n v="10549.63"/>
    <x v="0"/>
  </r>
  <r>
    <x v="2"/>
    <x v="0"/>
    <x v="1"/>
    <n v="12622"/>
    <n v="46"/>
    <n v="12541.27"/>
    <n v="8238.94"/>
    <x v="1"/>
  </r>
  <r>
    <x v="2"/>
    <x v="0"/>
    <x v="1"/>
    <n v="13527"/>
    <n v="518"/>
    <n v="83975.08"/>
    <n v="21276.59"/>
    <x v="2"/>
  </r>
  <r>
    <x v="2"/>
    <x v="0"/>
    <x v="1"/>
    <n v="13618"/>
    <n v="16"/>
    <n v="7310.92"/>
    <n v="4343.82"/>
    <x v="1"/>
  </r>
  <r>
    <x v="2"/>
    <x v="0"/>
    <x v="1"/>
    <n v="16024"/>
    <n v="307"/>
    <n v="139637.79999999999"/>
    <n v="37378.28"/>
    <x v="3"/>
  </r>
  <r>
    <x v="2"/>
    <x v="0"/>
    <x v="1"/>
    <n v="16650"/>
    <n v="49"/>
    <n v="8626.23"/>
    <n v="6131.28"/>
    <x v="0"/>
  </r>
  <r>
    <x v="2"/>
    <x v="0"/>
    <x v="1"/>
    <n v="17892"/>
    <n v="117"/>
    <n v="18366.16"/>
    <n v="5388.67"/>
    <x v="4"/>
  </r>
  <r>
    <x v="2"/>
    <x v="0"/>
    <x v="1"/>
    <n v="18342"/>
    <n v="184"/>
    <n v="139142.47"/>
    <n v="45893.93"/>
    <x v="3"/>
  </r>
  <r>
    <x v="2"/>
    <x v="0"/>
    <x v="1"/>
    <n v="20177"/>
    <n v="34"/>
    <n v="3626.23"/>
    <n v="1539.95"/>
    <x v="5"/>
  </r>
  <r>
    <x v="2"/>
    <x v="0"/>
    <x v="1"/>
    <n v="21179"/>
    <n v="69"/>
    <n v="7868.12"/>
    <n v="6207.69"/>
    <x v="0"/>
  </r>
  <r>
    <x v="2"/>
    <x v="0"/>
    <x v="1"/>
    <n v="21260"/>
    <n v="48"/>
    <n v="9371.31"/>
    <n v="2763.09"/>
    <x v="4"/>
  </r>
  <r>
    <x v="2"/>
    <x v="0"/>
    <x v="1"/>
    <n v="22317"/>
    <n v="53"/>
    <n v="5411.7"/>
    <n v="2681.64"/>
    <x v="5"/>
  </r>
  <r>
    <x v="2"/>
    <x v="0"/>
    <x v="1"/>
    <n v="22940"/>
    <n v="378"/>
    <n v="50541.46"/>
    <n v="13066.59"/>
    <x v="2"/>
  </r>
  <r>
    <x v="2"/>
    <x v="0"/>
    <x v="1"/>
    <n v="23178"/>
    <n v="141"/>
    <n v="26737.119999999999"/>
    <n v="7123.06"/>
    <x v="2"/>
  </r>
  <r>
    <x v="2"/>
    <x v="0"/>
    <x v="1"/>
    <n v="23600"/>
    <n v="1173"/>
    <n v="125109.41"/>
    <n v="35389.33"/>
    <x v="2"/>
  </r>
  <r>
    <x v="2"/>
    <x v="0"/>
    <x v="1"/>
    <n v="23756"/>
    <n v="131"/>
    <n v="22759.23"/>
    <n v="11430.09"/>
    <x v="1"/>
  </r>
  <r>
    <x v="2"/>
    <x v="0"/>
    <x v="1"/>
    <n v="24326"/>
    <n v="154"/>
    <n v="20304.009999999998"/>
    <n v="6774.22"/>
    <x v="4"/>
  </r>
  <r>
    <x v="3"/>
    <x v="0"/>
    <x v="1"/>
    <n v="12184"/>
    <n v="83"/>
    <n v="8449.4"/>
    <n v="4340.07"/>
    <x v="0"/>
  </r>
  <r>
    <x v="3"/>
    <x v="0"/>
    <x v="1"/>
    <n v="12622"/>
    <n v="50"/>
    <n v="13497.92"/>
    <n v="5567.89"/>
    <x v="1"/>
  </r>
  <r>
    <x v="3"/>
    <x v="0"/>
    <x v="1"/>
    <n v="13527"/>
    <n v="645"/>
    <n v="105282.29"/>
    <n v="24914.97"/>
    <x v="2"/>
  </r>
  <r>
    <x v="3"/>
    <x v="0"/>
    <x v="1"/>
    <n v="13618"/>
    <n v="15"/>
    <n v="6042.48"/>
    <n v="2789.59"/>
    <x v="1"/>
  </r>
  <r>
    <x v="3"/>
    <x v="0"/>
    <x v="1"/>
    <n v="16024"/>
    <n v="230"/>
    <n v="103486.17"/>
    <n v="29195.360000000001"/>
    <x v="3"/>
  </r>
  <r>
    <x v="3"/>
    <x v="0"/>
    <x v="1"/>
    <n v="16650"/>
    <n v="40"/>
    <n v="5914.24"/>
    <n v="3210.73"/>
    <x v="0"/>
  </r>
  <r>
    <x v="3"/>
    <x v="0"/>
    <x v="1"/>
    <n v="17892"/>
    <n v="83"/>
    <n v="10669.11"/>
    <n v="2953.59"/>
    <x v="4"/>
  </r>
  <r>
    <x v="3"/>
    <x v="0"/>
    <x v="1"/>
    <n v="18342"/>
    <n v="127"/>
    <n v="106511.35"/>
    <n v="24388.77"/>
    <x v="3"/>
  </r>
  <r>
    <x v="3"/>
    <x v="0"/>
    <x v="1"/>
    <n v="20177"/>
    <n v="46"/>
    <n v="4492.99"/>
    <n v="1702.53"/>
    <x v="5"/>
  </r>
  <r>
    <x v="3"/>
    <x v="0"/>
    <x v="1"/>
    <n v="21179"/>
    <n v="37"/>
    <n v="4682.16"/>
    <n v="2271.6799999999998"/>
    <x v="0"/>
  </r>
  <r>
    <x v="3"/>
    <x v="0"/>
    <x v="1"/>
    <n v="21260"/>
    <n v="66"/>
    <n v="13887.52"/>
    <n v="3296.09"/>
    <x v="4"/>
  </r>
  <r>
    <x v="3"/>
    <x v="0"/>
    <x v="1"/>
    <n v="22317"/>
    <n v="80"/>
    <n v="6895.06"/>
    <n v="2840.71"/>
    <x v="5"/>
  </r>
  <r>
    <x v="3"/>
    <x v="0"/>
    <x v="1"/>
    <n v="22940"/>
    <n v="420"/>
    <n v="51832.06"/>
    <n v="11687.93"/>
    <x v="2"/>
  </r>
  <r>
    <x v="3"/>
    <x v="0"/>
    <x v="1"/>
    <n v="23178"/>
    <n v="231"/>
    <n v="41464.06"/>
    <n v="8672.4"/>
    <x v="2"/>
  </r>
  <r>
    <x v="3"/>
    <x v="0"/>
    <x v="1"/>
    <n v="23600"/>
    <n v="1292"/>
    <n v="150288.32999999999"/>
    <n v="40426.120000000003"/>
    <x v="2"/>
  </r>
  <r>
    <x v="3"/>
    <x v="0"/>
    <x v="1"/>
    <n v="23756"/>
    <n v="77"/>
    <n v="12883.7"/>
    <n v="6397.95"/>
    <x v="1"/>
  </r>
  <r>
    <x v="3"/>
    <x v="0"/>
    <x v="1"/>
    <n v="24326"/>
    <n v="125"/>
    <n v="18118.7"/>
    <n v="5360.75"/>
    <x v="4"/>
  </r>
  <r>
    <x v="0"/>
    <x v="0"/>
    <x v="2"/>
    <n v="12184"/>
    <n v="104"/>
    <n v="12618.14"/>
    <n v="5116.82"/>
    <x v="0"/>
  </r>
  <r>
    <x v="0"/>
    <x v="0"/>
    <x v="2"/>
    <n v="12622"/>
    <n v="45"/>
    <n v="13311.99"/>
    <n v="5550.33"/>
    <x v="1"/>
  </r>
  <r>
    <x v="0"/>
    <x v="0"/>
    <x v="2"/>
    <n v="13527"/>
    <n v="725"/>
    <n v="120979.16"/>
    <n v="26082.68"/>
    <x v="2"/>
  </r>
  <r>
    <x v="0"/>
    <x v="0"/>
    <x v="2"/>
    <n v="13618"/>
    <n v="30"/>
    <n v="10906.43"/>
    <n v="4504.53"/>
    <x v="1"/>
  </r>
  <r>
    <x v="0"/>
    <x v="0"/>
    <x v="2"/>
    <n v="16024"/>
    <n v="274"/>
    <n v="129243.19"/>
    <n v="41607.31"/>
    <x v="3"/>
  </r>
  <r>
    <x v="0"/>
    <x v="0"/>
    <x v="2"/>
    <n v="16650"/>
    <n v="67"/>
    <n v="8187.9"/>
    <n v="4424.72"/>
    <x v="0"/>
  </r>
  <r>
    <x v="0"/>
    <x v="0"/>
    <x v="2"/>
    <n v="17892"/>
    <n v="169"/>
    <n v="24436.28"/>
    <n v="6625.02"/>
    <x v="4"/>
  </r>
  <r>
    <x v="0"/>
    <x v="0"/>
    <x v="2"/>
    <n v="18342"/>
    <n v="141"/>
    <n v="112988.91"/>
    <n v="30266.81"/>
    <x v="3"/>
  </r>
  <r>
    <x v="0"/>
    <x v="0"/>
    <x v="2"/>
    <n v="20177"/>
    <n v="95"/>
    <n v="10086.02"/>
    <n v="4281.97"/>
    <x v="5"/>
  </r>
  <r>
    <x v="0"/>
    <x v="0"/>
    <x v="2"/>
    <n v="21179"/>
    <n v="59"/>
    <n v="8469.08"/>
    <n v="4475.4799999999996"/>
    <x v="0"/>
  </r>
  <r>
    <x v="0"/>
    <x v="0"/>
    <x v="2"/>
    <n v="21260"/>
    <n v="107"/>
    <n v="19173.330000000002"/>
    <n v="4692.96"/>
    <x v="4"/>
  </r>
  <r>
    <x v="0"/>
    <x v="0"/>
    <x v="2"/>
    <n v="22317"/>
    <n v="123"/>
    <n v="11540.24"/>
    <n v="4584.46"/>
    <x v="5"/>
  </r>
  <r>
    <x v="0"/>
    <x v="0"/>
    <x v="2"/>
    <n v="22940"/>
    <n v="431"/>
    <n v="55914.85"/>
    <n v="9643.84"/>
    <x v="2"/>
  </r>
  <r>
    <x v="0"/>
    <x v="0"/>
    <x v="2"/>
    <n v="23178"/>
    <n v="415"/>
    <n v="66835.14"/>
    <n v="13223.47"/>
    <x v="2"/>
  </r>
  <r>
    <x v="0"/>
    <x v="0"/>
    <x v="2"/>
    <n v="23600"/>
    <n v="1198"/>
    <n v="118957.75999999999"/>
    <n v="31642.6"/>
    <x v="2"/>
  </r>
  <r>
    <x v="0"/>
    <x v="0"/>
    <x v="2"/>
    <n v="23756"/>
    <n v="81"/>
    <n v="14892.85"/>
    <n v="6888.16"/>
    <x v="1"/>
  </r>
  <r>
    <x v="0"/>
    <x v="0"/>
    <x v="2"/>
    <n v="24326"/>
    <n v="131"/>
    <n v="19863.79"/>
    <n v="6153.65"/>
    <x v="4"/>
  </r>
  <r>
    <x v="1"/>
    <x v="0"/>
    <x v="2"/>
    <n v="12184"/>
    <n v="19"/>
    <n v="2125.48"/>
    <n v="915.9"/>
    <x v="0"/>
  </r>
  <r>
    <x v="1"/>
    <x v="0"/>
    <x v="2"/>
    <n v="12622"/>
    <n v="19"/>
    <n v="5462.8"/>
    <n v="2374.4699999999998"/>
    <x v="1"/>
  </r>
  <r>
    <x v="1"/>
    <x v="0"/>
    <x v="2"/>
    <n v="13527"/>
    <n v="193"/>
    <n v="32161.8"/>
    <n v="4822.66"/>
    <x v="2"/>
  </r>
  <r>
    <x v="1"/>
    <x v="0"/>
    <x v="2"/>
    <n v="13618"/>
    <n v="6"/>
    <n v="2142.46"/>
    <n v="874.73"/>
    <x v="1"/>
  </r>
  <r>
    <x v="1"/>
    <x v="0"/>
    <x v="2"/>
    <n v="16024"/>
    <n v="173"/>
    <n v="80225.8"/>
    <n v="27955.61"/>
    <x v="3"/>
  </r>
  <r>
    <x v="1"/>
    <x v="0"/>
    <x v="2"/>
    <n v="16650"/>
    <n v="19"/>
    <n v="3680.22"/>
    <n v="2058.1799999999998"/>
    <x v="0"/>
  </r>
  <r>
    <x v="1"/>
    <x v="0"/>
    <x v="2"/>
    <n v="17892"/>
    <n v="105"/>
    <n v="15839.95"/>
    <n v="4384.3100000000004"/>
    <x v="4"/>
  </r>
  <r>
    <x v="1"/>
    <x v="0"/>
    <x v="2"/>
    <n v="18342"/>
    <n v="27"/>
    <n v="25341.82"/>
    <n v="7972.7"/>
    <x v="3"/>
  </r>
  <r>
    <x v="1"/>
    <x v="0"/>
    <x v="2"/>
    <n v="20177"/>
    <n v="24"/>
    <n v="2552.92"/>
    <n v="1147.3399999999999"/>
    <x v="5"/>
  </r>
  <r>
    <x v="1"/>
    <x v="0"/>
    <x v="2"/>
    <n v="21179"/>
    <n v="38"/>
    <n v="5622.64"/>
    <n v="3228.24"/>
    <x v="0"/>
  </r>
  <r>
    <x v="1"/>
    <x v="0"/>
    <x v="2"/>
    <n v="21260"/>
    <n v="43"/>
    <n v="8736.35"/>
    <n v="1904.76"/>
    <x v="4"/>
  </r>
  <r>
    <x v="1"/>
    <x v="0"/>
    <x v="2"/>
    <n v="22317"/>
    <n v="13"/>
    <n v="1248.5"/>
    <n v="541.14"/>
    <x v="5"/>
  </r>
  <r>
    <x v="1"/>
    <x v="0"/>
    <x v="2"/>
    <n v="22940"/>
    <n v="144"/>
    <n v="18967.09"/>
    <n v="5392.81"/>
    <x v="2"/>
  </r>
  <r>
    <x v="1"/>
    <x v="0"/>
    <x v="2"/>
    <n v="23178"/>
    <n v="169"/>
    <n v="30025.119999999999"/>
    <n v="6757.36"/>
    <x v="2"/>
  </r>
  <r>
    <x v="1"/>
    <x v="0"/>
    <x v="2"/>
    <n v="23600"/>
    <n v="734"/>
    <n v="90608.51"/>
    <n v="21790.43"/>
    <x v="2"/>
  </r>
  <r>
    <x v="1"/>
    <x v="0"/>
    <x v="2"/>
    <n v="23756"/>
    <n v="93"/>
    <n v="19277.439999999999"/>
    <n v="7925.81"/>
    <x v="1"/>
  </r>
  <r>
    <x v="1"/>
    <x v="0"/>
    <x v="2"/>
    <n v="24326"/>
    <n v="26"/>
    <n v="3525.72"/>
    <n v="920.77"/>
    <x v="4"/>
  </r>
  <r>
    <x v="2"/>
    <x v="0"/>
    <x v="2"/>
    <n v="12184"/>
    <n v="46"/>
    <n v="6766.23"/>
    <n v="4404.4799999999996"/>
    <x v="0"/>
  </r>
  <r>
    <x v="2"/>
    <x v="0"/>
    <x v="2"/>
    <n v="12622"/>
    <n v="40"/>
    <n v="10277.629999999999"/>
    <n v="6346.8"/>
    <x v="1"/>
  </r>
  <r>
    <x v="2"/>
    <x v="0"/>
    <x v="2"/>
    <n v="13527"/>
    <n v="315"/>
    <n v="51343.1"/>
    <n v="12535.95"/>
    <x v="2"/>
  </r>
  <r>
    <x v="2"/>
    <x v="0"/>
    <x v="2"/>
    <n v="13618"/>
    <n v="27"/>
    <n v="10672.73"/>
    <n v="6852.49"/>
    <x v="1"/>
  </r>
  <r>
    <x v="2"/>
    <x v="0"/>
    <x v="2"/>
    <n v="16024"/>
    <n v="159"/>
    <n v="62604.160000000003"/>
    <n v="18463.64"/>
    <x v="3"/>
  </r>
  <r>
    <x v="2"/>
    <x v="0"/>
    <x v="2"/>
    <n v="16650"/>
    <n v="47"/>
    <n v="8267.75"/>
    <n v="5120.3900000000003"/>
    <x v="0"/>
  </r>
  <r>
    <x v="2"/>
    <x v="0"/>
    <x v="2"/>
    <n v="17892"/>
    <n v="115"/>
    <n v="18173.490000000002"/>
    <n v="6342.41"/>
    <x v="4"/>
  </r>
  <r>
    <x v="2"/>
    <x v="0"/>
    <x v="2"/>
    <n v="18342"/>
    <n v="68"/>
    <n v="53254.93"/>
    <n v="15018.42"/>
    <x v="3"/>
  </r>
  <r>
    <x v="2"/>
    <x v="0"/>
    <x v="2"/>
    <n v="20177"/>
    <n v="61"/>
    <n v="6226.05"/>
    <n v="3120.88"/>
    <x v="5"/>
  </r>
  <r>
    <x v="2"/>
    <x v="0"/>
    <x v="2"/>
    <n v="21179"/>
    <n v="51"/>
    <n v="7814.79"/>
    <n v="5786.64"/>
    <x v="0"/>
  </r>
  <r>
    <x v="2"/>
    <x v="0"/>
    <x v="2"/>
    <n v="21260"/>
    <n v="49"/>
    <n v="8998.5"/>
    <n v="2411.31"/>
    <x v="4"/>
  </r>
  <r>
    <x v="2"/>
    <x v="0"/>
    <x v="2"/>
    <n v="22317"/>
    <n v="35"/>
    <n v="3537.91"/>
    <n v="1695.27"/>
    <x v="5"/>
  </r>
  <r>
    <x v="2"/>
    <x v="0"/>
    <x v="2"/>
    <n v="22940"/>
    <n v="254"/>
    <n v="33409.58"/>
    <n v="8537.25"/>
    <x v="2"/>
  </r>
  <r>
    <x v="2"/>
    <x v="0"/>
    <x v="2"/>
    <n v="23178"/>
    <n v="247"/>
    <n v="43866.63"/>
    <n v="12101.33"/>
    <x v="2"/>
  </r>
  <r>
    <x v="2"/>
    <x v="0"/>
    <x v="2"/>
    <n v="23600"/>
    <n v="601"/>
    <n v="64059.05"/>
    <n v="20281.099999999999"/>
    <x v="2"/>
  </r>
  <r>
    <x v="2"/>
    <x v="0"/>
    <x v="2"/>
    <n v="23756"/>
    <n v="134"/>
    <n v="25864.65"/>
    <n v="14246.78"/>
    <x v="1"/>
  </r>
  <r>
    <x v="2"/>
    <x v="0"/>
    <x v="2"/>
    <n v="24326"/>
    <n v="124"/>
    <n v="16873.900000000001"/>
    <n v="5639.86"/>
    <x v="4"/>
  </r>
  <r>
    <x v="3"/>
    <x v="0"/>
    <x v="2"/>
    <n v="12184"/>
    <n v="64"/>
    <n v="8388.5"/>
    <n v="4040.04"/>
    <x v="0"/>
  </r>
  <r>
    <x v="3"/>
    <x v="0"/>
    <x v="2"/>
    <n v="12622"/>
    <n v="26"/>
    <n v="7296.98"/>
    <n v="3424.03"/>
    <x v="1"/>
  </r>
  <r>
    <x v="3"/>
    <x v="0"/>
    <x v="2"/>
    <n v="13527"/>
    <n v="457"/>
    <n v="70437.919999999998"/>
    <n v="13252.88"/>
    <x v="2"/>
  </r>
  <r>
    <x v="3"/>
    <x v="0"/>
    <x v="2"/>
    <n v="13618"/>
    <n v="11"/>
    <n v="5041.1000000000004"/>
    <n v="2191.2199999999998"/>
    <x v="1"/>
  </r>
  <r>
    <x v="3"/>
    <x v="0"/>
    <x v="2"/>
    <n v="16024"/>
    <n v="87"/>
    <n v="35117.129999999997"/>
    <n v="7858.11"/>
    <x v="3"/>
  </r>
  <r>
    <x v="3"/>
    <x v="0"/>
    <x v="2"/>
    <n v="16650"/>
    <n v="45"/>
    <n v="6377.32"/>
    <n v="4000.47"/>
    <x v="0"/>
  </r>
  <r>
    <x v="3"/>
    <x v="0"/>
    <x v="2"/>
    <n v="17892"/>
    <n v="57"/>
    <n v="7108.26"/>
    <n v="1946.87"/>
    <x v="4"/>
  </r>
  <r>
    <x v="3"/>
    <x v="0"/>
    <x v="2"/>
    <n v="18342"/>
    <n v="145"/>
    <n v="128109.49"/>
    <n v="26927.94"/>
    <x v="3"/>
  </r>
  <r>
    <x v="3"/>
    <x v="0"/>
    <x v="2"/>
    <n v="20177"/>
    <n v="91"/>
    <n v="9665.43"/>
    <n v="3574.16"/>
    <x v="5"/>
  </r>
  <r>
    <x v="3"/>
    <x v="0"/>
    <x v="2"/>
    <n v="21179"/>
    <n v="29"/>
    <n v="4146.9399999999996"/>
    <n v="2401.19"/>
    <x v="0"/>
  </r>
  <r>
    <x v="3"/>
    <x v="0"/>
    <x v="2"/>
    <n v="21260"/>
    <n v="72"/>
    <n v="12681.49"/>
    <n v="2940.51"/>
    <x v="4"/>
  </r>
  <r>
    <x v="3"/>
    <x v="0"/>
    <x v="2"/>
    <n v="22317"/>
    <n v="53"/>
    <n v="4298.3599999999997"/>
    <n v="1521.38"/>
    <x v="5"/>
  </r>
  <r>
    <x v="3"/>
    <x v="0"/>
    <x v="2"/>
    <n v="22940"/>
    <n v="353"/>
    <n v="44236.56"/>
    <n v="7863.28"/>
    <x v="2"/>
  </r>
  <r>
    <x v="3"/>
    <x v="0"/>
    <x v="2"/>
    <n v="23178"/>
    <n v="312"/>
    <n v="57980.49"/>
    <n v="12113.38"/>
    <x v="2"/>
  </r>
  <r>
    <x v="3"/>
    <x v="0"/>
    <x v="2"/>
    <n v="23600"/>
    <n v="893"/>
    <n v="91536.01"/>
    <n v="24912.9"/>
    <x v="2"/>
  </r>
  <r>
    <x v="3"/>
    <x v="0"/>
    <x v="2"/>
    <n v="23756"/>
    <n v="133"/>
    <n v="20838.43"/>
    <n v="9798.18"/>
    <x v="1"/>
  </r>
  <r>
    <x v="3"/>
    <x v="0"/>
    <x v="2"/>
    <n v="24326"/>
    <n v="150"/>
    <n v="22766.53"/>
    <n v="5100.26"/>
    <x v="4"/>
  </r>
  <r>
    <x v="0"/>
    <x v="0"/>
    <x v="3"/>
    <n v="12184"/>
    <n v="60"/>
    <n v="6124.52"/>
    <n v="3128.32"/>
    <x v="0"/>
  </r>
  <r>
    <x v="0"/>
    <x v="0"/>
    <x v="3"/>
    <n v="12622"/>
    <n v="65"/>
    <n v="19949.27"/>
    <n v="10758.02"/>
    <x v="1"/>
  </r>
  <r>
    <x v="0"/>
    <x v="0"/>
    <x v="3"/>
    <n v="13527"/>
    <n v="742"/>
    <n v="111391.55"/>
    <n v="21318.34"/>
    <x v="2"/>
  </r>
  <r>
    <x v="0"/>
    <x v="0"/>
    <x v="3"/>
    <n v="13618"/>
    <n v="19"/>
    <n v="6745.03"/>
    <n v="3546.6"/>
    <x v="1"/>
  </r>
  <r>
    <x v="0"/>
    <x v="0"/>
    <x v="3"/>
    <n v="16024"/>
    <n v="349"/>
    <n v="133560.43"/>
    <n v="34173.31"/>
    <x v="3"/>
  </r>
  <r>
    <x v="0"/>
    <x v="0"/>
    <x v="3"/>
    <n v="16650"/>
    <n v="63"/>
    <n v="11124.56"/>
    <n v="6080.9"/>
    <x v="0"/>
  </r>
  <r>
    <x v="0"/>
    <x v="0"/>
    <x v="3"/>
    <n v="17892"/>
    <n v="111"/>
    <n v="15210.57"/>
    <n v="4851.84"/>
    <x v="4"/>
  </r>
  <r>
    <x v="0"/>
    <x v="0"/>
    <x v="3"/>
    <n v="18342"/>
    <n v="107"/>
    <n v="97410.62"/>
    <n v="28666.86"/>
    <x v="3"/>
  </r>
  <r>
    <x v="0"/>
    <x v="0"/>
    <x v="3"/>
    <n v="20177"/>
    <n v="72"/>
    <n v="6358.85"/>
    <n v="2728.59"/>
    <x v="5"/>
  </r>
  <r>
    <x v="0"/>
    <x v="0"/>
    <x v="3"/>
    <n v="21179"/>
    <n v="53"/>
    <n v="6782.62"/>
    <n v="2861.86"/>
    <x v="0"/>
  </r>
  <r>
    <x v="0"/>
    <x v="0"/>
    <x v="3"/>
    <n v="21260"/>
    <n v="50"/>
    <n v="9947.98"/>
    <n v="3228.75"/>
    <x v="4"/>
  </r>
  <r>
    <x v="0"/>
    <x v="0"/>
    <x v="3"/>
    <n v="22317"/>
    <n v="122"/>
    <n v="9966.51"/>
    <n v="3917.35"/>
    <x v="5"/>
  </r>
  <r>
    <x v="0"/>
    <x v="0"/>
    <x v="3"/>
    <n v="22940"/>
    <n v="774"/>
    <n v="94462.92"/>
    <n v="19798.439999999999"/>
    <x v="2"/>
  </r>
  <r>
    <x v="0"/>
    <x v="0"/>
    <x v="3"/>
    <n v="23178"/>
    <n v="335"/>
    <n v="55563.85"/>
    <n v="10875.09"/>
    <x v="2"/>
  </r>
  <r>
    <x v="0"/>
    <x v="0"/>
    <x v="3"/>
    <n v="23600"/>
    <n v="605"/>
    <n v="71860.899999999994"/>
    <n v="16700.41"/>
    <x v="2"/>
  </r>
  <r>
    <x v="0"/>
    <x v="0"/>
    <x v="3"/>
    <n v="23756"/>
    <n v="116"/>
    <n v="20431.650000000001"/>
    <n v="9612.0300000000007"/>
    <x v="1"/>
  </r>
  <r>
    <x v="0"/>
    <x v="0"/>
    <x v="3"/>
    <n v="24326"/>
    <n v="103"/>
    <n v="14825.74"/>
    <n v="3784.6"/>
    <x v="4"/>
  </r>
  <r>
    <x v="1"/>
    <x v="0"/>
    <x v="3"/>
    <n v="12184"/>
    <n v="39"/>
    <n v="5657.7"/>
    <n v="2874.68"/>
    <x v="0"/>
  </r>
  <r>
    <x v="1"/>
    <x v="0"/>
    <x v="3"/>
    <n v="12622"/>
    <n v="9"/>
    <n v="2441.0700000000002"/>
    <n v="917.49"/>
    <x v="1"/>
  </r>
  <r>
    <x v="1"/>
    <x v="0"/>
    <x v="3"/>
    <n v="13527"/>
    <n v="143"/>
    <n v="21511.67"/>
    <n v="3720.61"/>
    <x v="2"/>
  </r>
  <r>
    <x v="1"/>
    <x v="0"/>
    <x v="3"/>
    <n v="13618"/>
    <n v="4"/>
    <n v="1272.71"/>
    <n v="616.29"/>
    <x v="1"/>
  </r>
  <r>
    <x v="1"/>
    <x v="0"/>
    <x v="3"/>
    <n v="16024"/>
    <n v="100"/>
    <n v="43917.15"/>
    <n v="12125.94"/>
    <x v="3"/>
  </r>
  <r>
    <x v="1"/>
    <x v="0"/>
    <x v="3"/>
    <n v="16650"/>
    <n v="20"/>
    <n v="2860.08"/>
    <n v="1678.15"/>
    <x v="0"/>
  </r>
  <r>
    <x v="1"/>
    <x v="0"/>
    <x v="3"/>
    <n v="17892"/>
    <n v="51"/>
    <n v="7041.2"/>
    <n v="1481.48"/>
    <x v="4"/>
  </r>
  <r>
    <x v="1"/>
    <x v="0"/>
    <x v="3"/>
    <n v="18342"/>
    <n v="28"/>
    <n v="22697.72"/>
    <n v="7251.54"/>
    <x v="3"/>
  </r>
  <r>
    <x v="1"/>
    <x v="0"/>
    <x v="3"/>
    <n v="20177"/>
    <n v="20"/>
    <n v="2133.31"/>
    <n v="889.49"/>
    <x v="5"/>
  </r>
  <r>
    <x v="1"/>
    <x v="0"/>
    <x v="3"/>
    <n v="21179"/>
    <n v="51"/>
    <n v="5073.59"/>
    <n v="2490.85"/>
    <x v="0"/>
  </r>
  <r>
    <x v="1"/>
    <x v="0"/>
    <x v="3"/>
    <n v="21260"/>
    <n v="23"/>
    <n v="4041.4"/>
    <n v="1098.8900000000001"/>
    <x v="4"/>
  </r>
  <r>
    <x v="1"/>
    <x v="0"/>
    <x v="3"/>
    <n v="22317"/>
    <n v="11"/>
    <n v="969.78"/>
    <n v="515.14"/>
    <x v="5"/>
  </r>
  <r>
    <x v="1"/>
    <x v="0"/>
    <x v="3"/>
    <n v="22940"/>
    <n v="82"/>
    <n v="9975.2199999999993"/>
    <n v="2957.91"/>
    <x v="2"/>
  </r>
  <r>
    <x v="1"/>
    <x v="0"/>
    <x v="3"/>
    <n v="23178"/>
    <n v="230"/>
    <n v="37978.160000000003"/>
    <n v="9148.6200000000008"/>
    <x v="2"/>
  </r>
  <r>
    <x v="1"/>
    <x v="0"/>
    <x v="3"/>
    <n v="23600"/>
    <n v="525"/>
    <n v="61223.14"/>
    <n v="16725.84"/>
    <x v="2"/>
  </r>
  <r>
    <x v="1"/>
    <x v="0"/>
    <x v="3"/>
    <n v="23756"/>
    <n v="42"/>
    <n v="7275.53"/>
    <n v="3340.96"/>
    <x v="1"/>
  </r>
  <r>
    <x v="1"/>
    <x v="0"/>
    <x v="3"/>
    <n v="24326"/>
    <n v="22"/>
    <n v="2865.24"/>
    <n v="838.77"/>
    <x v="4"/>
  </r>
  <r>
    <x v="2"/>
    <x v="0"/>
    <x v="3"/>
    <n v="12184"/>
    <n v="81"/>
    <n v="10636.31"/>
    <n v="7039.91"/>
    <x v="0"/>
  </r>
  <r>
    <x v="2"/>
    <x v="0"/>
    <x v="3"/>
    <n v="12622"/>
    <n v="24"/>
    <n v="7383.52"/>
    <n v="3568.5"/>
    <x v="1"/>
  </r>
  <r>
    <x v="2"/>
    <x v="0"/>
    <x v="3"/>
    <n v="13527"/>
    <n v="504"/>
    <n v="78903.87"/>
    <n v="20380.62"/>
    <x v="2"/>
  </r>
  <r>
    <x v="2"/>
    <x v="0"/>
    <x v="3"/>
    <n v="13618"/>
    <n v="23"/>
    <n v="9237.89"/>
    <n v="5720.99"/>
    <x v="1"/>
  </r>
  <r>
    <x v="2"/>
    <x v="0"/>
    <x v="3"/>
    <n v="16024"/>
    <n v="273"/>
    <n v="111875.96"/>
    <n v="36849.910000000003"/>
    <x v="3"/>
  </r>
  <r>
    <x v="2"/>
    <x v="0"/>
    <x v="3"/>
    <n v="16650"/>
    <n v="44"/>
    <n v="5484.74"/>
    <n v="3334.7"/>
    <x v="0"/>
  </r>
  <r>
    <x v="2"/>
    <x v="0"/>
    <x v="3"/>
    <n v="17892"/>
    <n v="52"/>
    <n v="6960.75"/>
    <n v="1845.33"/>
    <x v="4"/>
  </r>
  <r>
    <x v="2"/>
    <x v="0"/>
    <x v="3"/>
    <n v="18342"/>
    <n v="90"/>
    <n v="84599.72"/>
    <n v="24578.81"/>
    <x v="3"/>
  </r>
  <r>
    <x v="2"/>
    <x v="0"/>
    <x v="3"/>
    <n v="20177"/>
    <n v="73"/>
    <n v="7722.36"/>
    <n v="3163.05"/>
    <x v="5"/>
  </r>
  <r>
    <x v="2"/>
    <x v="0"/>
    <x v="3"/>
    <n v="21179"/>
    <n v="45"/>
    <n v="5339.33"/>
    <n v="3601.37"/>
    <x v="0"/>
  </r>
  <r>
    <x v="2"/>
    <x v="0"/>
    <x v="3"/>
    <n v="21260"/>
    <n v="32"/>
    <n v="6971.99"/>
    <n v="2019.7"/>
    <x v="4"/>
  </r>
  <r>
    <x v="2"/>
    <x v="0"/>
    <x v="3"/>
    <n v="22317"/>
    <n v="52"/>
    <n v="3833.54"/>
    <n v="1754.19"/>
    <x v="5"/>
  </r>
  <r>
    <x v="2"/>
    <x v="0"/>
    <x v="3"/>
    <n v="22940"/>
    <n v="611"/>
    <n v="80841.94"/>
    <n v="19858.53"/>
    <x v="2"/>
  </r>
  <r>
    <x v="2"/>
    <x v="0"/>
    <x v="3"/>
    <n v="23178"/>
    <n v="241"/>
    <n v="41824.25"/>
    <n v="11179.51"/>
    <x v="2"/>
  </r>
  <r>
    <x v="2"/>
    <x v="0"/>
    <x v="3"/>
    <n v="23600"/>
    <n v="812"/>
    <n v="95123.6"/>
    <n v="22989.73"/>
    <x v="2"/>
  </r>
  <r>
    <x v="2"/>
    <x v="0"/>
    <x v="3"/>
    <n v="23756"/>
    <n v="50"/>
    <n v="9653.6200000000008"/>
    <n v="6259.73"/>
    <x v="1"/>
  </r>
  <r>
    <x v="2"/>
    <x v="0"/>
    <x v="3"/>
    <n v="24326"/>
    <n v="95"/>
    <n v="13816.35"/>
    <n v="3855.05"/>
    <x v="4"/>
  </r>
  <r>
    <x v="3"/>
    <x v="0"/>
    <x v="3"/>
    <n v="12184"/>
    <n v="63"/>
    <n v="8727.27"/>
    <n v="5595.72"/>
    <x v="0"/>
  </r>
  <r>
    <x v="3"/>
    <x v="0"/>
    <x v="3"/>
    <n v="12622"/>
    <n v="55"/>
    <n v="12430.63"/>
    <n v="5254.77"/>
    <x v="1"/>
  </r>
  <r>
    <x v="3"/>
    <x v="0"/>
    <x v="3"/>
    <n v="13527"/>
    <n v="443"/>
    <n v="66250.78"/>
    <n v="12771.02"/>
    <x v="2"/>
  </r>
  <r>
    <x v="3"/>
    <x v="0"/>
    <x v="3"/>
    <n v="13618"/>
    <n v="7"/>
    <n v="2363.4299999999998"/>
    <n v="1284.53"/>
    <x v="1"/>
  </r>
  <r>
    <x v="3"/>
    <x v="0"/>
    <x v="3"/>
    <n v="16024"/>
    <n v="179"/>
    <n v="72505.48"/>
    <n v="16348.71"/>
    <x v="3"/>
  </r>
  <r>
    <x v="3"/>
    <x v="0"/>
    <x v="3"/>
    <n v="16650"/>
    <n v="22"/>
    <n v="3997.99"/>
    <n v="1943.28"/>
    <x v="0"/>
  </r>
  <r>
    <x v="3"/>
    <x v="0"/>
    <x v="3"/>
    <n v="17892"/>
    <n v="109"/>
    <n v="16404.990000000002"/>
    <n v="4322.1000000000004"/>
    <x v="4"/>
  </r>
  <r>
    <x v="3"/>
    <x v="0"/>
    <x v="3"/>
    <n v="18342"/>
    <n v="188"/>
    <n v="160262.59"/>
    <n v="35519.699999999997"/>
    <x v="3"/>
  </r>
  <r>
    <x v="3"/>
    <x v="0"/>
    <x v="3"/>
    <n v="20177"/>
    <n v="87"/>
    <n v="8501.98"/>
    <n v="3710.97"/>
    <x v="5"/>
  </r>
  <r>
    <x v="3"/>
    <x v="0"/>
    <x v="3"/>
    <n v="21179"/>
    <n v="33"/>
    <n v="4713.37"/>
    <n v="2846.92"/>
    <x v="0"/>
  </r>
  <r>
    <x v="3"/>
    <x v="0"/>
    <x v="3"/>
    <n v="21260"/>
    <n v="84"/>
    <n v="17778.849999999999"/>
    <n v="3863.69"/>
    <x v="4"/>
  </r>
  <r>
    <x v="3"/>
    <x v="0"/>
    <x v="3"/>
    <n v="22317"/>
    <n v="67"/>
    <n v="6321.5"/>
    <n v="2101.84"/>
    <x v="5"/>
  </r>
  <r>
    <x v="3"/>
    <x v="0"/>
    <x v="3"/>
    <n v="22940"/>
    <n v="698"/>
    <n v="85413.47"/>
    <n v="19115.96"/>
    <x v="2"/>
  </r>
  <r>
    <x v="3"/>
    <x v="0"/>
    <x v="3"/>
    <n v="23178"/>
    <n v="302"/>
    <n v="56895.76"/>
    <n v="13751.31"/>
    <x v="2"/>
  </r>
  <r>
    <x v="3"/>
    <x v="0"/>
    <x v="3"/>
    <n v="23600"/>
    <n v="1123"/>
    <n v="122957.87"/>
    <n v="28270.3"/>
    <x v="2"/>
  </r>
  <r>
    <x v="3"/>
    <x v="0"/>
    <x v="3"/>
    <n v="23756"/>
    <n v="138"/>
    <n v="21935.45"/>
    <n v="10700.71"/>
    <x v="1"/>
  </r>
  <r>
    <x v="3"/>
    <x v="0"/>
    <x v="3"/>
    <n v="24326"/>
    <n v="123"/>
    <n v="16275.89"/>
    <n v="4058.17"/>
    <x v="4"/>
  </r>
  <r>
    <x v="0"/>
    <x v="0"/>
    <x v="4"/>
    <n v="12184"/>
    <n v="74"/>
    <n v="10138.19"/>
    <n v="4194.75"/>
    <x v="0"/>
  </r>
  <r>
    <x v="0"/>
    <x v="0"/>
    <x v="4"/>
    <n v="12622"/>
    <n v="30"/>
    <n v="9489.41"/>
    <n v="4456.22"/>
    <x v="1"/>
  </r>
  <r>
    <x v="0"/>
    <x v="0"/>
    <x v="4"/>
    <n v="13527"/>
    <n v="361"/>
    <n v="59369.67"/>
    <n v="12075.94"/>
    <x v="2"/>
  </r>
  <r>
    <x v="0"/>
    <x v="0"/>
    <x v="4"/>
    <n v="13618"/>
    <n v="18"/>
    <n v="6786.84"/>
    <n v="3044.9"/>
    <x v="1"/>
  </r>
  <r>
    <x v="0"/>
    <x v="0"/>
    <x v="4"/>
    <n v="16024"/>
    <n v="267"/>
    <n v="126884.15"/>
    <n v="39348.47"/>
    <x v="3"/>
  </r>
  <r>
    <x v="0"/>
    <x v="0"/>
    <x v="4"/>
    <n v="16650"/>
    <n v="43"/>
    <n v="7311.06"/>
    <n v="3292.67"/>
    <x v="0"/>
  </r>
  <r>
    <x v="0"/>
    <x v="0"/>
    <x v="4"/>
    <n v="17892"/>
    <n v="143"/>
    <n v="19696.759999999998"/>
    <n v="5757.69"/>
    <x v="4"/>
  </r>
  <r>
    <x v="0"/>
    <x v="0"/>
    <x v="4"/>
    <n v="18342"/>
    <n v="220"/>
    <n v="170820.92"/>
    <n v="51239.48"/>
    <x v="3"/>
  </r>
  <r>
    <x v="0"/>
    <x v="0"/>
    <x v="4"/>
    <n v="20177"/>
    <n v="104"/>
    <n v="9462.01"/>
    <n v="3370.64"/>
    <x v="5"/>
  </r>
  <r>
    <x v="0"/>
    <x v="0"/>
    <x v="4"/>
    <n v="21179"/>
    <n v="50"/>
    <n v="6303.14"/>
    <n v="3179.31"/>
    <x v="0"/>
  </r>
  <r>
    <x v="0"/>
    <x v="0"/>
    <x v="4"/>
    <n v="21260"/>
    <n v="50"/>
    <n v="8906.74"/>
    <n v="2355.13"/>
    <x v="4"/>
  </r>
  <r>
    <x v="0"/>
    <x v="0"/>
    <x v="4"/>
    <n v="22317"/>
    <n v="116"/>
    <n v="11327.39"/>
    <n v="4633.6099999999997"/>
    <x v="5"/>
  </r>
  <r>
    <x v="0"/>
    <x v="0"/>
    <x v="4"/>
    <n v="22940"/>
    <n v="1006"/>
    <n v="137802.54"/>
    <n v="24211.64"/>
    <x v="2"/>
  </r>
  <r>
    <x v="0"/>
    <x v="0"/>
    <x v="4"/>
    <n v="23178"/>
    <n v="391"/>
    <n v="68258.990000000005"/>
    <n v="11214.32"/>
    <x v="2"/>
  </r>
  <r>
    <x v="0"/>
    <x v="0"/>
    <x v="4"/>
    <n v="23600"/>
    <n v="657"/>
    <n v="67624.149999999994"/>
    <n v="17994.61"/>
    <x v="2"/>
  </r>
  <r>
    <x v="0"/>
    <x v="0"/>
    <x v="4"/>
    <n v="23756"/>
    <n v="59"/>
    <n v="11624.09"/>
    <n v="5795.1"/>
    <x v="1"/>
  </r>
  <r>
    <x v="0"/>
    <x v="0"/>
    <x v="4"/>
    <n v="24326"/>
    <n v="112"/>
    <n v="15048.33"/>
    <n v="3652.95"/>
    <x v="4"/>
  </r>
  <r>
    <x v="1"/>
    <x v="0"/>
    <x v="4"/>
    <n v="12184"/>
    <n v="22"/>
    <n v="3143.91"/>
    <n v="1785.89"/>
    <x v="0"/>
  </r>
  <r>
    <x v="1"/>
    <x v="0"/>
    <x v="4"/>
    <n v="12622"/>
    <n v="18"/>
    <n v="4794.07"/>
    <n v="2117.5100000000002"/>
    <x v="1"/>
  </r>
  <r>
    <x v="1"/>
    <x v="0"/>
    <x v="4"/>
    <n v="13527"/>
    <n v="193"/>
    <n v="30536.87"/>
    <n v="4892.17"/>
    <x v="2"/>
  </r>
  <r>
    <x v="1"/>
    <x v="0"/>
    <x v="4"/>
    <n v="13618"/>
    <n v="4"/>
    <n v="1587.01"/>
    <n v="719.59"/>
    <x v="1"/>
  </r>
  <r>
    <x v="1"/>
    <x v="0"/>
    <x v="4"/>
    <n v="16024"/>
    <n v="135"/>
    <n v="64369.83"/>
    <n v="18807.2"/>
    <x v="3"/>
  </r>
  <r>
    <x v="1"/>
    <x v="0"/>
    <x v="4"/>
    <n v="16650"/>
    <n v="26"/>
    <n v="3602.36"/>
    <n v="2226.2199999999998"/>
    <x v="0"/>
  </r>
  <r>
    <x v="1"/>
    <x v="0"/>
    <x v="4"/>
    <n v="17892"/>
    <n v="49"/>
    <n v="6881.58"/>
    <n v="1694.88"/>
    <x v="4"/>
  </r>
  <r>
    <x v="1"/>
    <x v="0"/>
    <x v="4"/>
    <n v="18342"/>
    <n v="31"/>
    <n v="23047.85"/>
    <n v="7836.39"/>
    <x v="3"/>
  </r>
  <r>
    <x v="1"/>
    <x v="0"/>
    <x v="4"/>
    <n v="20177"/>
    <n v="12"/>
    <n v="1090.26"/>
    <n v="484.68"/>
    <x v="5"/>
  </r>
  <r>
    <x v="1"/>
    <x v="0"/>
    <x v="4"/>
    <n v="21179"/>
    <n v="43"/>
    <n v="4917.4399999999996"/>
    <n v="2602.67"/>
    <x v="0"/>
  </r>
  <r>
    <x v="1"/>
    <x v="0"/>
    <x v="4"/>
    <n v="21260"/>
    <n v="32"/>
    <n v="5791.46"/>
    <n v="1287.83"/>
    <x v="4"/>
  </r>
  <r>
    <x v="1"/>
    <x v="0"/>
    <x v="4"/>
    <n v="22317"/>
    <n v="12"/>
    <n v="1188.31"/>
    <n v="547.91"/>
    <x v="5"/>
  </r>
  <r>
    <x v="1"/>
    <x v="0"/>
    <x v="4"/>
    <n v="22940"/>
    <n v="119"/>
    <n v="14134.35"/>
    <n v="3307.06"/>
    <x v="2"/>
  </r>
  <r>
    <x v="1"/>
    <x v="0"/>
    <x v="4"/>
    <n v="23178"/>
    <n v="137"/>
    <n v="24547.47"/>
    <n v="5906.1"/>
    <x v="2"/>
  </r>
  <r>
    <x v="1"/>
    <x v="0"/>
    <x v="4"/>
    <n v="23600"/>
    <n v="625"/>
    <n v="64517.42"/>
    <n v="20069.22"/>
    <x v="2"/>
  </r>
  <r>
    <x v="1"/>
    <x v="0"/>
    <x v="4"/>
    <n v="23756"/>
    <n v="98"/>
    <n v="15711.49"/>
    <n v="6151.75"/>
    <x v="1"/>
  </r>
  <r>
    <x v="1"/>
    <x v="0"/>
    <x v="4"/>
    <n v="24326"/>
    <n v="27"/>
    <n v="3701.23"/>
    <n v="1230.79"/>
    <x v="4"/>
  </r>
  <r>
    <x v="2"/>
    <x v="0"/>
    <x v="4"/>
    <n v="12184"/>
    <n v="121"/>
    <n v="19533.77"/>
    <n v="11572.38"/>
    <x v="0"/>
  </r>
  <r>
    <x v="2"/>
    <x v="0"/>
    <x v="4"/>
    <n v="12622"/>
    <n v="47"/>
    <n v="13047.17"/>
    <n v="8555.69"/>
    <x v="1"/>
  </r>
  <r>
    <x v="2"/>
    <x v="0"/>
    <x v="4"/>
    <n v="13527"/>
    <n v="298"/>
    <n v="45520.26"/>
    <n v="11351.65"/>
    <x v="2"/>
  </r>
  <r>
    <x v="2"/>
    <x v="0"/>
    <x v="4"/>
    <n v="13618"/>
    <n v="20"/>
    <n v="7906.19"/>
    <n v="4105.37"/>
    <x v="1"/>
  </r>
  <r>
    <x v="2"/>
    <x v="0"/>
    <x v="4"/>
    <n v="16024"/>
    <n v="146"/>
    <n v="67121.429999999993"/>
    <n v="18321.37"/>
    <x v="3"/>
  </r>
  <r>
    <x v="2"/>
    <x v="0"/>
    <x v="4"/>
    <n v="16650"/>
    <n v="17"/>
    <n v="3068.78"/>
    <n v="1913.36"/>
    <x v="0"/>
  </r>
  <r>
    <x v="2"/>
    <x v="0"/>
    <x v="4"/>
    <n v="17892"/>
    <n v="82"/>
    <n v="10870.3"/>
    <n v="3763.83"/>
    <x v="4"/>
  </r>
  <r>
    <x v="2"/>
    <x v="0"/>
    <x v="4"/>
    <n v="18342"/>
    <n v="190"/>
    <n v="162530.71"/>
    <n v="48220.83"/>
    <x v="3"/>
  </r>
  <r>
    <x v="2"/>
    <x v="0"/>
    <x v="4"/>
    <n v="20177"/>
    <n v="78"/>
    <n v="8604.7199999999993"/>
    <n v="4214.6899999999996"/>
    <x v="5"/>
  </r>
  <r>
    <x v="2"/>
    <x v="0"/>
    <x v="4"/>
    <n v="21179"/>
    <n v="72"/>
    <n v="10549.02"/>
    <n v="7451.84"/>
    <x v="0"/>
  </r>
  <r>
    <x v="2"/>
    <x v="0"/>
    <x v="4"/>
    <n v="21260"/>
    <n v="47"/>
    <n v="8722.2999999999993"/>
    <n v="3005.27"/>
    <x v="4"/>
  </r>
  <r>
    <x v="2"/>
    <x v="0"/>
    <x v="4"/>
    <n v="22317"/>
    <n v="32"/>
    <n v="3368.03"/>
    <n v="1743.93"/>
    <x v="5"/>
  </r>
  <r>
    <x v="2"/>
    <x v="0"/>
    <x v="4"/>
    <n v="22940"/>
    <n v="391"/>
    <n v="46730.44"/>
    <n v="11076.52"/>
    <x v="2"/>
  </r>
  <r>
    <x v="2"/>
    <x v="0"/>
    <x v="4"/>
    <n v="23178"/>
    <n v="109"/>
    <n v="17919.72"/>
    <n v="4129.75"/>
    <x v="2"/>
  </r>
  <r>
    <x v="2"/>
    <x v="0"/>
    <x v="4"/>
    <n v="23600"/>
    <n v="926"/>
    <n v="100458.2"/>
    <n v="28715.11"/>
    <x v="2"/>
  </r>
  <r>
    <x v="2"/>
    <x v="0"/>
    <x v="4"/>
    <n v="23756"/>
    <n v="133"/>
    <n v="19724.7"/>
    <n v="11814.31"/>
    <x v="1"/>
  </r>
  <r>
    <x v="2"/>
    <x v="0"/>
    <x v="4"/>
    <n v="24326"/>
    <n v="105"/>
    <n v="14246.33"/>
    <n v="4852.4799999999996"/>
    <x v="4"/>
  </r>
  <r>
    <x v="3"/>
    <x v="0"/>
    <x v="4"/>
    <n v="12184"/>
    <n v="89"/>
    <n v="12508.28"/>
    <n v="7965.56"/>
    <x v="0"/>
  </r>
  <r>
    <x v="3"/>
    <x v="0"/>
    <x v="4"/>
    <n v="12622"/>
    <n v="25"/>
    <n v="5467.06"/>
    <n v="2655.66"/>
    <x v="1"/>
  </r>
  <r>
    <x v="3"/>
    <x v="0"/>
    <x v="4"/>
    <n v="13527"/>
    <n v="606"/>
    <n v="90360.2"/>
    <n v="17775.849999999999"/>
    <x v="2"/>
  </r>
  <r>
    <x v="3"/>
    <x v="0"/>
    <x v="4"/>
    <n v="13618"/>
    <n v="10"/>
    <n v="4365.5600000000004"/>
    <n v="2243.87"/>
    <x v="1"/>
  </r>
  <r>
    <x v="3"/>
    <x v="0"/>
    <x v="4"/>
    <n v="16024"/>
    <n v="205"/>
    <n v="80046.98"/>
    <n v="21287.51"/>
    <x v="3"/>
  </r>
  <r>
    <x v="3"/>
    <x v="0"/>
    <x v="4"/>
    <n v="16650"/>
    <n v="59"/>
    <n v="8531.69"/>
    <n v="4908.22"/>
    <x v="0"/>
  </r>
  <r>
    <x v="3"/>
    <x v="0"/>
    <x v="4"/>
    <n v="17892"/>
    <n v="87"/>
    <n v="13192.71"/>
    <n v="3137.78"/>
    <x v="4"/>
  </r>
  <r>
    <x v="3"/>
    <x v="0"/>
    <x v="4"/>
    <n v="18342"/>
    <n v="213"/>
    <n v="182933.2"/>
    <n v="51005.57"/>
    <x v="3"/>
  </r>
  <r>
    <x v="3"/>
    <x v="0"/>
    <x v="4"/>
    <n v="20177"/>
    <n v="41"/>
    <n v="4716.6400000000003"/>
    <n v="1541.42"/>
    <x v="5"/>
  </r>
  <r>
    <x v="3"/>
    <x v="0"/>
    <x v="4"/>
    <n v="21179"/>
    <n v="59"/>
    <n v="8601.64"/>
    <n v="5529.98"/>
    <x v="0"/>
  </r>
  <r>
    <x v="3"/>
    <x v="0"/>
    <x v="4"/>
    <n v="21260"/>
    <n v="72"/>
    <n v="13684.94"/>
    <n v="3968.8"/>
    <x v="4"/>
  </r>
  <r>
    <x v="3"/>
    <x v="0"/>
    <x v="4"/>
    <n v="22317"/>
    <n v="66"/>
    <n v="6398.36"/>
    <n v="2760.16"/>
    <x v="5"/>
  </r>
  <r>
    <x v="3"/>
    <x v="0"/>
    <x v="4"/>
    <n v="22940"/>
    <n v="288"/>
    <n v="34621.01"/>
    <n v="8009"/>
    <x v="2"/>
  </r>
  <r>
    <x v="3"/>
    <x v="0"/>
    <x v="4"/>
    <n v="23178"/>
    <n v="119"/>
    <n v="21661.22"/>
    <n v="4504.97"/>
    <x v="2"/>
  </r>
  <r>
    <x v="3"/>
    <x v="0"/>
    <x v="4"/>
    <n v="23600"/>
    <n v="1003"/>
    <n v="111146.29"/>
    <n v="23229.65"/>
    <x v="2"/>
  </r>
  <r>
    <x v="3"/>
    <x v="0"/>
    <x v="4"/>
    <n v="23756"/>
    <n v="129"/>
    <n v="20135.740000000002"/>
    <n v="9010.39"/>
    <x v="1"/>
  </r>
  <r>
    <x v="3"/>
    <x v="0"/>
    <x v="4"/>
    <n v="24326"/>
    <n v="66"/>
    <n v="8445.2199999999993"/>
    <n v="1824.98"/>
    <x v="4"/>
  </r>
  <r>
    <x v="0"/>
    <x v="0"/>
    <x v="5"/>
    <n v="12184"/>
    <n v="85"/>
    <n v="8921.76"/>
    <n v="4457.29"/>
    <x v="0"/>
  </r>
  <r>
    <x v="0"/>
    <x v="0"/>
    <x v="5"/>
    <n v="12622"/>
    <n v="55"/>
    <n v="13039.95"/>
    <n v="5749.38"/>
    <x v="1"/>
  </r>
  <r>
    <x v="0"/>
    <x v="0"/>
    <x v="5"/>
    <n v="13527"/>
    <n v="623"/>
    <n v="91888.66"/>
    <n v="19875.57"/>
    <x v="2"/>
  </r>
  <r>
    <x v="0"/>
    <x v="0"/>
    <x v="5"/>
    <n v="13618"/>
    <n v="27"/>
    <n v="11710.54"/>
    <n v="6228.91"/>
    <x v="1"/>
  </r>
  <r>
    <x v="0"/>
    <x v="0"/>
    <x v="5"/>
    <n v="16024"/>
    <n v="210"/>
    <n v="81039.98"/>
    <n v="19506.38"/>
    <x v="3"/>
  </r>
  <r>
    <x v="0"/>
    <x v="0"/>
    <x v="5"/>
    <n v="16650"/>
    <n v="31"/>
    <n v="4606.67"/>
    <n v="2007.2"/>
    <x v="0"/>
  </r>
  <r>
    <x v="0"/>
    <x v="0"/>
    <x v="5"/>
    <n v="17892"/>
    <n v="161"/>
    <n v="24284.71"/>
    <n v="7050.8"/>
    <x v="4"/>
  </r>
  <r>
    <x v="0"/>
    <x v="0"/>
    <x v="5"/>
    <n v="18342"/>
    <n v="219"/>
    <n v="181275.45"/>
    <n v="52912.25"/>
    <x v="3"/>
  </r>
  <r>
    <x v="0"/>
    <x v="0"/>
    <x v="5"/>
    <n v="20177"/>
    <n v="124"/>
    <n v="11676.7"/>
    <n v="4933.33"/>
    <x v="5"/>
  </r>
  <r>
    <x v="0"/>
    <x v="0"/>
    <x v="5"/>
    <n v="21179"/>
    <n v="74"/>
    <n v="10286.83"/>
    <n v="4837.8599999999997"/>
    <x v="0"/>
  </r>
  <r>
    <x v="0"/>
    <x v="0"/>
    <x v="5"/>
    <n v="21260"/>
    <n v="88"/>
    <n v="16603.14"/>
    <n v="4306.78"/>
    <x v="4"/>
  </r>
  <r>
    <x v="0"/>
    <x v="0"/>
    <x v="5"/>
    <n v="22317"/>
    <n v="75"/>
    <n v="6199.91"/>
    <n v="2055.44"/>
    <x v="5"/>
  </r>
  <r>
    <x v="0"/>
    <x v="0"/>
    <x v="5"/>
    <n v="22940"/>
    <n v="741"/>
    <n v="89324.75"/>
    <n v="18710.21"/>
    <x v="2"/>
  </r>
  <r>
    <x v="0"/>
    <x v="0"/>
    <x v="5"/>
    <n v="23178"/>
    <n v="269"/>
    <n v="43323.8"/>
    <n v="7529.46"/>
    <x v="2"/>
  </r>
  <r>
    <x v="0"/>
    <x v="0"/>
    <x v="5"/>
    <n v="23600"/>
    <n v="1416"/>
    <n v="149280.34"/>
    <n v="36782.980000000003"/>
    <x v="2"/>
  </r>
  <r>
    <x v="0"/>
    <x v="0"/>
    <x v="5"/>
    <n v="23756"/>
    <n v="54"/>
    <n v="10279.56"/>
    <n v="5286.87"/>
    <x v="1"/>
  </r>
  <r>
    <x v="0"/>
    <x v="0"/>
    <x v="5"/>
    <n v="24326"/>
    <n v="136"/>
    <n v="20596.55"/>
    <n v="6034.88"/>
    <x v="4"/>
  </r>
  <r>
    <x v="1"/>
    <x v="0"/>
    <x v="5"/>
    <n v="12184"/>
    <n v="31"/>
    <n v="3267.53"/>
    <n v="1850.03"/>
    <x v="0"/>
  </r>
  <r>
    <x v="1"/>
    <x v="0"/>
    <x v="5"/>
    <n v="12622"/>
    <n v="19"/>
    <n v="4970.3999999999996"/>
    <n v="2143.9499999999998"/>
    <x v="1"/>
  </r>
  <r>
    <x v="1"/>
    <x v="0"/>
    <x v="5"/>
    <n v="13527"/>
    <n v="359"/>
    <n v="59121.61"/>
    <n v="10627.81"/>
    <x v="2"/>
  </r>
  <r>
    <x v="1"/>
    <x v="0"/>
    <x v="5"/>
    <n v="13618"/>
    <n v="5"/>
    <n v="1798.33"/>
    <n v="776.88"/>
    <x v="1"/>
  </r>
  <r>
    <x v="1"/>
    <x v="0"/>
    <x v="5"/>
    <n v="16024"/>
    <n v="163"/>
    <n v="79482.89"/>
    <n v="24819.53"/>
    <x v="3"/>
  </r>
  <r>
    <x v="1"/>
    <x v="0"/>
    <x v="5"/>
    <n v="16650"/>
    <n v="15"/>
    <n v="2765.22"/>
    <n v="1532.17"/>
    <x v="0"/>
  </r>
  <r>
    <x v="1"/>
    <x v="0"/>
    <x v="5"/>
    <n v="17892"/>
    <n v="89"/>
    <n v="13643.93"/>
    <n v="2826.71"/>
    <x v="4"/>
  </r>
  <r>
    <x v="1"/>
    <x v="0"/>
    <x v="5"/>
    <n v="18342"/>
    <n v="25"/>
    <n v="20763.990000000002"/>
    <n v="5523.67"/>
    <x v="3"/>
  </r>
  <r>
    <x v="1"/>
    <x v="0"/>
    <x v="5"/>
    <n v="20177"/>
    <n v="30"/>
    <n v="3477.69"/>
    <n v="1411.2"/>
    <x v="5"/>
  </r>
  <r>
    <x v="1"/>
    <x v="0"/>
    <x v="5"/>
    <n v="21179"/>
    <n v="36"/>
    <n v="3929.7"/>
    <n v="2152.34"/>
    <x v="0"/>
  </r>
  <r>
    <x v="1"/>
    <x v="0"/>
    <x v="5"/>
    <n v="21260"/>
    <n v="48"/>
    <n v="8507.09"/>
    <n v="2076.11"/>
    <x v="4"/>
  </r>
  <r>
    <x v="1"/>
    <x v="0"/>
    <x v="5"/>
    <n v="22317"/>
    <n v="18"/>
    <n v="1717.12"/>
    <n v="705.59"/>
    <x v="5"/>
  </r>
  <r>
    <x v="1"/>
    <x v="0"/>
    <x v="5"/>
    <n v="22940"/>
    <n v="131"/>
    <n v="18787.36"/>
    <n v="4420.3100000000004"/>
    <x v="2"/>
  </r>
  <r>
    <x v="1"/>
    <x v="0"/>
    <x v="5"/>
    <n v="23178"/>
    <n v="302"/>
    <n v="51851.71"/>
    <n v="12455.8"/>
    <x v="2"/>
  </r>
  <r>
    <x v="1"/>
    <x v="0"/>
    <x v="5"/>
    <n v="23600"/>
    <n v="592"/>
    <n v="66513.11"/>
    <n v="15309.5"/>
    <x v="2"/>
  </r>
  <r>
    <x v="1"/>
    <x v="0"/>
    <x v="5"/>
    <n v="23756"/>
    <n v="76"/>
    <n v="13198.59"/>
    <n v="5792.05"/>
    <x v="1"/>
  </r>
  <r>
    <x v="1"/>
    <x v="0"/>
    <x v="5"/>
    <n v="24326"/>
    <n v="39"/>
    <n v="6049.34"/>
    <n v="1536.3"/>
    <x v="4"/>
  </r>
  <r>
    <x v="2"/>
    <x v="0"/>
    <x v="5"/>
    <n v="12184"/>
    <n v="71"/>
    <n v="10887.63"/>
    <n v="6874.52"/>
    <x v="0"/>
  </r>
  <r>
    <x v="2"/>
    <x v="0"/>
    <x v="5"/>
    <n v="12622"/>
    <n v="43"/>
    <n v="12089.72"/>
    <n v="7684.83"/>
    <x v="1"/>
  </r>
  <r>
    <x v="2"/>
    <x v="0"/>
    <x v="5"/>
    <n v="13527"/>
    <n v="467"/>
    <n v="82574.539999999994"/>
    <n v="18275.02"/>
    <x v="2"/>
  </r>
  <r>
    <x v="2"/>
    <x v="0"/>
    <x v="5"/>
    <n v="13618"/>
    <n v="29"/>
    <n v="10965.19"/>
    <n v="7057.68"/>
    <x v="1"/>
  </r>
  <r>
    <x v="2"/>
    <x v="0"/>
    <x v="5"/>
    <n v="16024"/>
    <n v="223"/>
    <n v="102825.12"/>
    <n v="32122.19"/>
    <x v="3"/>
  </r>
  <r>
    <x v="2"/>
    <x v="0"/>
    <x v="5"/>
    <n v="16650"/>
    <n v="25"/>
    <n v="3917.95"/>
    <n v="2513.08"/>
    <x v="0"/>
  </r>
  <r>
    <x v="2"/>
    <x v="0"/>
    <x v="5"/>
    <n v="17892"/>
    <n v="76"/>
    <n v="11724.04"/>
    <n v="4009.91"/>
    <x v="4"/>
  </r>
  <r>
    <x v="2"/>
    <x v="0"/>
    <x v="5"/>
    <n v="18342"/>
    <n v="72"/>
    <n v="59249.36"/>
    <n v="16648.669999999998"/>
    <x v="3"/>
  </r>
  <r>
    <x v="2"/>
    <x v="0"/>
    <x v="5"/>
    <n v="20177"/>
    <n v="33"/>
    <n v="3018.88"/>
    <n v="1522.12"/>
    <x v="5"/>
  </r>
  <r>
    <x v="2"/>
    <x v="0"/>
    <x v="5"/>
    <n v="21179"/>
    <n v="36"/>
    <n v="5384.29"/>
    <n v="3558.69"/>
    <x v="0"/>
  </r>
  <r>
    <x v="2"/>
    <x v="0"/>
    <x v="5"/>
    <n v="21260"/>
    <n v="49"/>
    <n v="9377.39"/>
    <n v="3224.32"/>
    <x v="4"/>
  </r>
  <r>
    <x v="2"/>
    <x v="0"/>
    <x v="5"/>
    <n v="22317"/>
    <n v="27"/>
    <n v="2648.36"/>
    <n v="1391.1"/>
    <x v="5"/>
  </r>
  <r>
    <x v="2"/>
    <x v="0"/>
    <x v="5"/>
    <n v="22940"/>
    <n v="671"/>
    <n v="81232.03"/>
    <n v="18865.82"/>
    <x v="2"/>
  </r>
  <r>
    <x v="2"/>
    <x v="0"/>
    <x v="5"/>
    <n v="23178"/>
    <n v="97"/>
    <n v="19035.849999999999"/>
    <n v="4172.32"/>
    <x v="2"/>
  </r>
  <r>
    <x v="2"/>
    <x v="0"/>
    <x v="5"/>
    <n v="23600"/>
    <n v="525"/>
    <n v="52495.66"/>
    <n v="13726.42"/>
    <x v="2"/>
  </r>
  <r>
    <x v="2"/>
    <x v="0"/>
    <x v="5"/>
    <n v="23756"/>
    <n v="49"/>
    <n v="9273.82"/>
    <n v="5968.83"/>
    <x v="1"/>
  </r>
  <r>
    <x v="2"/>
    <x v="0"/>
    <x v="5"/>
    <n v="24326"/>
    <n v="135"/>
    <n v="17308.740000000002"/>
    <n v="4516.7700000000004"/>
    <x v="4"/>
  </r>
  <r>
    <x v="3"/>
    <x v="0"/>
    <x v="5"/>
    <n v="12184"/>
    <n v="84"/>
    <n v="10277.41"/>
    <n v="6306.13"/>
    <x v="0"/>
  </r>
  <r>
    <x v="3"/>
    <x v="0"/>
    <x v="5"/>
    <n v="12622"/>
    <n v="51"/>
    <n v="14450.1"/>
    <n v="6999.37"/>
    <x v="1"/>
  </r>
  <r>
    <x v="3"/>
    <x v="0"/>
    <x v="5"/>
    <n v="13527"/>
    <n v="243"/>
    <n v="39843.26"/>
    <n v="9555.2099999999991"/>
    <x v="2"/>
  </r>
  <r>
    <x v="3"/>
    <x v="0"/>
    <x v="5"/>
    <n v="13618"/>
    <n v="7"/>
    <n v="3015.17"/>
    <n v="1306.8399999999999"/>
    <x v="1"/>
  </r>
  <r>
    <x v="3"/>
    <x v="0"/>
    <x v="5"/>
    <n v="16024"/>
    <n v="118"/>
    <n v="54430.26"/>
    <n v="14468.1"/>
    <x v="3"/>
  </r>
  <r>
    <x v="3"/>
    <x v="0"/>
    <x v="5"/>
    <n v="16650"/>
    <n v="57"/>
    <n v="7646.61"/>
    <n v="4846.32"/>
    <x v="0"/>
  </r>
  <r>
    <x v="3"/>
    <x v="0"/>
    <x v="5"/>
    <n v="17892"/>
    <n v="91"/>
    <n v="11783.04"/>
    <n v="3064.09"/>
    <x v="4"/>
  </r>
  <r>
    <x v="3"/>
    <x v="0"/>
    <x v="5"/>
    <n v="18342"/>
    <n v="148"/>
    <n v="120582.28"/>
    <n v="27008.880000000001"/>
    <x v="3"/>
  </r>
  <r>
    <x v="3"/>
    <x v="0"/>
    <x v="5"/>
    <n v="20177"/>
    <n v="61"/>
    <n v="5940.1"/>
    <n v="2039.19"/>
    <x v="5"/>
  </r>
  <r>
    <x v="3"/>
    <x v="0"/>
    <x v="5"/>
    <n v="21179"/>
    <n v="57"/>
    <n v="6905.62"/>
    <n v="3356.63"/>
    <x v="0"/>
  </r>
  <r>
    <x v="3"/>
    <x v="0"/>
    <x v="5"/>
    <n v="21260"/>
    <n v="56"/>
    <n v="10406.700000000001"/>
    <n v="2416.5100000000002"/>
    <x v="4"/>
  </r>
  <r>
    <x v="3"/>
    <x v="0"/>
    <x v="5"/>
    <n v="22317"/>
    <n v="46"/>
    <n v="4127.4399999999996"/>
    <n v="1648.55"/>
    <x v="5"/>
  </r>
  <r>
    <x v="3"/>
    <x v="0"/>
    <x v="5"/>
    <n v="22940"/>
    <n v="531"/>
    <n v="72146.960000000006"/>
    <n v="15358.87"/>
    <x v="2"/>
  </r>
  <r>
    <x v="3"/>
    <x v="0"/>
    <x v="5"/>
    <n v="23178"/>
    <n v="228"/>
    <n v="41148.800000000003"/>
    <n v="7660.18"/>
    <x v="2"/>
  </r>
  <r>
    <x v="3"/>
    <x v="0"/>
    <x v="5"/>
    <n v="23600"/>
    <n v="1267"/>
    <n v="141750.42000000001"/>
    <n v="36437.85"/>
    <x v="2"/>
  </r>
  <r>
    <x v="3"/>
    <x v="0"/>
    <x v="5"/>
    <n v="23756"/>
    <n v="67"/>
    <n v="11772.02"/>
    <n v="6329.45"/>
    <x v="1"/>
  </r>
  <r>
    <x v="3"/>
    <x v="0"/>
    <x v="5"/>
    <n v="24326"/>
    <n v="63"/>
    <n v="9150.2999999999993"/>
    <n v="2412.59"/>
    <x v="4"/>
  </r>
  <r>
    <x v="0"/>
    <x v="0"/>
    <x v="6"/>
    <n v="12184"/>
    <n v="103"/>
    <n v="14168"/>
    <n v="6472.17"/>
    <x v="0"/>
  </r>
  <r>
    <x v="0"/>
    <x v="0"/>
    <x v="6"/>
    <n v="12622"/>
    <n v="43"/>
    <n v="11722.03"/>
    <n v="5730.52"/>
    <x v="1"/>
  </r>
  <r>
    <x v="0"/>
    <x v="0"/>
    <x v="6"/>
    <n v="13527"/>
    <n v="527"/>
    <n v="79688.399999999994"/>
    <n v="14099.11"/>
    <x v="2"/>
  </r>
  <r>
    <x v="0"/>
    <x v="0"/>
    <x v="6"/>
    <n v="13618"/>
    <n v="13"/>
    <n v="4714.6400000000003"/>
    <n v="2103.5500000000002"/>
    <x v="1"/>
  </r>
  <r>
    <x v="0"/>
    <x v="0"/>
    <x v="6"/>
    <n v="16024"/>
    <n v="208"/>
    <n v="85841.42"/>
    <n v="25451.06"/>
    <x v="3"/>
  </r>
  <r>
    <x v="0"/>
    <x v="0"/>
    <x v="6"/>
    <n v="16650"/>
    <n v="30"/>
    <n v="5320.11"/>
    <n v="2448.89"/>
    <x v="0"/>
  </r>
  <r>
    <x v="0"/>
    <x v="0"/>
    <x v="6"/>
    <n v="17892"/>
    <n v="117"/>
    <n v="16018.53"/>
    <n v="5130.25"/>
    <x v="4"/>
  </r>
  <r>
    <x v="0"/>
    <x v="0"/>
    <x v="6"/>
    <n v="18342"/>
    <n v="172"/>
    <n v="127612.25"/>
    <n v="34988.94"/>
    <x v="3"/>
  </r>
  <r>
    <x v="0"/>
    <x v="0"/>
    <x v="6"/>
    <n v="20177"/>
    <n v="147"/>
    <n v="14677.38"/>
    <n v="4723.79"/>
    <x v="5"/>
  </r>
  <r>
    <x v="0"/>
    <x v="0"/>
    <x v="6"/>
    <n v="21179"/>
    <n v="49"/>
    <n v="5493.75"/>
    <n v="3017.07"/>
    <x v="0"/>
  </r>
  <r>
    <x v="0"/>
    <x v="0"/>
    <x v="6"/>
    <n v="21260"/>
    <n v="39"/>
    <n v="6879.44"/>
    <n v="2160.44"/>
    <x v="4"/>
  </r>
  <r>
    <x v="0"/>
    <x v="0"/>
    <x v="6"/>
    <n v="22317"/>
    <n v="96"/>
    <n v="9633.44"/>
    <n v="3329.07"/>
    <x v="5"/>
  </r>
  <r>
    <x v="0"/>
    <x v="0"/>
    <x v="6"/>
    <n v="22940"/>
    <n v="857"/>
    <n v="111454.93"/>
    <n v="20750.919999999998"/>
    <x v="2"/>
  </r>
  <r>
    <x v="0"/>
    <x v="0"/>
    <x v="6"/>
    <n v="23178"/>
    <n v="274"/>
    <n v="50738.73"/>
    <n v="9269.68"/>
    <x v="2"/>
  </r>
  <r>
    <x v="0"/>
    <x v="0"/>
    <x v="6"/>
    <n v="23600"/>
    <n v="1348"/>
    <n v="140265.9"/>
    <n v="36591.22"/>
    <x v="2"/>
  </r>
  <r>
    <x v="0"/>
    <x v="0"/>
    <x v="6"/>
    <n v="23756"/>
    <n v="146"/>
    <n v="24219.13"/>
    <n v="12446.41"/>
    <x v="1"/>
  </r>
  <r>
    <x v="0"/>
    <x v="0"/>
    <x v="6"/>
    <n v="24326"/>
    <n v="74"/>
    <n v="11075.96"/>
    <n v="2938.43"/>
    <x v="4"/>
  </r>
  <r>
    <x v="1"/>
    <x v="0"/>
    <x v="6"/>
    <n v="12184"/>
    <n v="29"/>
    <n v="3832.1"/>
    <n v="1981.55"/>
    <x v="0"/>
  </r>
  <r>
    <x v="1"/>
    <x v="0"/>
    <x v="6"/>
    <n v="12622"/>
    <n v="21"/>
    <n v="4677.3500000000004"/>
    <n v="2001.45"/>
    <x v="1"/>
  </r>
  <r>
    <x v="1"/>
    <x v="0"/>
    <x v="6"/>
    <n v="13527"/>
    <n v="281"/>
    <n v="44901.69"/>
    <n v="7418.23"/>
    <x v="2"/>
  </r>
  <r>
    <x v="1"/>
    <x v="0"/>
    <x v="6"/>
    <n v="13618"/>
    <n v="10"/>
    <n v="4010.16"/>
    <n v="1708.29"/>
    <x v="1"/>
  </r>
  <r>
    <x v="1"/>
    <x v="0"/>
    <x v="6"/>
    <n v="16024"/>
    <n v="153"/>
    <n v="73539.48"/>
    <n v="20554.71"/>
    <x v="3"/>
  </r>
  <r>
    <x v="1"/>
    <x v="0"/>
    <x v="6"/>
    <n v="16650"/>
    <n v="13"/>
    <n v="2128.9299999999998"/>
    <n v="1395"/>
    <x v="0"/>
  </r>
  <r>
    <x v="1"/>
    <x v="0"/>
    <x v="6"/>
    <n v="17892"/>
    <n v="75"/>
    <n v="9640.92"/>
    <n v="2118.13"/>
    <x v="4"/>
  </r>
  <r>
    <x v="1"/>
    <x v="0"/>
    <x v="6"/>
    <n v="18342"/>
    <n v="18"/>
    <n v="14955.11"/>
    <n v="4818.7"/>
    <x v="3"/>
  </r>
  <r>
    <x v="1"/>
    <x v="0"/>
    <x v="6"/>
    <n v="20177"/>
    <n v="18"/>
    <n v="2013.29"/>
    <n v="832.87"/>
    <x v="5"/>
  </r>
  <r>
    <x v="1"/>
    <x v="0"/>
    <x v="6"/>
    <n v="21179"/>
    <n v="48"/>
    <n v="6847.75"/>
    <n v="4270.68"/>
    <x v="0"/>
  </r>
  <r>
    <x v="1"/>
    <x v="0"/>
    <x v="6"/>
    <n v="21260"/>
    <n v="62"/>
    <n v="11926.4"/>
    <n v="3116.86"/>
    <x v="4"/>
  </r>
  <r>
    <x v="1"/>
    <x v="0"/>
    <x v="6"/>
    <n v="22317"/>
    <n v="18"/>
    <n v="1345.31"/>
    <n v="654.13"/>
    <x v="5"/>
  </r>
  <r>
    <x v="1"/>
    <x v="0"/>
    <x v="6"/>
    <n v="22940"/>
    <n v="173"/>
    <n v="20213.47"/>
    <n v="5083.57"/>
    <x v="2"/>
  </r>
  <r>
    <x v="1"/>
    <x v="0"/>
    <x v="6"/>
    <n v="23178"/>
    <n v="262"/>
    <n v="45045.69"/>
    <n v="12115.81"/>
    <x v="2"/>
  </r>
  <r>
    <x v="1"/>
    <x v="0"/>
    <x v="6"/>
    <n v="23600"/>
    <n v="434"/>
    <n v="49528.24"/>
    <n v="12008.11"/>
    <x v="2"/>
  </r>
  <r>
    <x v="1"/>
    <x v="0"/>
    <x v="6"/>
    <n v="23756"/>
    <n v="59"/>
    <n v="10290.700000000001"/>
    <n v="4984.63"/>
    <x v="1"/>
  </r>
  <r>
    <x v="1"/>
    <x v="0"/>
    <x v="6"/>
    <n v="24326"/>
    <n v="19"/>
    <n v="2717.37"/>
    <n v="882.58"/>
    <x v="4"/>
  </r>
  <r>
    <x v="2"/>
    <x v="0"/>
    <x v="6"/>
    <n v="12184"/>
    <n v="100"/>
    <n v="11729.05"/>
    <n v="8574.32"/>
    <x v="0"/>
  </r>
  <r>
    <x v="2"/>
    <x v="0"/>
    <x v="6"/>
    <n v="12622"/>
    <n v="43"/>
    <n v="9404.44"/>
    <n v="5827.09"/>
    <x v="1"/>
  </r>
  <r>
    <x v="2"/>
    <x v="0"/>
    <x v="6"/>
    <n v="13527"/>
    <n v="475"/>
    <n v="83338.97"/>
    <n v="19865.02"/>
    <x v="2"/>
  </r>
  <r>
    <x v="2"/>
    <x v="0"/>
    <x v="6"/>
    <n v="13618"/>
    <n v="26"/>
    <n v="12611.19"/>
    <n v="6938.75"/>
    <x v="1"/>
  </r>
  <r>
    <x v="2"/>
    <x v="0"/>
    <x v="6"/>
    <n v="16024"/>
    <n v="216"/>
    <n v="98459.01"/>
    <n v="25819.81"/>
    <x v="3"/>
  </r>
  <r>
    <x v="2"/>
    <x v="0"/>
    <x v="6"/>
    <n v="16650"/>
    <n v="22"/>
    <n v="4268.47"/>
    <n v="2679.26"/>
    <x v="0"/>
  </r>
  <r>
    <x v="2"/>
    <x v="0"/>
    <x v="6"/>
    <n v="17892"/>
    <n v="91"/>
    <n v="13639.55"/>
    <n v="4143.59"/>
    <x v="4"/>
  </r>
  <r>
    <x v="2"/>
    <x v="0"/>
    <x v="6"/>
    <n v="18342"/>
    <n v="83"/>
    <n v="76042.149999999994"/>
    <n v="21697"/>
    <x v="3"/>
  </r>
  <r>
    <x v="2"/>
    <x v="0"/>
    <x v="6"/>
    <n v="20177"/>
    <n v="65"/>
    <n v="6037.59"/>
    <n v="2779.37"/>
    <x v="5"/>
  </r>
  <r>
    <x v="2"/>
    <x v="0"/>
    <x v="6"/>
    <n v="21179"/>
    <n v="59"/>
    <n v="7565.4"/>
    <n v="4564.46"/>
    <x v="0"/>
  </r>
  <r>
    <x v="2"/>
    <x v="0"/>
    <x v="6"/>
    <n v="21260"/>
    <n v="53"/>
    <n v="11446.3"/>
    <n v="3151.19"/>
    <x v="4"/>
  </r>
  <r>
    <x v="2"/>
    <x v="0"/>
    <x v="6"/>
    <n v="22317"/>
    <n v="27"/>
    <n v="2544.27"/>
    <n v="1042.21"/>
    <x v="5"/>
  </r>
  <r>
    <x v="2"/>
    <x v="0"/>
    <x v="6"/>
    <n v="22940"/>
    <n v="258"/>
    <n v="35003.339999999997"/>
    <n v="7577.93"/>
    <x v="2"/>
  </r>
  <r>
    <x v="2"/>
    <x v="0"/>
    <x v="6"/>
    <n v="23178"/>
    <n v="180"/>
    <n v="30862.28"/>
    <n v="8109.75"/>
    <x v="2"/>
  </r>
  <r>
    <x v="2"/>
    <x v="0"/>
    <x v="6"/>
    <n v="23600"/>
    <n v="1219"/>
    <n v="148760.6"/>
    <n v="44369.599999999999"/>
    <x v="2"/>
  </r>
  <r>
    <x v="2"/>
    <x v="0"/>
    <x v="6"/>
    <n v="23756"/>
    <n v="104"/>
    <n v="19086.060000000001"/>
    <n v="12042.15"/>
    <x v="1"/>
  </r>
  <r>
    <x v="2"/>
    <x v="0"/>
    <x v="6"/>
    <n v="24326"/>
    <n v="93"/>
    <n v="12554.58"/>
    <n v="4169.04"/>
    <x v="4"/>
  </r>
  <r>
    <x v="3"/>
    <x v="0"/>
    <x v="6"/>
    <n v="12184"/>
    <n v="91"/>
    <n v="9345.86"/>
    <n v="4504.17"/>
    <x v="0"/>
  </r>
  <r>
    <x v="3"/>
    <x v="0"/>
    <x v="6"/>
    <n v="12622"/>
    <n v="26"/>
    <n v="7834.54"/>
    <n v="3336.55"/>
    <x v="1"/>
  </r>
  <r>
    <x v="3"/>
    <x v="0"/>
    <x v="6"/>
    <n v="13527"/>
    <n v="530"/>
    <n v="82302"/>
    <n v="15047.13"/>
    <x v="2"/>
  </r>
  <r>
    <x v="3"/>
    <x v="0"/>
    <x v="6"/>
    <n v="13618"/>
    <n v="7"/>
    <n v="2396.67"/>
    <n v="971.03"/>
    <x v="1"/>
  </r>
  <r>
    <x v="3"/>
    <x v="0"/>
    <x v="6"/>
    <n v="16024"/>
    <n v="195"/>
    <n v="79690.3"/>
    <n v="17812.37"/>
    <x v="3"/>
  </r>
  <r>
    <x v="3"/>
    <x v="0"/>
    <x v="6"/>
    <n v="16650"/>
    <n v="40"/>
    <n v="5435.69"/>
    <n v="3391.6"/>
    <x v="0"/>
  </r>
  <r>
    <x v="3"/>
    <x v="0"/>
    <x v="6"/>
    <n v="17892"/>
    <n v="111"/>
    <n v="15781.03"/>
    <n v="3990.2"/>
    <x v="4"/>
  </r>
  <r>
    <x v="3"/>
    <x v="0"/>
    <x v="6"/>
    <n v="18342"/>
    <n v="178"/>
    <n v="160501.32999999999"/>
    <n v="44459.47"/>
    <x v="3"/>
  </r>
  <r>
    <x v="3"/>
    <x v="0"/>
    <x v="6"/>
    <n v="20177"/>
    <n v="97"/>
    <n v="11111.94"/>
    <n v="4297.68"/>
    <x v="5"/>
  </r>
  <r>
    <x v="3"/>
    <x v="0"/>
    <x v="6"/>
    <n v="21179"/>
    <n v="41"/>
    <n v="5027.79"/>
    <n v="2985.74"/>
    <x v="0"/>
  </r>
  <r>
    <x v="3"/>
    <x v="0"/>
    <x v="6"/>
    <n v="21260"/>
    <n v="39"/>
    <n v="6857.97"/>
    <n v="1539"/>
    <x v="4"/>
  </r>
  <r>
    <x v="3"/>
    <x v="0"/>
    <x v="6"/>
    <n v="22317"/>
    <n v="61"/>
    <n v="5032.53"/>
    <n v="1662.32"/>
    <x v="5"/>
  </r>
  <r>
    <x v="3"/>
    <x v="0"/>
    <x v="6"/>
    <n v="22940"/>
    <n v="641"/>
    <n v="88201.06"/>
    <n v="18762.75"/>
    <x v="2"/>
  </r>
  <r>
    <x v="3"/>
    <x v="0"/>
    <x v="6"/>
    <n v="23178"/>
    <n v="134"/>
    <n v="24150.55"/>
    <n v="4819.68"/>
    <x v="2"/>
  </r>
  <r>
    <x v="3"/>
    <x v="0"/>
    <x v="6"/>
    <n v="23600"/>
    <n v="753"/>
    <n v="79191.09"/>
    <n v="15920.52"/>
    <x v="2"/>
  </r>
  <r>
    <x v="3"/>
    <x v="0"/>
    <x v="6"/>
    <n v="23756"/>
    <n v="73"/>
    <n v="15004.42"/>
    <n v="7158.23"/>
    <x v="1"/>
  </r>
  <r>
    <x v="3"/>
    <x v="0"/>
    <x v="6"/>
    <n v="24326"/>
    <n v="102"/>
    <n v="13400.89"/>
    <n v="3862.85"/>
    <x v="4"/>
  </r>
  <r>
    <x v="0"/>
    <x v="0"/>
    <x v="7"/>
    <n v="12184"/>
    <n v="99"/>
    <n v="12747.74"/>
    <n v="6406.98"/>
    <x v="0"/>
  </r>
  <r>
    <x v="0"/>
    <x v="0"/>
    <x v="7"/>
    <n v="12622"/>
    <n v="54"/>
    <n v="15926.83"/>
    <n v="7837.94"/>
    <x v="1"/>
  </r>
  <r>
    <x v="0"/>
    <x v="0"/>
    <x v="7"/>
    <n v="13527"/>
    <n v="697"/>
    <n v="109403.08"/>
    <n v="20831.34"/>
    <x v="2"/>
  </r>
  <r>
    <x v="0"/>
    <x v="0"/>
    <x v="7"/>
    <n v="13618"/>
    <n v="21"/>
    <n v="7173.99"/>
    <n v="3767.48"/>
    <x v="1"/>
  </r>
  <r>
    <x v="0"/>
    <x v="0"/>
    <x v="7"/>
    <n v="16024"/>
    <n v="151"/>
    <n v="67425.490000000005"/>
    <n v="18953.03"/>
    <x v="3"/>
  </r>
  <r>
    <x v="0"/>
    <x v="0"/>
    <x v="7"/>
    <n v="16650"/>
    <n v="68"/>
    <n v="11492.69"/>
    <n v="4615.1899999999996"/>
    <x v="0"/>
  </r>
  <r>
    <x v="0"/>
    <x v="0"/>
    <x v="7"/>
    <n v="17892"/>
    <n v="159"/>
    <n v="20981.55"/>
    <n v="6820.22"/>
    <x v="4"/>
  </r>
  <r>
    <x v="0"/>
    <x v="0"/>
    <x v="7"/>
    <n v="18342"/>
    <n v="91"/>
    <n v="75373.31"/>
    <n v="22788.36"/>
    <x v="3"/>
  </r>
  <r>
    <x v="0"/>
    <x v="0"/>
    <x v="7"/>
    <n v="20177"/>
    <n v="150"/>
    <n v="15690.43"/>
    <n v="5548.48"/>
    <x v="5"/>
  </r>
  <r>
    <x v="0"/>
    <x v="0"/>
    <x v="7"/>
    <n v="21179"/>
    <n v="42"/>
    <n v="4230.5600000000004"/>
    <n v="1765.13"/>
    <x v="0"/>
  </r>
  <r>
    <x v="0"/>
    <x v="0"/>
    <x v="7"/>
    <n v="21260"/>
    <n v="98"/>
    <n v="17621.68"/>
    <n v="4360.83"/>
    <x v="4"/>
  </r>
  <r>
    <x v="0"/>
    <x v="0"/>
    <x v="7"/>
    <n v="22317"/>
    <n v="107"/>
    <n v="8354.06"/>
    <n v="3134.8"/>
    <x v="5"/>
  </r>
  <r>
    <x v="0"/>
    <x v="0"/>
    <x v="7"/>
    <n v="22940"/>
    <n v="624"/>
    <n v="74631.17"/>
    <n v="13843.93"/>
    <x v="2"/>
  </r>
  <r>
    <x v="0"/>
    <x v="0"/>
    <x v="7"/>
    <n v="23178"/>
    <n v="249"/>
    <n v="45330.16"/>
    <n v="8353.8700000000008"/>
    <x v="2"/>
  </r>
  <r>
    <x v="0"/>
    <x v="0"/>
    <x v="7"/>
    <n v="23600"/>
    <n v="708"/>
    <n v="75882.429999999993"/>
    <n v="16721.84"/>
    <x v="2"/>
  </r>
  <r>
    <x v="0"/>
    <x v="0"/>
    <x v="7"/>
    <n v="23756"/>
    <n v="103"/>
    <n v="20426.099999999999"/>
    <n v="8440.5"/>
    <x v="1"/>
  </r>
  <r>
    <x v="0"/>
    <x v="0"/>
    <x v="7"/>
    <n v="24326"/>
    <n v="190"/>
    <n v="26245.38"/>
    <n v="8559.14"/>
    <x v="4"/>
  </r>
  <r>
    <x v="1"/>
    <x v="0"/>
    <x v="7"/>
    <n v="12184"/>
    <n v="38"/>
    <n v="4846.8500000000004"/>
    <n v="2314.46"/>
    <x v="0"/>
  </r>
  <r>
    <x v="1"/>
    <x v="0"/>
    <x v="7"/>
    <n v="12622"/>
    <n v="20"/>
    <n v="5558.43"/>
    <n v="2011.6"/>
    <x v="1"/>
  </r>
  <r>
    <x v="1"/>
    <x v="0"/>
    <x v="7"/>
    <n v="13527"/>
    <n v="125"/>
    <n v="21083.45"/>
    <n v="4154.3599999999997"/>
    <x v="2"/>
  </r>
  <r>
    <x v="1"/>
    <x v="0"/>
    <x v="7"/>
    <n v="13618"/>
    <n v="8"/>
    <n v="3240.25"/>
    <n v="1476.12"/>
    <x v="1"/>
  </r>
  <r>
    <x v="1"/>
    <x v="0"/>
    <x v="7"/>
    <n v="16024"/>
    <n v="167"/>
    <n v="75960.820000000007"/>
    <n v="24690.2"/>
    <x v="3"/>
  </r>
  <r>
    <x v="1"/>
    <x v="0"/>
    <x v="7"/>
    <n v="16650"/>
    <n v="36"/>
    <n v="5427.88"/>
    <n v="2996.54"/>
    <x v="0"/>
  </r>
  <r>
    <x v="1"/>
    <x v="0"/>
    <x v="7"/>
    <n v="17892"/>
    <n v="75"/>
    <n v="9335.9"/>
    <n v="2047.41"/>
    <x v="4"/>
  </r>
  <r>
    <x v="1"/>
    <x v="0"/>
    <x v="7"/>
    <n v="18342"/>
    <n v="22"/>
    <n v="18382.63"/>
    <n v="5085.76"/>
    <x v="3"/>
  </r>
  <r>
    <x v="1"/>
    <x v="0"/>
    <x v="7"/>
    <n v="20177"/>
    <n v="34"/>
    <n v="2960.31"/>
    <n v="1087.94"/>
    <x v="5"/>
  </r>
  <r>
    <x v="1"/>
    <x v="0"/>
    <x v="7"/>
    <n v="21179"/>
    <n v="53"/>
    <n v="6646.64"/>
    <n v="3229.97"/>
    <x v="0"/>
  </r>
  <r>
    <x v="1"/>
    <x v="0"/>
    <x v="7"/>
    <n v="21260"/>
    <n v="35"/>
    <n v="6517.09"/>
    <n v="1340.9"/>
    <x v="4"/>
  </r>
  <r>
    <x v="1"/>
    <x v="0"/>
    <x v="7"/>
    <n v="22317"/>
    <n v="8"/>
    <n v="625.08000000000004"/>
    <n v="323.98"/>
    <x v="5"/>
  </r>
  <r>
    <x v="1"/>
    <x v="0"/>
    <x v="7"/>
    <n v="22940"/>
    <n v="158"/>
    <n v="20195.79"/>
    <n v="5747.53"/>
    <x v="2"/>
  </r>
  <r>
    <x v="1"/>
    <x v="0"/>
    <x v="7"/>
    <n v="23178"/>
    <n v="274"/>
    <n v="47940.959999999999"/>
    <n v="11642.64"/>
    <x v="2"/>
  </r>
  <r>
    <x v="1"/>
    <x v="0"/>
    <x v="7"/>
    <n v="23600"/>
    <n v="471"/>
    <n v="47812.72"/>
    <n v="13285.1"/>
    <x v="2"/>
  </r>
  <r>
    <x v="1"/>
    <x v="0"/>
    <x v="7"/>
    <n v="23756"/>
    <n v="72"/>
    <n v="12113.76"/>
    <n v="5289.49"/>
    <x v="1"/>
  </r>
  <r>
    <x v="1"/>
    <x v="0"/>
    <x v="7"/>
    <n v="24326"/>
    <n v="19"/>
    <n v="2768.13"/>
    <n v="852.5"/>
    <x v="4"/>
  </r>
  <r>
    <x v="2"/>
    <x v="0"/>
    <x v="7"/>
    <n v="12184"/>
    <n v="77"/>
    <n v="10794.37"/>
    <n v="6585.85"/>
    <x v="0"/>
  </r>
  <r>
    <x v="2"/>
    <x v="0"/>
    <x v="7"/>
    <n v="12622"/>
    <n v="36"/>
    <n v="10435.6"/>
    <n v="5900.85"/>
    <x v="1"/>
  </r>
  <r>
    <x v="2"/>
    <x v="0"/>
    <x v="7"/>
    <n v="13527"/>
    <n v="423"/>
    <n v="74305.37"/>
    <n v="17558.61"/>
    <x v="2"/>
  </r>
  <r>
    <x v="2"/>
    <x v="0"/>
    <x v="7"/>
    <n v="13618"/>
    <n v="17"/>
    <n v="7057.06"/>
    <n v="3712.73"/>
    <x v="1"/>
  </r>
  <r>
    <x v="2"/>
    <x v="0"/>
    <x v="7"/>
    <n v="16024"/>
    <n v="344"/>
    <n v="166546.20000000001"/>
    <n v="56668.71"/>
    <x v="3"/>
  </r>
  <r>
    <x v="2"/>
    <x v="0"/>
    <x v="7"/>
    <n v="16650"/>
    <n v="36"/>
    <n v="6031.59"/>
    <n v="4218.7299999999996"/>
    <x v="0"/>
  </r>
  <r>
    <x v="2"/>
    <x v="0"/>
    <x v="7"/>
    <n v="17892"/>
    <n v="136"/>
    <n v="20233.169999999998"/>
    <n v="6528.06"/>
    <x v="4"/>
  </r>
  <r>
    <x v="2"/>
    <x v="0"/>
    <x v="7"/>
    <n v="18342"/>
    <n v="154"/>
    <n v="118722.87"/>
    <n v="40518.71"/>
    <x v="3"/>
  </r>
  <r>
    <x v="2"/>
    <x v="0"/>
    <x v="7"/>
    <n v="20177"/>
    <n v="93"/>
    <n v="10401.57"/>
    <n v="4867.51"/>
    <x v="5"/>
  </r>
  <r>
    <x v="2"/>
    <x v="0"/>
    <x v="7"/>
    <n v="21179"/>
    <n v="66"/>
    <n v="6817.81"/>
    <n v="4320.7700000000004"/>
    <x v="0"/>
  </r>
  <r>
    <x v="2"/>
    <x v="0"/>
    <x v="7"/>
    <n v="21260"/>
    <n v="70"/>
    <n v="14194.21"/>
    <n v="4080.94"/>
    <x v="4"/>
  </r>
  <r>
    <x v="2"/>
    <x v="0"/>
    <x v="7"/>
    <n v="22317"/>
    <n v="25"/>
    <n v="2391.38"/>
    <n v="1239.45"/>
    <x v="5"/>
  </r>
  <r>
    <x v="2"/>
    <x v="0"/>
    <x v="7"/>
    <n v="22940"/>
    <n v="661"/>
    <n v="85608.1"/>
    <n v="21336.68"/>
    <x v="2"/>
  </r>
  <r>
    <x v="2"/>
    <x v="0"/>
    <x v="7"/>
    <n v="23178"/>
    <n v="176"/>
    <n v="31624.32"/>
    <n v="7417.26"/>
    <x v="2"/>
  </r>
  <r>
    <x v="2"/>
    <x v="0"/>
    <x v="7"/>
    <n v="23600"/>
    <n v="1039"/>
    <n v="102906.16"/>
    <n v="26922.9"/>
    <x v="2"/>
  </r>
  <r>
    <x v="2"/>
    <x v="0"/>
    <x v="7"/>
    <n v="23756"/>
    <n v="118"/>
    <n v="24180.45"/>
    <n v="15748.23"/>
    <x v="1"/>
  </r>
  <r>
    <x v="2"/>
    <x v="0"/>
    <x v="7"/>
    <n v="24326"/>
    <n v="123"/>
    <n v="19457.509999999998"/>
    <n v="5507.57"/>
    <x v="4"/>
  </r>
  <r>
    <x v="3"/>
    <x v="0"/>
    <x v="7"/>
    <n v="12184"/>
    <n v="40"/>
    <n v="5220.9799999999996"/>
    <n v="3076.91"/>
    <x v="0"/>
  </r>
  <r>
    <x v="3"/>
    <x v="0"/>
    <x v="7"/>
    <n v="12622"/>
    <n v="37"/>
    <n v="10319.69"/>
    <n v="4285.97"/>
    <x v="1"/>
  </r>
  <r>
    <x v="3"/>
    <x v="0"/>
    <x v="7"/>
    <n v="13527"/>
    <n v="691"/>
    <n v="108836.16"/>
    <n v="25124.66"/>
    <x v="2"/>
  </r>
  <r>
    <x v="3"/>
    <x v="0"/>
    <x v="7"/>
    <n v="13618"/>
    <n v="18"/>
    <n v="5993.6"/>
    <n v="3179.21"/>
    <x v="1"/>
  </r>
  <r>
    <x v="3"/>
    <x v="0"/>
    <x v="7"/>
    <n v="16024"/>
    <n v="172"/>
    <n v="75708.539999999994"/>
    <n v="19903.32"/>
    <x v="3"/>
  </r>
  <r>
    <x v="3"/>
    <x v="0"/>
    <x v="7"/>
    <n v="16650"/>
    <n v="42"/>
    <n v="6808.03"/>
    <n v="3367.93"/>
    <x v="0"/>
  </r>
  <r>
    <x v="3"/>
    <x v="0"/>
    <x v="7"/>
    <n v="17892"/>
    <n v="40"/>
    <n v="5170.8999999999996"/>
    <n v="1348.6"/>
    <x v="4"/>
  </r>
  <r>
    <x v="3"/>
    <x v="0"/>
    <x v="7"/>
    <n v="18342"/>
    <n v="216"/>
    <n v="169357.61"/>
    <n v="47803.18"/>
    <x v="3"/>
  </r>
  <r>
    <x v="3"/>
    <x v="0"/>
    <x v="7"/>
    <n v="20177"/>
    <n v="95"/>
    <n v="8892.76"/>
    <n v="2935.32"/>
    <x v="5"/>
  </r>
  <r>
    <x v="3"/>
    <x v="0"/>
    <x v="7"/>
    <n v="21179"/>
    <n v="62"/>
    <n v="8586.9"/>
    <n v="4243.26"/>
    <x v="0"/>
  </r>
  <r>
    <x v="3"/>
    <x v="0"/>
    <x v="7"/>
    <n v="21260"/>
    <n v="63"/>
    <n v="11727.64"/>
    <n v="3405.13"/>
    <x v="4"/>
  </r>
  <r>
    <x v="3"/>
    <x v="0"/>
    <x v="7"/>
    <n v="22317"/>
    <n v="73"/>
    <n v="6982.78"/>
    <n v="2515.9499999999998"/>
    <x v="5"/>
  </r>
  <r>
    <x v="3"/>
    <x v="0"/>
    <x v="7"/>
    <n v="22940"/>
    <n v="430"/>
    <n v="51297.1"/>
    <n v="10658.64"/>
    <x v="2"/>
  </r>
  <r>
    <x v="3"/>
    <x v="0"/>
    <x v="7"/>
    <n v="23178"/>
    <n v="184"/>
    <n v="31988.13"/>
    <n v="5807.95"/>
    <x v="2"/>
  </r>
  <r>
    <x v="3"/>
    <x v="0"/>
    <x v="7"/>
    <n v="23600"/>
    <n v="1013"/>
    <n v="112760.07"/>
    <n v="22998.5"/>
    <x v="2"/>
  </r>
  <r>
    <x v="3"/>
    <x v="0"/>
    <x v="7"/>
    <n v="23756"/>
    <n v="55"/>
    <n v="8432.34"/>
    <n v="4451.93"/>
    <x v="1"/>
  </r>
  <r>
    <x v="3"/>
    <x v="0"/>
    <x v="7"/>
    <n v="24326"/>
    <n v="132"/>
    <n v="19941.7"/>
    <n v="4915.33"/>
    <x v="4"/>
  </r>
  <r>
    <x v="0"/>
    <x v="0"/>
    <x v="8"/>
    <n v="12184"/>
    <n v="60"/>
    <n v="7451.6"/>
    <n v="3758.2"/>
    <x v="0"/>
  </r>
  <r>
    <x v="0"/>
    <x v="0"/>
    <x v="8"/>
    <n v="12622"/>
    <n v="80"/>
    <n v="18915"/>
    <n v="9363.5400000000009"/>
    <x v="1"/>
  </r>
  <r>
    <x v="0"/>
    <x v="0"/>
    <x v="8"/>
    <n v="13527"/>
    <n v="310"/>
    <n v="50448.43"/>
    <n v="9418.7999999999993"/>
    <x v="2"/>
  </r>
  <r>
    <x v="0"/>
    <x v="0"/>
    <x v="8"/>
    <n v="13618"/>
    <n v="22"/>
    <n v="9296.77"/>
    <n v="4685.25"/>
    <x v="1"/>
  </r>
  <r>
    <x v="0"/>
    <x v="0"/>
    <x v="8"/>
    <n v="16024"/>
    <n v="221"/>
    <n v="95674.02"/>
    <n v="24231.43"/>
    <x v="3"/>
  </r>
  <r>
    <x v="0"/>
    <x v="0"/>
    <x v="8"/>
    <n v="16650"/>
    <n v="49"/>
    <n v="6025.25"/>
    <n v="3051.1"/>
    <x v="0"/>
  </r>
  <r>
    <x v="0"/>
    <x v="0"/>
    <x v="8"/>
    <n v="17892"/>
    <n v="98"/>
    <n v="12299.31"/>
    <n v="3987.77"/>
    <x v="4"/>
  </r>
  <r>
    <x v="0"/>
    <x v="0"/>
    <x v="8"/>
    <n v="18342"/>
    <n v="118"/>
    <n v="93741.77"/>
    <n v="28715.84"/>
    <x v="3"/>
  </r>
  <r>
    <x v="0"/>
    <x v="0"/>
    <x v="8"/>
    <n v="20177"/>
    <n v="98"/>
    <n v="9214.32"/>
    <n v="3162.95"/>
    <x v="5"/>
  </r>
  <r>
    <x v="0"/>
    <x v="0"/>
    <x v="8"/>
    <n v="21179"/>
    <n v="29"/>
    <n v="2939.85"/>
    <n v="1359.17"/>
    <x v="0"/>
  </r>
  <r>
    <x v="0"/>
    <x v="0"/>
    <x v="8"/>
    <n v="21260"/>
    <n v="72"/>
    <n v="14296"/>
    <n v="4168.3100000000004"/>
    <x v="4"/>
  </r>
  <r>
    <x v="0"/>
    <x v="0"/>
    <x v="8"/>
    <n v="22317"/>
    <n v="104"/>
    <n v="9581.57"/>
    <n v="4131.79"/>
    <x v="5"/>
  </r>
  <r>
    <x v="0"/>
    <x v="0"/>
    <x v="8"/>
    <n v="22940"/>
    <n v="780"/>
    <n v="104082.83"/>
    <n v="21115.77"/>
    <x v="2"/>
  </r>
  <r>
    <x v="0"/>
    <x v="0"/>
    <x v="8"/>
    <n v="23178"/>
    <n v="477"/>
    <n v="84871.46"/>
    <n v="17198.759999999998"/>
    <x v="2"/>
  </r>
  <r>
    <x v="0"/>
    <x v="0"/>
    <x v="8"/>
    <n v="23600"/>
    <n v="1212"/>
    <n v="142162.89000000001"/>
    <n v="36214"/>
    <x v="2"/>
  </r>
  <r>
    <x v="0"/>
    <x v="0"/>
    <x v="8"/>
    <n v="23756"/>
    <n v="133"/>
    <n v="20216.41"/>
    <n v="8601.65"/>
    <x v="1"/>
  </r>
  <r>
    <x v="0"/>
    <x v="0"/>
    <x v="8"/>
    <n v="24326"/>
    <n v="210"/>
    <n v="27027.71"/>
    <n v="7503.36"/>
    <x v="4"/>
  </r>
  <r>
    <x v="1"/>
    <x v="0"/>
    <x v="8"/>
    <n v="12184"/>
    <n v="31"/>
    <n v="3466.35"/>
    <n v="1481.48"/>
    <x v="0"/>
  </r>
  <r>
    <x v="1"/>
    <x v="0"/>
    <x v="8"/>
    <n v="12622"/>
    <n v="15"/>
    <n v="3336.39"/>
    <n v="1537.72"/>
    <x v="1"/>
  </r>
  <r>
    <x v="1"/>
    <x v="0"/>
    <x v="8"/>
    <n v="13527"/>
    <n v="314"/>
    <n v="53349.21"/>
    <n v="10529.17"/>
    <x v="2"/>
  </r>
  <r>
    <x v="1"/>
    <x v="0"/>
    <x v="8"/>
    <n v="13618"/>
    <n v="8"/>
    <n v="2778.16"/>
    <n v="1051.5899999999999"/>
    <x v="1"/>
  </r>
  <r>
    <x v="1"/>
    <x v="0"/>
    <x v="8"/>
    <n v="16024"/>
    <n v="116"/>
    <n v="49741.23"/>
    <n v="13096.56"/>
    <x v="3"/>
  </r>
  <r>
    <x v="1"/>
    <x v="0"/>
    <x v="8"/>
    <n v="16650"/>
    <n v="23"/>
    <n v="4143.9799999999996"/>
    <n v="2681.45"/>
    <x v="0"/>
  </r>
  <r>
    <x v="1"/>
    <x v="0"/>
    <x v="8"/>
    <n v="17892"/>
    <n v="99"/>
    <n v="13530.84"/>
    <n v="3674.74"/>
    <x v="4"/>
  </r>
  <r>
    <x v="1"/>
    <x v="0"/>
    <x v="8"/>
    <n v="18342"/>
    <n v="33"/>
    <n v="24666.68"/>
    <n v="7775.47"/>
    <x v="3"/>
  </r>
  <r>
    <x v="1"/>
    <x v="0"/>
    <x v="8"/>
    <n v="20177"/>
    <n v="15"/>
    <n v="1610.5"/>
    <n v="564.5"/>
    <x v="5"/>
  </r>
  <r>
    <x v="1"/>
    <x v="0"/>
    <x v="8"/>
    <n v="21179"/>
    <n v="46"/>
    <n v="6225.05"/>
    <n v="3620.38"/>
    <x v="0"/>
  </r>
  <r>
    <x v="1"/>
    <x v="0"/>
    <x v="8"/>
    <n v="21260"/>
    <n v="58"/>
    <n v="10935.08"/>
    <n v="3017.79"/>
    <x v="4"/>
  </r>
  <r>
    <x v="1"/>
    <x v="0"/>
    <x v="8"/>
    <n v="22317"/>
    <n v="13"/>
    <n v="1195.83"/>
    <n v="594.78"/>
    <x v="5"/>
  </r>
  <r>
    <x v="1"/>
    <x v="0"/>
    <x v="8"/>
    <n v="22940"/>
    <n v="174"/>
    <n v="25216.32"/>
    <n v="7190.35"/>
    <x v="2"/>
  </r>
  <r>
    <x v="1"/>
    <x v="0"/>
    <x v="8"/>
    <n v="23178"/>
    <n v="295"/>
    <n v="47849.99"/>
    <n v="13212.04"/>
    <x v="2"/>
  </r>
  <r>
    <x v="1"/>
    <x v="0"/>
    <x v="8"/>
    <n v="23600"/>
    <n v="752"/>
    <n v="83788.320000000007"/>
    <n v="25887.74"/>
    <x v="2"/>
  </r>
  <r>
    <x v="1"/>
    <x v="0"/>
    <x v="8"/>
    <n v="23756"/>
    <n v="53"/>
    <n v="10232.969999999999"/>
    <n v="4178.55"/>
    <x v="1"/>
  </r>
  <r>
    <x v="1"/>
    <x v="0"/>
    <x v="8"/>
    <n v="24326"/>
    <n v="34"/>
    <n v="4400.87"/>
    <n v="1144.4100000000001"/>
    <x v="4"/>
  </r>
  <r>
    <x v="2"/>
    <x v="0"/>
    <x v="8"/>
    <n v="12184"/>
    <n v="115"/>
    <n v="15310.82"/>
    <n v="11397.85"/>
    <x v="0"/>
  </r>
  <r>
    <x v="2"/>
    <x v="0"/>
    <x v="8"/>
    <n v="12622"/>
    <n v="46"/>
    <n v="10685.17"/>
    <n v="6268.56"/>
    <x v="1"/>
  </r>
  <r>
    <x v="2"/>
    <x v="0"/>
    <x v="8"/>
    <n v="13527"/>
    <n v="435"/>
    <n v="78090.63"/>
    <n v="19867.169999999998"/>
    <x v="2"/>
  </r>
  <r>
    <x v="2"/>
    <x v="0"/>
    <x v="8"/>
    <n v="13618"/>
    <n v="18"/>
    <n v="6093.58"/>
    <n v="3924.64"/>
    <x v="1"/>
  </r>
  <r>
    <x v="2"/>
    <x v="0"/>
    <x v="8"/>
    <n v="16024"/>
    <n v="270"/>
    <n v="108446.2"/>
    <n v="29864.01"/>
    <x v="3"/>
  </r>
  <r>
    <x v="2"/>
    <x v="0"/>
    <x v="8"/>
    <n v="16650"/>
    <n v="42"/>
    <n v="6488.19"/>
    <n v="4660.46"/>
    <x v="0"/>
  </r>
  <r>
    <x v="2"/>
    <x v="0"/>
    <x v="8"/>
    <n v="17892"/>
    <n v="97"/>
    <n v="14853.4"/>
    <n v="4639.3100000000004"/>
    <x v="4"/>
  </r>
  <r>
    <x v="2"/>
    <x v="0"/>
    <x v="8"/>
    <n v="18342"/>
    <n v="131"/>
    <n v="112274.82"/>
    <n v="30348.9"/>
    <x v="3"/>
  </r>
  <r>
    <x v="2"/>
    <x v="0"/>
    <x v="8"/>
    <n v="20177"/>
    <n v="44"/>
    <n v="3924.39"/>
    <n v="1780.84"/>
    <x v="5"/>
  </r>
  <r>
    <x v="2"/>
    <x v="0"/>
    <x v="8"/>
    <n v="21179"/>
    <n v="49"/>
    <n v="6909.2"/>
    <n v="4045.3"/>
    <x v="0"/>
  </r>
  <r>
    <x v="2"/>
    <x v="0"/>
    <x v="8"/>
    <n v="21260"/>
    <n v="60"/>
    <n v="11526.91"/>
    <n v="3922.97"/>
    <x v="4"/>
  </r>
  <r>
    <x v="2"/>
    <x v="0"/>
    <x v="8"/>
    <n v="22317"/>
    <n v="34"/>
    <n v="3503.86"/>
    <n v="1383.07"/>
    <x v="5"/>
  </r>
  <r>
    <x v="2"/>
    <x v="0"/>
    <x v="8"/>
    <n v="22940"/>
    <n v="740"/>
    <n v="105106.13"/>
    <n v="22221.24"/>
    <x v="2"/>
  </r>
  <r>
    <x v="2"/>
    <x v="0"/>
    <x v="8"/>
    <n v="23178"/>
    <n v="175"/>
    <n v="32124.85"/>
    <n v="7951.82"/>
    <x v="2"/>
  </r>
  <r>
    <x v="2"/>
    <x v="0"/>
    <x v="8"/>
    <n v="23600"/>
    <n v="593"/>
    <n v="66567.710000000006"/>
    <n v="20550.61"/>
    <x v="2"/>
  </r>
  <r>
    <x v="2"/>
    <x v="0"/>
    <x v="8"/>
    <n v="23756"/>
    <n v="55"/>
    <n v="12174.19"/>
    <n v="6301.24"/>
    <x v="1"/>
  </r>
  <r>
    <x v="2"/>
    <x v="0"/>
    <x v="8"/>
    <n v="24326"/>
    <n v="76"/>
    <n v="9477.2800000000007"/>
    <n v="3328.49"/>
    <x v="4"/>
  </r>
  <r>
    <x v="3"/>
    <x v="0"/>
    <x v="8"/>
    <n v="12184"/>
    <n v="41"/>
    <n v="5794.62"/>
    <n v="3400.86"/>
    <x v="0"/>
  </r>
  <r>
    <x v="3"/>
    <x v="0"/>
    <x v="8"/>
    <n v="12622"/>
    <n v="40"/>
    <n v="12571.02"/>
    <n v="5561.33"/>
    <x v="1"/>
  </r>
  <r>
    <x v="3"/>
    <x v="0"/>
    <x v="8"/>
    <n v="13527"/>
    <n v="319"/>
    <n v="48933.99"/>
    <n v="11827.89"/>
    <x v="2"/>
  </r>
  <r>
    <x v="3"/>
    <x v="0"/>
    <x v="8"/>
    <n v="13618"/>
    <n v="10"/>
    <n v="3837.67"/>
    <n v="1802.95"/>
    <x v="1"/>
  </r>
  <r>
    <x v="3"/>
    <x v="0"/>
    <x v="8"/>
    <n v="16024"/>
    <n v="229"/>
    <n v="94334.77"/>
    <n v="26810.1"/>
    <x v="3"/>
  </r>
  <r>
    <x v="3"/>
    <x v="0"/>
    <x v="8"/>
    <n v="16650"/>
    <n v="43"/>
    <n v="6282.6"/>
    <n v="3559.77"/>
    <x v="0"/>
  </r>
  <r>
    <x v="3"/>
    <x v="0"/>
    <x v="8"/>
    <n v="17892"/>
    <n v="57"/>
    <n v="8407.2099999999991"/>
    <n v="2207.9899999999998"/>
    <x v="4"/>
  </r>
  <r>
    <x v="3"/>
    <x v="0"/>
    <x v="8"/>
    <n v="18342"/>
    <n v="207"/>
    <n v="167321.79"/>
    <n v="44131.94"/>
    <x v="3"/>
  </r>
  <r>
    <x v="3"/>
    <x v="0"/>
    <x v="8"/>
    <n v="20177"/>
    <n v="49"/>
    <n v="4996.18"/>
    <n v="1784.91"/>
    <x v="5"/>
  </r>
  <r>
    <x v="3"/>
    <x v="0"/>
    <x v="8"/>
    <n v="21179"/>
    <n v="56"/>
    <n v="6105.76"/>
    <n v="3332.4"/>
    <x v="0"/>
  </r>
  <r>
    <x v="3"/>
    <x v="0"/>
    <x v="8"/>
    <n v="21260"/>
    <n v="35"/>
    <n v="6882.82"/>
    <n v="1602.98"/>
    <x v="4"/>
  </r>
  <r>
    <x v="3"/>
    <x v="0"/>
    <x v="8"/>
    <n v="22317"/>
    <n v="65"/>
    <n v="5980.38"/>
    <n v="2008.68"/>
    <x v="5"/>
  </r>
  <r>
    <x v="3"/>
    <x v="0"/>
    <x v="8"/>
    <n v="22940"/>
    <n v="590"/>
    <n v="75949.67"/>
    <n v="17881.63"/>
    <x v="2"/>
  </r>
  <r>
    <x v="3"/>
    <x v="0"/>
    <x v="8"/>
    <n v="23178"/>
    <n v="198"/>
    <n v="33603.85"/>
    <n v="7244.28"/>
    <x v="2"/>
  </r>
  <r>
    <x v="3"/>
    <x v="0"/>
    <x v="8"/>
    <n v="23600"/>
    <n v="536"/>
    <n v="59140.47"/>
    <n v="14755.29"/>
    <x v="2"/>
  </r>
  <r>
    <x v="3"/>
    <x v="0"/>
    <x v="8"/>
    <n v="23756"/>
    <n v="109"/>
    <n v="20213.830000000002"/>
    <n v="9214.2099999999991"/>
    <x v="1"/>
  </r>
  <r>
    <x v="3"/>
    <x v="0"/>
    <x v="8"/>
    <n v="24326"/>
    <n v="88"/>
    <n v="12398.71"/>
    <n v="3512.15"/>
    <x v="4"/>
  </r>
  <r>
    <x v="0"/>
    <x v="0"/>
    <x v="9"/>
    <n v="12184"/>
    <n v="76"/>
    <n v="9413.6200000000008"/>
    <n v="4794.83"/>
    <x v="0"/>
  </r>
  <r>
    <x v="0"/>
    <x v="0"/>
    <x v="9"/>
    <n v="12622"/>
    <n v="43"/>
    <n v="13209.92"/>
    <n v="5570.71"/>
    <x v="1"/>
  </r>
  <r>
    <x v="0"/>
    <x v="0"/>
    <x v="9"/>
    <n v="13527"/>
    <n v="592"/>
    <n v="87425.5"/>
    <n v="14480.18"/>
    <x v="2"/>
  </r>
  <r>
    <x v="0"/>
    <x v="0"/>
    <x v="9"/>
    <n v="13618"/>
    <n v="26"/>
    <n v="10355.49"/>
    <n v="5677.83"/>
    <x v="1"/>
  </r>
  <r>
    <x v="0"/>
    <x v="0"/>
    <x v="9"/>
    <n v="16024"/>
    <n v="336"/>
    <n v="135600.70000000001"/>
    <n v="34138.06"/>
    <x v="3"/>
  </r>
  <r>
    <x v="0"/>
    <x v="0"/>
    <x v="9"/>
    <n v="16650"/>
    <n v="56"/>
    <n v="7300.9"/>
    <n v="3234.57"/>
    <x v="0"/>
  </r>
  <r>
    <x v="0"/>
    <x v="0"/>
    <x v="9"/>
    <n v="17892"/>
    <n v="101"/>
    <n v="14030.65"/>
    <n v="3771.65"/>
    <x v="4"/>
  </r>
  <r>
    <x v="0"/>
    <x v="0"/>
    <x v="9"/>
    <n v="18342"/>
    <n v="237"/>
    <n v="183561.59"/>
    <n v="54434.84"/>
    <x v="3"/>
  </r>
  <r>
    <x v="0"/>
    <x v="0"/>
    <x v="9"/>
    <n v="20177"/>
    <n v="124"/>
    <n v="10925.83"/>
    <n v="4063.35"/>
    <x v="5"/>
  </r>
  <r>
    <x v="0"/>
    <x v="0"/>
    <x v="9"/>
    <n v="21179"/>
    <n v="36"/>
    <n v="3589.56"/>
    <n v="1880.55"/>
    <x v="0"/>
  </r>
  <r>
    <x v="0"/>
    <x v="0"/>
    <x v="9"/>
    <n v="21260"/>
    <n v="80"/>
    <n v="13861.41"/>
    <n v="3670.66"/>
    <x v="4"/>
  </r>
  <r>
    <x v="0"/>
    <x v="0"/>
    <x v="9"/>
    <n v="22317"/>
    <n v="83"/>
    <n v="8177.91"/>
    <n v="3591.33"/>
    <x v="5"/>
  </r>
  <r>
    <x v="0"/>
    <x v="0"/>
    <x v="9"/>
    <n v="22940"/>
    <n v="766"/>
    <n v="102037.1"/>
    <n v="17810.98"/>
    <x v="2"/>
  </r>
  <r>
    <x v="0"/>
    <x v="0"/>
    <x v="9"/>
    <n v="23178"/>
    <n v="476"/>
    <n v="79026.62"/>
    <n v="17248.509999999998"/>
    <x v="2"/>
  </r>
  <r>
    <x v="0"/>
    <x v="0"/>
    <x v="9"/>
    <n v="23600"/>
    <n v="1146"/>
    <n v="113917.77"/>
    <n v="25035.8"/>
    <x v="2"/>
  </r>
  <r>
    <x v="0"/>
    <x v="0"/>
    <x v="9"/>
    <n v="23756"/>
    <n v="144"/>
    <n v="21566.880000000001"/>
    <n v="10922.44"/>
    <x v="1"/>
  </r>
  <r>
    <x v="0"/>
    <x v="0"/>
    <x v="9"/>
    <n v="24326"/>
    <n v="143"/>
    <n v="19701.13"/>
    <n v="5877.05"/>
    <x v="4"/>
  </r>
  <r>
    <x v="1"/>
    <x v="0"/>
    <x v="9"/>
    <n v="12184"/>
    <n v="24"/>
    <n v="3291.95"/>
    <n v="1725.51"/>
    <x v="0"/>
  </r>
  <r>
    <x v="1"/>
    <x v="0"/>
    <x v="9"/>
    <n v="12622"/>
    <n v="10"/>
    <n v="2442.61"/>
    <n v="902.06"/>
    <x v="1"/>
  </r>
  <r>
    <x v="1"/>
    <x v="0"/>
    <x v="9"/>
    <n v="13527"/>
    <n v="343"/>
    <n v="53151.22"/>
    <n v="8055.57"/>
    <x v="2"/>
  </r>
  <r>
    <x v="1"/>
    <x v="0"/>
    <x v="9"/>
    <n v="13618"/>
    <n v="10"/>
    <n v="4210.3100000000004"/>
    <n v="1661.47"/>
    <x v="1"/>
  </r>
  <r>
    <x v="1"/>
    <x v="0"/>
    <x v="9"/>
    <n v="16024"/>
    <n v="123"/>
    <n v="57883.14"/>
    <n v="17700.650000000001"/>
    <x v="3"/>
  </r>
  <r>
    <x v="1"/>
    <x v="0"/>
    <x v="9"/>
    <n v="16650"/>
    <n v="25"/>
    <n v="3295"/>
    <n v="2242.79"/>
    <x v="0"/>
  </r>
  <r>
    <x v="1"/>
    <x v="0"/>
    <x v="9"/>
    <n v="17892"/>
    <n v="86"/>
    <n v="12921.33"/>
    <n v="3264.62"/>
    <x v="4"/>
  </r>
  <r>
    <x v="1"/>
    <x v="0"/>
    <x v="9"/>
    <n v="18342"/>
    <n v="13"/>
    <n v="12083.3"/>
    <n v="4261.51"/>
    <x v="3"/>
  </r>
  <r>
    <x v="1"/>
    <x v="0"/>
    <x v="9"/>
    <n v="20177"/>
    <n v="19"/>
    <n v="2174.77"/>
    <n v="747.73"/>
    <x v="5"/>
  </r>
  <r>
    <x v="1"/>
    <x v="0"/>
    <x v="9"/>
    <n v="21179"/>
    <n v="31"/>
    <n v="3886.38"/>
    <n v="2302.77"/>
    <x v="0"/>
  </r>
  <r>
    <x v="1"/>
    <x v="0"/>
    <x v="9"/>
    <n v="21260"/>
    <n v="24"/>
    <n v="4677.87"/>
    <n v="1078.03"/>
    <x v="4"/>
  </r>
  <r>
    <x v="1"/>
    <x v="0"/>
    <x v="9"/>
    <n v="22317"/>
    <n v="12"/>
    <n v="996.26"/>
    <n v="421.12"/>
    <x v="5"/>
  </r>
  <r>
    <x v="1"/>
    <x v="0"/>
    <x v="9"/>
    <n v="22940"/>
    <n v="160"/>
    <n v="20653.560000000001"/>
    <n v="6033.95"/>
    <x v="2"/>
  </r>
  <r>
    <x v="1"/>
    <x v="0"/>
    <x v="9"/>
    <n v="23178"/>
    <n v="329"/>
    <n v="56642.46"/>
    <n v="15978.03"/>
    <x v="2"/>
  </r>
  <r>
    <x v="1"/>
    <x v="0"/>
    <x v="9"/>
    <n v="23600"/>
    <n v="299"/>
    <n v="30922.87"/>
    <n v="7288.23"/>
    <x v="2"/>
  </r>
  <r>
    <x v="1"/>
    <x v="0"/>
    <x v="9"/>
    <n v="23756"/>
    <n v="82"/>
    <n v="14234.05"/>
    <n v="5802.1"/>
    <x v="1"/>
  </r>
  <r>
    <x v="1"/>
    <x v="0"/>
    <x v="9"/>
    <n v="24326"/>
    <n v="30"/>
    <n v="3752.39"/>
    <n v="974.02"/>
    <x v="4"/>
  </r>
  <r>
    <x v="2"/>
    <x v="0"/>
    <x v="9"/>
    <n v="12184"/>
    <n v="106"/>
    <n v="12633.77"/>
    <n v="8434.9699999999993"/>
    <x v="0"/>
  </r>
  <r>
    <x v="2"/>
    <x v="0"/>
    <x v="9"/>
    <n v="12622"/>
    <n v="41"/>
    <n v="12366.67"/>
    <n v="7700.71"/>
    <x v="1"/>
  </r>
  <r>
    <x v="2"/>
    <x v="0"/>
    <x v="9"/>
    <n v="13527"/>
    <n v="480"/>
    <n v="77884.42"/>
    <n v="20053.560000000001"/>
    <x v="2"/>
  </r>
  <r>
    <x v="2"/>
    <x v="0"/>
    <x v="9"/>
    <n v="13618"/>
    <n v="24"/>
    <n v="8603.35"/>
    <n v="4910.12"/>
    <x v="1"/>
  </r>
  <r>
    <x v="2"/>
    <x v="0"/>
    <x v="9"/>
    <n v="16024"/>
    <n v="215"/>
    <n v="93664.92"/>
    <n v="26287.16"/>
    <x v="3"/>
  </r>
  <r>
    <x v="2"/>
    <x v="0"/>
    <x v="9"/>
    <n v="16650"/>
    <n v="32"/>
    <n v="5744.93"/>
    <n v="3968.25"/>
    <x v="0"/>
  </r>
  <r>
    <x v="2"/>
    <x v="0"/>
    <x v="9"/>
    <n v="17892"/>
    <n v="80"/>
    <n v="11502.43"/>
    <n v="3264.82"/>
    <x v="4"/>
  </r>
  <r>
    <x v="2"/>
    <x v="0"/>
    <x v="9"/>
    <n v="18342"/>
    <n v="167"/>
    <n v="149463.48000000001"/>
    <n v="41628.26"/>
    <x v="3"/>
  </r>
  <r>
    <x v="2"/>
    <x v="0"/>
    <x v="9"/>
    <n v="20177"/>
    <n v="41"/>
    <n v="4103.18"/>
    <n v="1828.44"/>
    <x v="5"/>
  </r>
  <r>
    <x v="2"/>
    <x v="0"/>
    <x v="9"/>
    <n v="21179"/>
    <n v="54"/>
    <n v="6933.7"/>
    <n v="4328.25"/>
    <x v="0"/>
  </r>
  <r>
    <x v="2"/>
    <x v="0"/>
    <x v="9"/>
    <n v="21260"/>
    <n v="58"/>
    <n v="11610.13"/>
    <n v="3861.91"/>
    <x v="4"/>
  </r>
  <r>
    <x v="2"/>
    <x v="0"/>
    <x v="9"/>
    <n v="22317"/>
    <n v="52"/>
    <n v="4363.66"/>
    <n v="1986.55"/>
    <x v="5"/>
  </r>
  <r>
    <x v="2"/>
    <x v="0"/>
    <x v="9"/>
    <n v="22940"/>
    <n v="611"/>
    <n v="84187.67"/>
    <n v="23991.47"/>
    <x v="2"/>
  </r>
  <r>
    <x v="2"/>
    <x v="0"/>
    <x v="9"/>
    <n v="23178"/>
    <n v="228"/>
    <n v="42749.37"/>
    <n v="10341.76"/>
    <x v="2"/>
  </r>
  <r>
    <x v="2"/>
    <x v="0"/>
    <x v="9"/>
    <n v="23600"/>
    <n v="1100"/>
    <n v="123714.51"/>
    <n v="37522.480000000003"/>
    <x v="2"/>
  </r>
  <r>
    <x v="2"/>
    <x v="0"/>
    <x v="9"/>
    <n v="23756"/>
    <n v="105"/>
    <n v="17469.03"/>
    <n v="10726.29"/>
    <x v="1"/>
  </r>
  <r>
    <x v="2"/>
    <x v="0"/>
    <x v="9"/>
    <n v="24326"/>
    <n v="64"/>
    <n v="9316.1299999999992"/>
    <n v="3101.2"/>
    <x v="4"/>
  </r>
  <r>
    <x v="3"/>
    <x v="0"/>
    <x v="9"/>
    <n v="12184"/>
    <n v="51"/>
    <n v="6003.6"/>
    <n v="3823.97"/>
    <x v="0"/>
  </r>
  <r>
    <x v="3"/>
    <x v="0"/>
    <x v="9"/>
    <n v="12622"/>
    <n v="45"/>
    <n v="10961.04"/>
    <n v="5718.73"/>
    <x v="1"/>
  </r>
  <r>
    <x v="3"/>
    <x v="0"/>
    <x v="9"/>
    <n v="13527"/>
    <n v="492"/>
    <n v="79403.94"/>
    <n v="16655.36"/>
    <x v="2"/>
  </r>
  <r>
    <x v="3"/>
    <x v="0"/>
    <x v="9"/>
    <n v="13618"/>
    <n v="13"/>
    <n v="4559.78"/>
    <n v="1863.65"/>
    <x v="1"/>
  </r>
  <r>
    <x v="3"/>
    <x v="0"/>
    <x v="9"/>
    <n v="16024"/>
    <n v="168"/>
    <n v="68567.8"/>
    <n v="17694.23"/>
    <x v="3"/>
  </r>
  <r>
    <x v="3"/>
    <x v="0"/>
    <x v="9"/>
    <n v="16650"/>
    <n v="47"/>
    <n v="8330.52"/>
    <n v="4804.88"/>
    <x v="0"/>
  </r>
  <r>
    <x v="3"/>
    <x v="0"/>
    <x v="9"/>
    <n v="17892"/>
    <n v="60"/>
    <n v="7829.64"/>
    <n v="2213.98"/>
    <x v="4"/>
  </r>
  <r>
    <x v="3"/>
    <x v="0"/>
    <x v="9"/>
    <n v="18342"/>
    <n v="148"/>
    <n v="118178.42"/>
    <n v="32064.84"/>
    <x v="3"/>
  </r>
  <r>
    <x v="3"/>
    <x v="0"/>
    <x v="9"/>
    <n v="20177"/>
    <n v="73"/>
    <n v="6567.98"/>
    <n v="2517.2600000000002"/>
    <x v="5"/>
  </r>
  <r>
    <x v="3"/>
    <x v="0"/>
    <x v="9"/>
    <n v="21179"/>
    <n v="28"/>
    <n v="3839.39"/>
    <n v="2466.25"/>
    <x v="0"/>
  </r>
  <r>
    <x v="3"/>
    <x v="0"/>
    <x v="9"/>
    <n v="21260"/>
    <n v="34"/>
    <n v="6545.58"/>
    <n v="1505.7"/>
    <x v="4"/>
  </r>
  <r>
    <x v="3"/>
    <x v="0"/>
    <x v="9"/>
    <n v="22317"/>
    <n v="68"/>
    <n v="5608.63"/>
    <n v="2015.85"/>
    <x v="5"/>
  </r>
  <r>
    <x v="3"/>
    <x v="0"/>
    <x v="9"/>
    <n v="22940"/>
    <n v="559"/>
    <n v="75833.84"/>
    <n v="16283.33"/>
    <x v="2"/>
  </r>
  <r>
    <x v="3"/>
    <x v="0"/>
    <x v="9"/>
    <n v="23178"/>
    <n v="120"/>
    <n v="20532.41"/>
    <n v="4825.03"/>
    <x v="2"/>
  </r>
  <r>
    <x v="3"/>
    <x v="0"/>
    <x v="9"/>
    <n v="23600"/>
    <n v="1296"/>
    <n v="133296.65"/>
    <n v="29311.7"/>
    <x v="2"/>
  </r>
  <r>
    <x v="3"/>
    <x v="0"/>
    <x v="9"/>
    <n v="23756"/>
    <n v="65"/>
    <n v="11915.33"/>
    <n v="6107.63"/>
    <x v="1"/>
  </r>
  <r>
    <x v="3"/>
    <x v="0"/>
    <x v="9"/>
    <n v="24326"/>
    <n v="133"/>
    <n v="19203.11"/>
    <n v="5308.61"/>
    <x v="4"/>
  </r>
  <r>
    <x v="0"/>
    <x v="0"/>
    <x v="10"/>
    <n v="12184"/>
    <n v="72"/>
    <n v="9249.18"/>
    <n v="4774.01"/>
    <x v="0"/>
  </r>
  <r>
    <x v="0"/>
    <x v="0"/>
    <x v="10"/>
    <n v="12622"/>
    <n v="77"/>
    <n v="18472.97"/>
    <n v="7912.31"/>
    <x v="1"/>
  </r>
  <r>
    <x v="0"/>
    <x v="0"/>
    <x v="10"/>
    <n v="13527"/>
    <n v="606"/>
    <n v="99006.6"/>
    <n v="18573.150000000001"/>
    <x v="2"/>
  </r>
  <r>
    <x v="0"/>
    <x v="0"/>
    <x v="10"/>
    <n v="13618"/>
    <n v="15"/>
    <n v="5233.59"/>
    <n v="2156.4"/>
    <x v="1"/>
  </r>
  <r>
    <x v="0"/>
    <x v="0"/>
    <x v="10"/>
    <n v="16024"/>
    <n v="182"/>
    <n v="75655.429999999993"/>
    <n v="22070.83"/>
    <x v="3"/>
  </r>
  <r>
    <x v="0"/>
    <x v="0"/>
    <x v="10"/>
    <n v="16650"/>
    <n v="64"/>
    <n v="9807.19"/>
    <n v="5232.1899999999996"/>
    <x v="0"/>
  </r>
  <r>
    <x v="0"/>
    <x v="0"/>
    <x v="10"/>
    <n v="17892"/>
    <n v="90"/>
    <n v="13195.09"/>
    <n v="3312.1"/>
    <x v="4"/>
  </r>
  <r>
    <x v="0"/>
    <x v="0"/>
    <x v="10"/>
    <n v="18342"/>
    <n v="219"/>
    <n v="161913.88"/>
    <n v="40590.82"/>
    <x v="3"/>
  </r>
  <r>
    <x v="0"/>
    <x v="0"/>
    <x v="10"/>
    <n v="20177"/>
    <n v="114"/>
    <n v="10212.68"/>
    <n v="3892.13"/>
    <x v="5"/>
  </r>
  <r>
    <x v="0"/>
    <x v="0"/>
    <x v="10"/>
    <n v="21179"/>
    <n v="40"/>
    <n v="4553.1000000000004"/>
    <n v="1838.65"/>
    <x v="0"/>
  </r>
  <r>
    <x v="0"/>
    <x v="0"/>
    <x v="10"/>
    <n v="21260"/>
    <n v="60"/>
    <n v="11639.51"/>
    <n v="3678.02"/>
    <x v="4"/>
  </r>
  <r>
    <x v="0"/>
    <x v="0"/>
    <x v="10"/>
    <n v="22317"/>
    <n v="53"/>
    <n v="3914.56"/>
    <n v="1392.66"/>
    <x v="5"/>
  </r>
  <r>
    <x v="0"/>
    <x v="0"/>
    <x v="10"/>
    <n v="22940"/>
    <n v="963"/>
    <n v="129193.15"/>
    <n v="24403.46"/>
    <x v="2"/>
  </r>
  <r>
    <x v="0"/>
    <x v="0"/>
    <x v="10"/>
    <n v="23178"/>
    <n v="405"/>
    <n v="72110.990000000005"/>
    <n v="14614.92"/>
    <x v="2"/>
  </r>
  <r>
    <x v="0"/>
    <x v="0"/>
    <x v="10"/>
    <n v="23600"/>
    <n v="894"/>
    <n v="88978.13"/>
    <n v="22383.47"/>
    <x v="2"/>
  </r>
  <r>
    <x v="0"/>
    <x v="0"/>
    <x v="10"/>
    <n v="23756"/>
    <n v="111"/>
    <n v="20328.63"/>
    <n v="10872.76"/>
    <x v="1"/>
  </r>
  <r>
    <x v="0"/>
    <x v="0"/>
    <x v="10"/>
    <n v="24326"/>
    <n v="183"/>
    <n v="24455.94"/>
    <n v="7448.15"/>
    <x v="4"/>
  </r>
  <r>
    <x v="1"/>
    <x v="0"/>
    <x v="10"/>
    <n v="12184"/>
    <n v="40"/>
    <n v="4643.5200000000004"/>
    <n v="2118.11"/>
    <x v="0"/>
  </r>
  <r>
    <x v="1"/>
    <x v="0"/>
    <x v="10"/>
    <n v="12622"/>
    <n v="12"/>
    <n v="3112.7"/>
    <n v="1217.94"/>
    <x v="1"/>
  </r>
  <r>
    <x v="1"/>
    <x v="0"/>
    <x v="10"/>
    <n v="13527"/>
    <n v="298"/>
    <n v="44814.8"/>
    <n v="8930.19"/>
    <x v="2"/>
  </r>
  <r>
    <x v="1"/>
    <x v="0"/>
    <x v="10"/>
    <n v="13618"/>
    <n v="5"/>
    <n v="1926.54"/>
    <n v="935.94"/>
    <x v="1"/>
  </r>
  <r>
    <x v="1"/>
    <x v="0"/>
    <x v="10"/>
    <n v="16024"/>
    <n v="177"/>
    <n v="81129.45"/>
    <n v="23271.46"/>
    <x v="3"/>
  </r>
  <r>
    <x v="1"/>
    <x v="0"/>
    <x v="10"/>
    <n v="16650"/>
    <n v="32"/>
    <n v="4521.8"/>
    <n v="2875.31"/>
    <x v="0"/>
  </r>
  <r>
    <x v="1"/>
    <x v="0"/>
    <x v="10"/>
    <n v="17892"/>
    <n v="100"/>
    <n v="13086.77"/>
    <n v="3573.87"/>
    <x v="4"/>
  </r>
  <r>
    <x v="1"/>
    <x v="0"/>
    <x v="10"/>
    <n v="18342"/>
    <n v="23"/>
    <n v="20212.759999999998"/>
    <n v="7038.11"/>
    <x v="3"/>
  </r>
  <r>
    <x v="1"/>
    <x v="0"/>
    <x v="10"/>
    <n v="20177"/>
    <n v="13"/>
    <n v="1311.29"/>
    <n v="490.12"/>
    <x v="5"/>
  </r>
  <r>
    <x v="1"/>
    <x v="0"/>
    <x v="10"/>
    <n v="21179"/>
    <n v="35"/>
    <n v="4291.9799999999996"/>
    <n v="2104.64"/>
    <x v="0"/>
  </r>
  <r>
    <x v="1"/>
    <x v="0"/>
    <x v="10"/>
    <n v="21260"/>
    <n v="44"/>
    <n v="7745.86"/>
    <n v="1867.39"/>
    <x v="4"/>
  </r>
  <r>
    <x v="1"/>
    <x v="0"/>
    <x v="10"/>
    <n v="22317"/>
    <n v="16"/>
    <n v="1229.3800000000001"/>
    <n v="625.73"/>
    <x v="5"/>
  </r>
  <r>
    <x v="1"/>
    <x v="0"/>
    <x v="10"/>
    <n v="22940"/>
    <n v="129"/>
    <n v="18550.12"/>
    <n v="4206.09"/>
    <x v="2"/>
  </r>
  <r>
    <x v="1"/>
    <x v="0"/>
    <x v="10"/>
    <n v="23178"/>
    <n v="205"/>
    <n v="37423.08"/>
    <n v="9575.7199999999993"/>
    <x v="2"/>
  </r>
  <r>
    <x v="1"/>
    <x v="0"/>
    <x v="10"/>
    <n v="23600"/>
    <n v="486"/>
    <n v="53489.24"/>
    <n v="14319.7"/>
    <x v="2"/>
  </r>
  <r>
    <x v="1"/>
    <x v="0"/>
    <x v="10"/>
    <n v="23756"/>
    <n v="81"/>
    <n v="14525.63"/>
    <n v="5989.12"/>
    <x v="1"/>
  </r>
  <r>
    <x v="1"/>
    <x v="0"/>
    <x v="10"/>
    <n v="24326"/>
    <n v="45"/>
    <n v="6207.35"/>
    <n v="1886.25"/>
    <x v="4"/>
  </r>
  <r>
    <x v="2"/>
    <x v="0"/>
    <x v="10"/>
    <n v="12184"/>
    <n v="93"/>
    <n v="12503.68"/>
    <n v="7909.97"/>
    <x v="0"/>
  </r>
  <r>
    <x v="2"/>
    <x v="0"/>
    <x v="10"/>
    <n v="12622"/>
    <n v="47"/>
    <n v="13252.86"/>
    <n v="8382.02"/>
    <x v="1"/>
  </r>
  <r>
    <x v="2"/>
    <x v="0"/>
    <x v="10"/>
    <n v="13527"/>
    <n v="362"/>
    <n v="64211.39"/>
    <n v="15319.97"/>
    <x v="2"/>
  </r>
  <r>
    <x v="2"/>
    <x v="0"/>
    <x v="10"/>
    <n v="13618"/>
    <n v="16"/>
    <n v="5938.55"/>
    <n v="3486.73"/>
    <x v="1"/>
  </r>
  <r>
    <x v="2"/>
    <x v="0"/>
    <x v="10"/>
    <n v="16024"/>
    <n v="211"/>
    <n v="93232.03"/>
    <n v="24704.11"/>
    <x v="3"/>
  </r>
  <r>
    <x v="2"/>
    <x v="0"/>
    <x v="10"/>
    <n v="16650"/>
    <n v="39"/>
    <n v="6432.99"/>
    <n v="4162.28"/>
    <x v="0"/>
  </r>
  <r>
    <x v="2"/>
    <x v="0"/>
    <x v="10"/>
    <n v="17892"/>
    <n v="93"/>
    <n v="14294.19"/>
    <n v="4355.97"/>
    <x v="4"/>
  </r>
  <r>
    <x v="2"/>
    <x v="0"/>
    <x v="10"/>
    <n v="18342"/>
    <n v="80"/>
    <n v="75053.36"/>
    <n v="19056.55"/>
    <x v="3"/>
  </r>
  <r>
    <x v="2"/>
    <x v="0"/>
    <x v="10"/>
    <n v="20177"/>
    <n v="31"/>
    <n v="2781.37"/>
    <n v="1078.3900000000001"/>
    <x v="5"/>
  </r>
  <r>
    <x v="2"/>
    <x v="0"/>
    <x v="10"/>
    <n v="21179"/>
    <n v="32"/>
    <n v="3540.5"/>
    <n v="2505.5100000000002"/>
    <x v="0"/>
  </r>
  <r>
    <x v="2"/>
    <x v="0"/>
    <x v="10"/>
    <n v="21260"/>
    <n v="61"/>
    <n v="12808.5"/>
    <n v="3350.66"/>
    <x v="4"/>
  </r>
  <r>
    <x v="2"/>
    <x v="0"/>
    <x v="10"/>
    <n v="22317"/>
    <n v="23"/>
    <n v="2044.63"/>
    <n v="907.19"/>
    <x v="5"/>
  </r>
  <r>
    <x v="2"/>
    <x v="0"/>
    <x v="10"/>
    <n v="22940"/>
    <n v="648"/>
    <n v="84615.67"/>
    <n v="23339.22"/>
    <x v="2"/>
  </r>
  <r>
    <x v="2"/>
    <x v="0"/>
    <x v="10"/>
    <n v="23178"/>
    <n v="93"/>
    <n v="15975.8"/>
    <n v="4378.32"/>
    <x v="2"/>
  </r>
  <r>
    <x v="2"/>
    <x v="0"/>
    <x v="10"/>
    <n v="23600"/>
    <n v="548"/>
    <n v="60534.95"/>
    <n v="15718.25"/>
    <x v="2"/>
  </r>
  <r>
    <x v="2"/>
    <x v="0"/>
    <x v="10"/>
    <n v="23756"/>
    <n v="132"/>
    <n v="26670.720000000001"/>
    <n v="15485.79"/>
    <x v="1"/>
  </r>
  <r>
    <x v="2"/>
    <x v="0"/>
    <x v="10"/>
    <n v="24326"/>
    <n v="80"/>
    <n v="11361.43"/>
    <n v="3220.99"/>
    <x v="4"/>
  </r>
  <r>
    <x v="3"/>
    <x v="0"/>
    <x v="10"/>
    <n v="12184"/>
    <n v="66"/>
    <n v="8036.58"/>
    <n v="4401.04"/>
    <x v="0"/>
  </r>
  <r>
    <x v="3"/>
    <x v="0"/>
    <x v="10"/>
    <n v="12622"/>
    <n v="57"/>
    <n v="13746.61"/>
    <n v="5619.65"/>
    <x v="1"/>
  </r>
  <r>
    <x v="3"/>
    <x v="0"/>
    <x v="10"/>
    <n v="13527"/>
    <n v="345"/>
    <n v="53458.5"/>
    <n v="9880.57"/>
    <x v="2"/>
  </r>
  <r>
    <x v="3"/>
    <x v="0"/>
    <x v="10"/>
    <n v="13618"/>
    <n v="12"/>
    <n v="5425.54"/>
    <n v="2232.48"/>
    <x v="1"/>
  </r>
  <r>
    <x v="3"/>
    <x v="0"/>
    <x v="10"/>
    <n v="16024"/>
    <n v="119"/>
    <n v="47866.559999999998"/>
    <n v="13545.56"/>
    <x v="3"/>
  </r>
  <r>
    <x v="3"/>
    <x v="0"/>
    <x v="10"/>
    <n v="16650"/>
    <n v="59"/>
    <n v="9908.19"/>
    <n v="6236.03"/>
    <x v="0"/>
  </r>
  <r>
    <x v="3"/>
    <x v="0"/>
    <x v="10"/>
    <n v="17892"/>
    <n v="93"/>
    <n v="12237.32"/>
    <n v="2679.26"/>
    <x v="4"/>
  </r>
  <r>
    <x v="3"/>
    <x v="0"/>
    <x v="10"/>
    <n v="18342"/>
    <n v="90"/>
    <n v="68377.600000000006"/>
    <n v="15291.64"/>
    <x v="3"/>
  </r>
  <r>
    <x v="3"/>
    <x v="0"/>
    <x v="10"/>
    <n v="20177"/>
    <n v="43"/>
    <n v="4147.2700000000004"/>
    <n v="1601.68"/>
    <x v="5"/>
  </r>
  <r>
    <x v="3"/>
    <x v="0"/>
    <x v="10"/>
    <n v="21179"/>
    <n v="23"/>
    <n v="2946.31"/>
    <n v="1636.08"/>
    <x v="0"/>
  </r>
  <r>
    <x v="3"/>
    <x v="0"/>
    <x v="10"/>
    <n v="21260"/>
    <n v="84"/>
    <n v="16696.8"/>
    <n v="4809.54"/>
    <x v="4"/>
  </r>
  <r>
    <x v="3"/>
    <x v="0"/>
    <x v="10"/>
    <n v="22317"/>
    <n v="40"/>
    <n v="3275.18"/>
    <n v="1261.08"/>
    <x v="5"/>
  </r>
  <r>
    <x v="3"/>
    <x v="0"/>
    <x v="10"/>
    <n v="22940"/>
    <n v="533"/>
    <n v="69819.06"/>
    <n v="16294.92"/>
    <x v="2"/>
  </r>
  <r>
    <x v="3"/>
    <x v="0"/>
    <x v="10"/>
    <n v="23178"/>
    <n v="221"/>
    <n v="40413.269999999997"/>
    <n v="9479.1200000000008"/>
    <x v="2"/>
  </r>
  <r>
    <x v="3"/>
    <x v="0"/>
    <x v="10"/>
    <n v="23600"/>
    <n v="1239"/>
    <n v="149456.45000000001"/>
    <n v="32915.879999999997"/>
    <x v="2"/>
  </r>
  <r>
    <x v="3"/>
    <x v="0"/>
    <x v="10"/>
    <n v="23756"/>
    <n v="106"/>
    <n v="15651.11"/>
    <n v="8112.28"/>
    <x v="1"/>
  </r>
  <r>
    <x v="3"/>
    <x v="0"/>
    <x v="10"/>
    <n v="24326"/>
    <n v="113"/>
    <n v="14244.7"/>
    <n v="3813.34"/>
    <x v="4"/>
  </r>
  <r>
    <x v="0"/>
    <x v="0"/>
    <x v="11"/>
    <n v="12184"/>
    <n v="45"/>
    <n v="6356.08"/>
    <n v="2972.19"/>
    <x v="0"/>
  </r>
  <r>
    <x v="0"/>
    <x v="0"/>
    <x v="11"/>
    <n v="12622"/>
    <n v="44"/>
    <n v="10140.16"/>
    <n v="4993.6899999999996"/>
    <x v="1"/>
  </r>
  <r>
    <x v="0"/>
    <x v="0"/>
    <x v="11"/>
    <n v="13527"/>
    <n v="590"/>
    <n v="101744.96000000001"/>
    <n v="20395.66"/>
    <x v="2"/>
  </r>
  <r>
    <x v="0"/>
    <x v="0"/>
    <x v="11"/>
    <n v="13618"/>
    <n v="25"/>
    <n v="10507.37"/>
    <n v="4918.26"/>
    <x v="1"/>
  </r>
  <r>
    <x v="0"/>
    <x v="0"/>
    <x v="11"/>
    <n v="16024"/>
    <n v="162"/>
    <n v="77150.039999999994"/>
    <n v="21669.67"/>
    <x v="3"/>
  </r>
  <r>
    <x v="0"/>
    <x v="0"/>
    <x v="11"/>
    <n v="16650"/>
    <n v="80"/>
    <n v="13302.21"/>
    <n v="6526.6"/>
    <x v="0"/>
  </r>
  <r>
    <x v="0"/>
    <x v="0"/>
    <x v="11"/>
    <n v="17892"/>
    <n v="88"/>
    <n v="13803.23"/>
    <n v="4196.55"/>
    <x v="4"/>
  </r>
  <r>
    <x v="0"/>
    <x v="0"/>
    <x v="11"/>
    <n v="18342"/>
    <n v="151"/>
    <n v="129436.9"/>
    <n v="38553.730000000003"/>
    <x v="3"/>
  </r>
  <r>
    <x v="0"/>
    <x v="0"/>
    <x v="11"/>
    <n v="20177"/>
    <n v="71"/>
    <n v="6197.62"/>
    <n v="2173.96"/>
    <x v="5"/>
  </r>
  <r>
    <x v="0"/>
    <x v="0"/>
    <x v="11"/>
    <n v="21179"/>
    <n v="33"/>
    <n v="3812.34"/>
    <n v="1838.13"/>
    <x v="0"/>
  </r>
  <r>
    <x v="0"/>
    <x v="0"/>
    <x v="11"/>
    <n v="21260"/>
    <n v="91"/>
    <n v="19282.150000000001"/>
    <n v="5116.84"/>
    <x v="4"/>
  </r>
  <r>
    <x v="0"/>
    <x v="0"/>
    <x v="11"/>
    <n v="22317"/>
    <n v="116"/>
    <n v="9625.9599999999991"/>
    <n v="4112.57"/>
    <x v="5"/>
  </r>
  <r>
    <x v="0"/>
    <x v="0"/>
    <x v="11"/>
    <n v="22940"/>
    <n v="427"/>
    <n v="54080"/>
    <n v="9995.5"/>
    <x v="2"/>
  </r>
  <r>
    <x v="0"/>
    <x v="0"/>
    <x v="11"/>
    <n v="23178"/>
    <n v="163"/>
    <n v="30411.86"/>
    <n v="5073.51"/>
    <x v="2"/>
  </r>
  <r>
    <x v="0"/>
    <x v="0"/>
    <x v="11"/>
    <n v="23600"/>
    <n v="709"/>
    <n v="81694.789999999994"/>
    <n v="21062.9"/>
    <x v="2"/>
  </r>
  <r>
    <x v="0"/>
    <x v="0"/>
    <x v="11"/>
    <n v="23756"/>
    <n v="111"/>
    <n v="22153.84"/>
    <n v="11651.75"/>
    <x v="1"/>
  </r>
  <r>
    <x v="0"/>
    <x v="0"/>
    <x v="11"/>
    <n v="24326"/>
    <n v="88"/>
    <n v="11951.5"/>
    <n v="3844.1"/>
    <x v="4"/>
  </r>
  <r>
    <x v="1"/>
    <x v="0"/>
    <x v="11"/>
    <n v="12184"/>
    <n v="15"/>
    <n v="1740.67"/>
    <n v="925.23"/>
    <x v="0"/>
  </r>
  <r>
    <x v="1"/>
    <x v="0"/>
    <x v="11"/>
    <n v="12622"/>
    <n v="23"/>
    <n v="5262.66"/>
    <n v="2505.4699999999998"/>
    <x v="1"/>
  </r>
  <r>
    <x v="1"/>
    <x v="0"/>
    <x v="11"/>
    <n v="13527"/>
    <n v="212"/>
    <n v="33193.64"/>
    <n v="5254.4"/>
    <x v="2"/>
  </r>
  <r>
    <x v="1"/>
    <x v="0"/>
    <x v="11"/>
    <n v="13618"/>
    <n v="6"/>
    <n v="2268.02"/>
    <n v="1055.23"/>
    <x v="1"/>
  </r>
  <r>
    <x v="1"/>
    <x v="0"/>
    <x v="11"/>
    <n v="16024"/>
    <n v="154"/>
    <n v="63689.77"/>
    <n v="21578.61"/>
    <x v="3"/>
  </r>
  <r>
    <x v="1"/>
    <x v="0"/>
    <x v="11"/>
    <n v="16650"/>
    <n v="12"/>
    <n v="1672.25"/>
    <n v="1021.9"/>
    <x v="0"/>
  </r>
  <r>
    <x v="1"/>
    <x v="0"/>
    <x v="11"/>
    <n v="17892"/>
    <n v="67"/>
    <n v="9926.57"/>
    <n v="2078.86"/>
    <x v="4"/>
  </r>
  <r>
    <x v="1"/>
    <x v="0"/>
    <x v="11"/>
    <n v="18342"/>
    <n v="25"/>
    <n v="21819.41"/>
    <n v="6421.41"/>
    <x v="3"/>
  </r>
  <r>
    <x v="1"/>
    <x v="0"/>
    <x v="11"/>
    <n v="20177"/>
    <n v="27"/>
    <n v="2338.83"/>
    <n v="810.22"/>
    <x v="5"/>
  </r>
  <r>
    <x v="1"/>
    <x v="0"/>
    <x v="11"/>
    <n v="21179"/>
    <n v="31"/>
    <n v="3230.64"/>
    <n v="1577.39"/>
    <x v="0"/>
  </r>
  <r>
    <x v="1"/>
    <x v="0"/>
    <x v="11"/>
    <n v="21260"/>
    <n v="27"/>
    <n v="5076.3"/>
    <n v="1186.58"/>
    <x v="4"/>
  </r>
  <r>
    <x v="1"/>
    <x v="0"/>
    <x v="11"/>
    <n v="22317"/>
    <n v="17"/>
    <n v="1369.51"/>
    <n v="681.38"/>
    <x v="5"/>
  </r>
  <r>
    <x v="1"/>
    <x v="0"/>
    <x v="11"/>
    <n v="22940"/>
    <n v="198"/>
    <n v="23211.86"/>
    <n v="5509.45"/>
    <x v="2"/>
  </r>
  <r>
    <x v="1"/>
    <x v="0"/>
    <x v="11"/>
    <n v="23178"/>
    <n v="238"/>
    <n v="43593.03"/>
    <n v="12838.87"/>
    <x v="2"/>
  </r>
  <r>
    <x v="1"/>
    <x v="0"/>
    <x v="11"/>
    <n v="23600"/>
    <n v="355"/>
    <n v="39675.11"/>
    <n v="12201.71"/>
    <x v="2"/>
  </r>
  <r>
    <x v="1"/>
    <x v="0"/>
    <x v="11"/>
    <n v="23756"/>
    <n v="97"/>
    <n v="19576.02"/>
    <n v="7923.94"/>
    <x v="1"/>
  </r>
  <r>
    <x v="1"/>
    <x v="0"/>
    <x v="11"/>
    <n v="24326"/>
    <n v="16"/>
    <n v="2005.54"/>
    <n v="669.19"/>
    <x v="4"/>
  </r>
  <r>
    <x v="2"/>
    <x v="0"/>
    <x v="11"/>
    <n v="12184"/>
    <n v="88"/>
    <n v="14052.37"/>
    <n v="10783.23"/>
    <x v="0"/>
  </r>
  <r>
    <x v="2"/>
    <x v="0"/>
    <x v="11"/>
    <n v="12622"/>
    <n v="41"/>
    <n v="9385.09"/>
    <n v="5007.8100000000004"/>
    <x v="1"/>
  </r>
  <r>
    <x v="2"/>
    <x v="0"/>
    <x v="11"/>
    <n v="13527"/>
    <n v="486"/>
    <n v="73906.19"/>
    <n v="19368.95"/>
    <x v="2"/>
  </r>
  <r>
    <x v="2"/>
    <x v="0"/>
    <x v="11"/>
    <n v="13618"/>
    <n v="23"/>
    <n v="10801.97"/>
    <n v="5914.32"/>
    <x v="1"/>
  </r>
  <r>
    <x v="2"/>
    <x v="0"/>
    <x v="11"/>
    <n v="16024"/>
    <n v="167"/>
    <n v="65646.460000000006"/>
    <n v="20972.46"/>
    <x v="3"/>
  </r>
  <r>
    <x v="2"/>
    <x v="0"/>
    <x v="11"/>
    <n v="16650"/>
    <n v="32"/>
    <n v="6371.2"/>
    <n v="4259.29"/>
    <x v="0"/>
  </r>
  <r>
    <x v="2"/>
    <x v="0"/>
    <x v="11"/>
    <n v="17892"/>
    <n v="55"/>
    <n v="7015.29"/>
    <n v="1953.73"/>
    <x v="4"/>
  </r>
  <r>
    <x v="2"/>
    <x v="0"/>
    <x v="11"/>
    <n v="18342"/>
    <n v="105"/>
    <n v="91211.8"/>
    <n v="24480.02"/>
    <x v="3"/>
  </r>
  <r>
    <x v="2"/>
    <x v="0"/>
    <x v="11"/>
    <n v="20177"/>
    <n v="49"/>
    <n v="4710.09"/>
    <n v="2471"/>
    <x v="5"/>
  </r>
  <r>
    <x v="2"/>
    <x v="0"/>
    <x v="11"/>
    <n v="21179"/>
    <n v="61"/>
    <n v="7491.94"/>
    <n v="5411.45"/>
    <x v="0"/>
  </r>
  <r>
    <x v="2"/>
    <x v="0"/>
    <x v="11"/>
    <n v="21260"/>
    <n v="35"/>
    <n v="7595.1"/>
    <n v="1971.96"/>
    <x v="4"/>
  </r>
  <r>
    <x v="2"/>
    <x v="0"/>
    <x v="11"/>
    <n v="22317"/>
    <n v="52"/>
    <n v="4043.58"/>
    <n v="1629.71"/>
    <x v="5"/>
  </r>
  <r>
    <x v="2"/>
    <x v="0"/>
    <x v="11"/>
    <n v="22940"/>
    <n v="426"/>
    <n v="49717.16"/>
    <n v="11293.66"/>
    <x v="2"/>
  </r>
  <r>
    <x v="2"/>
    <x v="0"/>
    <x v="11"/>
    <n v="23178"/>
    <n v="192"/>
    <n v="35011.64"/>
    <n v="7429.98"/>
    <x v="2"/>
  </r>
  <r>
    <x v="2"/>
    <x v="0"/>
    <x v="11"/>
    <n v="23600"/>
    <n v="975"/>
    <n v="103660.34"/>
    <n v="25267.360000000001"/>
    <x v="2"/>
  </r>
  <r>
    <x v="2"/>
    <x v="0"/>
    <x v="11"/>
    <n v="23756"/>
    <n v="114"/>
    <n v="24888.49"/>
    <n v="13698.56"/>
    <x v="1"/>
  </r>
  <r>
    <x v="2"/>
    <x v="0"/>
    <x v="11"/>
    <n v="24326"/>
    <n v="120"/>
    <n v="17422.96"/>
    <n v="5322.84"/>
    <x v="4"/>
  </r>
  <r>
    <x v="3"/>
    <x v="0"/>
    <x v="11"/>
    <n v="12184"/>
    <n v="56"/>
    <n v="8326.16"/>
    <n v="5440.48"/>
    <x v="0"/>
  </r>
  <r>
    <x v="3"/>
    <x v="0"/>
    <x v="11"/>
    <n v="12622"/>
    <n v="51"/>
    <n v="13913.21"/>
    <n v="6787.53"/>
    <x v="1"/>
  </r>
  <r>
    <x v="3"/>
    <x v="0"/>
    <x v="11"/>
    <n v="13527"/>
    <n v="404"/>
    <n v="66438.19"/>
    <n v="13251.09"/>
    <x v="2"/>
  </r>
  <r>
    <x v="3"/>
    <x v="0"/>
    <x v="11"/>
    <n v="13618"/>
    <n v="8"/>
    <n v="3428.27"/>
    <n v="1438.96"/>
    <x v="1"/>
  </r>
  <r>
    <x v="3"/>
    <x v="0"/>
    <x v="11"/>
    <n v="16024"/>
    <n v="145"/>
    <n v="61919.97"/>
    <n v="14605.28"/>
    <x v="3"/>
  </r>
  <r>
    <x v="3"/>
    <x v="0"/>
    <x v="11"/>
    <n v="16650"/>
    <n v="37"/>
    <n v="6585.99"/>
    <n v="3496.97"/>
    <x v="0"/>
  </r>
  <r>
    <x v="3"/>
    <x v="0"/>
    <x v="11"/>
    <n v="17892"/>
    <n v="90"/>
    <n v="12698.66"/>
    <n v="3572.96"/>
    <x v="4"/>
  </r>
  <r>
    <x v="3"/>
    <x v="0"/>
    <x v="11"/>
    <n v="18342"/>
    <n v="212"/>
    <n v="158344.01999999999"/>
    <n v="43306.03"/>
    <x v="3"/>
  </r>
  <r>
    <x v="3"/>
    <x v="0"/>
    <x v="11"/>
    <n v="20177"/>
    <n v="104"/>
    <n v="10668.52"/>
    <n v="4480.66"/>
    <x v="5"/>
  </r>
  <r>
    <x v="3"/>
    <x v="0"/>
    <x v="11"/>
    <n v="21179"/>
    <n v="61"/>
    <n v="8188.61"/>
    <n v="4899.59"/>
    <x v="0"/>
  </r>
  <r>
    <x v="3"/>
    <x v="0"/>
    <x v="11"/>
    <n v="21260"/>
    <n v="80"/>
    <n v="15180.47"/>
    <n v="3827.64"/>
    <x v="4"/>
  </r>
  <r>
    <x v="3"/>
    <x v="0"/>
    <x v="11"/>
    <n v="22317"/>
    <n v="69"/>
    <n v="6765"/>
    <n v="2609.12"/>
    <x v="5"/>
  </r>
  <r>
    <x v="3"/>
    <x v="0"/>
    <x v="11"/>
    <n v="22940"/>
    <n v="269"/>
    <n v="32485.08"/>
    <n v="7519.36"/>
    <x v="2"/>
  </r>
  <r>
    <x v="3"/>
    <x v="0"/>
    <x v="11"/>
    <n v="23178"/>
    <n v="129"/>
    <n v="21805.97"/>
    <n v="4828.4399999999996"/>
    <x v="2"/>
  </r>
  <r>
    <x v="3"/>
    <x v="0"/>
    <x v="11"/>
    <n v="23600"/>
    <n v="1035"/>
    <n v="122940.75"/>
    <n v="27926.080000000002"/>
    <x v="2"/>
  </r>
  <r>
    <x v="3"/>
    <x v="0"/>
    <x v="11"/>
    <n v="23756"/>
    <n v="126"/>
    <n v="19298.3"/>
    <n v="9838.93"/>
    <x v="1"/>
  </r>
  <r>
    <x v="3"/>
    <x v="0"/>
    <x v="11"/>
    <n v="24326"/>
    <n v="64"/>
    <n v="9025.77"/>
    <n v="2468.58"/>
    <x v="4"/>
  </r>
  <r>
    <x v="0"/>
    <x v="1"/>
    <x v="0"/>
    <n v="12184"/>
    <n v="74"/>
    <n v="7843.1"/>
    <n v="3157.6"/>
    <x v="0"/>
  </r>
  <r>
    <x v="0"/>
    <x v="1"/>
    <x v="0"/>
    <n v="12622"/>
    <n v="78"/>
    <n v="22005.88"/>
    <n v="9124.9599999999991"/>
    <x v="1"/>
  </r>
  <r>
    <x v="0"/>
    <x v="1"/>
    <x v="0"/>
    <n v="13527"/>
    <n v="708"/>
    <n v="106701.48"/>
    <n v="19260.37"/>
    <x v="2"/>
  </r>
  <r>
    <x v="0"/>
    <x v="1"/>
    <x v="0"/>
    <n v="13618"/>
    <n v="31"/>
    <n v="13253.73"/>
    <n v="6815.28"/>
    <x v="1"/>
  </r>
  <r>
    <x v="0"/>
    <x v="1"/>
    <x v="0"/>
    <n v="16024"/>
    <n v="199"/>
    <n v="78753.91"/>
    <n v="21583.79"/>
    <x v="3"/>
  </r>
  <r>
    <x v="0"/>
    <x v="1"/>
    <x v="0"/>
    <n v="16650"/>
    <n v="38"/>
    <n v="4711.38"/>
    <n v="2313.64"/>
    <x v="0"/>
  </r>
  <r>
    <x v="0"/>
    <x v="1"/>
    <x v="0"/>
    <n v="17892"/>
    <n v="139"/>
    <n v="21864.02"/>
    <n v="5591.91"/>
    <x v="4"/>
  </r>
  <r>
    <x v="0"/>
    <x v="1"/>
    <x v="0"/>
    <n v="18342"/>
    <n v="172"/>
    <n v="141440.13"/>
    <n v="43233.58"/>
    <x v="3"/>
  </r>
  <r>
    <x v="0"/>
    <x v="1"/>
    <x v="0"/>
    <n v="20177"/>
    <n v="131"/>
    <n v="11244.4"/>
    <n v="4107.51"/>
    <x v="5"/>
  </r>
  <r>
    <x v="0"/>
    <x v="1"/>
    <x v="0"/>
    <n v="21179"/>
    <n v="75"/>
    <n v="7772.85"/>
    <n v="4267.6899999999996"/>
    <x v="0"/>
  </r>
  <r>
    <x v="0"/>
    <x v="1"/>
    <x v="0"/>
    <n v="21260"/>
    <n v="88"/>
    <n v="18799.41"/>
    <n v="4851.32"/>
    <x v="4"/>
  </r>
  <r>
    <x v="0"/>
    <x v="1"/>
    <x v="0"/>
    <n v="22317"/>
    <n v="73"/>
    <n v="7063.14"/>
    <n v="3002.7"/>
    <x v="5"/>
  </r>
  <r>
    <x v="0"/>
    <x v="1"/>
    <x v="0"/>
    <n v="22940"/>
    <n v="911"/>
    <n v="124449.95"/>
    <n v="26912.1"/>
    <x v="2"/>
  </r>
  <r>
    <x v="0"/>
    <x v="1"/>
    <x v="0"/>
    <n v="23178"/>
    <n v="386"/>
    <n v="65130.38"/>
    <n v="12621.74"/>
    <x v="2"/>
  </r>
  <r>
    <x v="0"/>
    <x v="1"/>
    <x v="0"/>
    <n v="23600"/>
    <n v="1415"/>
    <n v="160704.22"/>
    <n v="40224.730000000003"/>
    <x v="2"/>
  </r>
  <r>
    <x v="0"/>
    <x v="1"/>
    <x v="0"/>
    <n v="23756"/>
    <n v="51"/>
    <n v="8607.6299999999992"/>
    <n v="4382.16"/>
    <x v="1"/>
  </r>
  <r>
    <x v="0"/>
    <x v="1"/>
    <x v="0"/>
    <n v="24326"/>
    <n v="213"/>
    <n v="31986.31"/>
    <n v="9828.41"/>
    <x v="4"/>
  </r>
  <r>
    <x v="1"/>
    <x v="1"/>
    <x v="0"/>
    <n v="12184"/>
    <n v="35"/>
    <n v="4364.22"/>
    <n v="2317.5"/>
    <x v="0"/>
  </r>
  <r>
    <x v="1"/>
    <x v="1"/>
    <x v="0"/>
    <n v="12622"/>
    <n v="18"/>
    <n v="3989.09"/>
    <n v="1510.71"/>
    <x v="1"/>
  </r>
  <r>
    <x v="1"/>
    <x v="1"/>
    <x v="0"/>
    <n v="13527"/>
    <n v="282"/>
    <n v="43041.04"/>
    <n v="8781.41"/>
    <x v="2"/>
  </r>
  <r>
    <x v="1"/>
    <x v="1"/>
    <x v="0"/>
    <n v="13618"/>
    <n v="4"/>
    <n v="1416.46"/>
    <n v="586.52"/>
    <x v="1"/>
  </r>
  <r>
    <x v="1"/>
    <x v="1"/>
    <x v="0"/>
    <n v="16024"/>
    <n v="172"/>
    <n v="68914.06"/>
    <n v="17934.36"/>
    <x v="3"/>
  </r>
  <r>
    <x v="1"/>
    <x v="1"/>
    <x v="0"/>
    <n v="16650"/>
    <n v="33"/>
    <n v="5740.72"/>
    <n v="3801.49"/>
    <x v="0"/>
  </r>
  <r>
    <x v="1"/>
    <x v="1"/>
    <x v="0"/>
    <n v="17892"/>
    <n v="105"/>
    <n v="15840.71"/>
    <n v="3803.29"/>
    <x v="4"/>
  </r>
  <r>
    <x v="1"/>
    <x v="1"/>
    <x v="0"/>
    <n v="18342"/>
    <n v="26"/>
    <n v="23629.26"/>
    <n v="8199.5499999999993"/>
    <x v="3"/>
  </r>
  <r>
    <x v="1"/>
    <x v="1"/>
    <x v="0"/>
    <n v="20177"/>
    <n v="30"/>
    <n v="2629.35"/>
    <n v="902.27"/>
    <x v="5"/>
  </r>
  <r>
    <x v="1"/>
    <x v="1"/>
    <x v="0"/>
    <n v="21179"/>
    <n v="37"/>
    <n v="3867.22"/>
    <n v="2369.2399999999998"/>
    <x v="0"/>
  </r>
  <r>
    <x v="1"/>
    <x v="1"/>
    <x v="0"/>
    <n v="21260"/>
    <n v="31"/>
    <n v="5761.16"/>
    <n v="1520.16"/>
    <x v="4"/>
  </r>
  <r>
    <x v="1"/>
    <x v="1"/>
    <x v="0"/>
    <n v="22317"/>
    <n v="7"/>
    <n v="608.03"/>
    <n v="255.47"/>
    <x v="5"/>
  </r>
  <r>
    <x v="1"/>
    <x v="1"/>
    <x v="0"/>
    <n v="22940"/>
    <n v="229"/>
    <n v="32061.75"/>
    <n v="7392.73"/>
    <x v="2"/>
  </r>
  <r>
    <x v="1"/>
    <x v="1"/>
    <x v="0"/>
    <n v="23178"/>
    <n v="214"/>
    <n v="36949.769999999997"/>
    <n v="9006.8700000000008"/>
    <x v="2"/>
  </r>
  <r>
    <x v="1"/>
    <x v="1"/>
    <x v="0"/>
    <n v="23600"/>
    <n v="501"/>
    <n v="50775"/>
    <n v="14728.51"/>
    <x v="2"/>
  </r>
  <r>
    <x v="1"/>
    <x v="1"/>
    <x v="0"/>
    <n v="23756"/>
    <n v="41"/>
    <n v="8059.13"/>
    <n v="3355.93"/>
    <x v="1"/>
  </r>
  <r>
    <x v="1"/>
    <x v="1"/>
    <x v="0"/>
    <n v="24326"/>
    <n v="29"/>
    <n v="4149.7700000000004"/>
    <n v="1371.41"/>
    <x v="4"/>
  </r>
  <r>
    <x v="2"/>
    <x v="1"/>
    <x v="0"/>
    <n v="12184"/>
    <n v="75"/>
    <n v="9652.89"/>
    <n v="7146.73"/>
    <x v="0"/>
  </r>
  <r>
    <x v="2"/>
    <x v="1"/>
    <x v="0"/>
    <n v="12622"/>
    <n v="48"/>
    <n v="11270.23"/>
    <n v="6190.11"/>
    <x v="1"/>
  </r>
  <r>
    <x v="2"/>
    <x v="1"/>
    <x v="0"/>
    <n v="13527"/>
    <n v="431"/>
    <n v="63928.6"/>
    <n v="14423.16"/>
    <x v="2"/>
  </r>
  <r>
    <x v="2"/>
    <x v="1"/>
    <x v="0"/>
    <n v="13618"/>
    <n v="20"/>
    <n v="7594.42"/>
    <n v="4072.99"/>
    <x v="1"/>
  </r>
  <r>
    <x v="2"/>
    <x v="1"/>
    <x v="0"/>
    <n v="16024"/>
    <n v="297"/>
    <n v="131358.78"/>
    <n v="35001.42"/>
    <x v="3"/>
  </r>
  <r>
    <x v="2"/>
    <x v="1"/>
    <x v="0"/>
    <n v="16650"/>
    <n v="44"/>
    <n v="5440.06"/>
    <n v="4305.57"/>
    <x v="0"/>
  </r>
  <r>
    <x v="2"/>
    <x v="1"/>
    <x v="0"/>
    <n v="17892"/>
    <n v="81"/>
    <n v="12983.71"/>
    <n v="3606.02"/>
    <x v="4"/>
  </r>
  <r>
    <x v="2"/>
    <x v="1"/>
    <x v="0"/>
    <n v="18342"/>
    <n v="156"/>
    <n v="147374.94"/>
    <n v="39900.58"/>
    <x v="3"/>
  </r>
  <r>
    <x v="2"/>
    <x v="1"/>
    <x v="0"/>
    <n v="20177"/>
    <n v="65"/>
    <n v="5971.4"/>
    <n v="2884.06"/>
    <x v="5"/>
  </r>
  <r>
    <x v="2"/>
    <x v="1"/>
    <x v="0"/>
    <n v="21179"/>
    <n v="35"/>
    <n v="4540.37"/>
    <n v="2679.74"/>
    <x v="0"/>
  </r>
  <r>
    <x v="2"/>
    <x v="1"/>
    <x v="0"/>
    <n v="21260"/>
    <n v="64"/>
    <n v="10917.27"/>
    <n v="3386.2"/>
    <x v="4"/>
  </r>
  <r>
    <x v="2"/>
    <x v="1"/>
    <x v="0"/>
    <n v="22317"/>
    <n v="24"/>
    <n v="2531.35"/>
    <n v="1157.19"/>
    <x v="5"/>
  </r>
  <r>
    <x v="2"/>
    <x v="1"/>
    <x v="0"/>
    <n v="22940"/>
    <n v="699"/>
    <n v="83181.919999999998"/>
    <n v="20792.28"/>
    <x v="2"/>
  </r>
  <r>
    <x v="2"/>
    <x v="1"/>
    <x v="0"/>
    <n v="23178"/>
    <n v="224"/>
    <n v="42170.5"/>
    <n v="11540.47"/>
    <x v="2"/>
  </r>
  <r>
    <x v="2"/>
    <x v="1"/>
    <x v="0"/>
    <n v="23600"/>
    <n v="707"/>
    <n v="74293.759999999995"/>
    <n v="24049.33"/>
    <x v="2"/>
  </r>
  <r>
    <x v="2"/>
    <x v="1"/>
    <x v="0"/>
    <n v="23756"/>
    <n v="86"/>
    <n v="18463.310000000001"/>
    <n v="10922.01"/>
    <x v="1"/>
  </r>
  <r>
    <x v="2"/>
    <x v="1"/>
    <x v="0"/>
    <n v="24326"/>
    <n v="81"/>
    <n v="11899.4"/>
    <n v="3998.89"/>
    <x v="4"/>
  </r>
  <r>
    <x v="3"/>
    <x v="1"/>
    <x v="0"/>
    <n v="12184"/>
    <n v="94"/>
    <n v="12958.45"/>
    <n v="7643.67"/>
    <x v="0"/>
  </r>
  <r>
    <x v="3"/>
    <x v="1"/>
    <x v="0"/>
    <n v="12622"/>
    <n v="33"/>
    <n v="10408.44"/>
    <n v="5307.41"/>
    <x v="1"/>
  </r>
  <r>
    <x v="3"/>
    <x v="1"/>
    <x v="0"/>
    <n v="13527"/>
    <n v="469"/>
    <n v="74816.81"/>
    <n v="15385.23"/>
    <x v="2"/>
  </r>
  <r>
    <x v="3"/>
    <x v="1"/>
    <x v="0"/>
    <n v="13618"/>
    <n v="7"/>
    <n v="2688.32"/>
    <n v="1108.3599999999999"/>
    <x v="1"/>
  </r>
  <r>
    <x v="3"/>
    <x v="1"/>
    <x v="0"/>
    <n v="16024"/>
    <n v="125"/>
    <n v="50728.480000000003"/>
    <n v="12822.25"/>
    <x v="3"/>
  </r>
  <r>
    <x v="3"/>
    <x v="1"/>
    <x v="0"/>
    <n v="16650"/>
    <n v="36"/>
    <n v="5794.22"/>
    <n v="2839.83"/>
    <x v="0"/>
  </r>
  <r>
    <x v="3"/>
    <x v="1"/>
    <x v="0"/>
    <n v="17892"/>
    <n v="109"/>
    <n v="16238.01"/>
    <n v="4014.64"/>
    <x v="4"/>
  </r>
  <r>
    <x v="3"/>
    <x v="1"/>
    <x v="0"/>
    <n v="18342"/>
    <n v="209"/>
    <n v="159070.09"/>
    <n v="38738.81"/>
    <x v="3"/>
  </r>
  <r>
    <x v="3"/>
    <x v="1"/>
    <x v="0"/>
    <n v="20177"/>
    <n v="56"/>
    <n v="6360.16"/>
    <n v="2584.91"/>
    <x v="5"/>
  </r>
  <r>
    <x v="3"/>
    <x v="1"/>
    <x v="0"/>
    <n v="21179"/>
    <n v="53"/>
    <n v="5873.38"/>
    <n v="2928.77"/>
    <x v="0"/>
  </r>
  <r>
    <x v="3"/>
    <x v="1"/>
    <x v="0"/>
    <n v="21260"/>
    <n v="73"/>
    <n v="14840.32"/>
    <n v="3440.42"/>
    <x v="4"/>
  </r>
  <r>
    <x v="3"/>
    <x v="1"/>
    <x v="0"/>
    <n v="22317"/>
    <n v="71"/>
    <n v="5887.11"/>
    <n v="2357.7600000000002"/>
    <x v="5"/>
  </r>
  <r>
    <x v="3"/>
    <x v="1"/>
    <x v="0"/>
    <n v="22940"/>
    <n v="254"/>
    <n v="32668.51"/>
    <n v="6696.75"/>
    <x v="2"/>
  </r>
  <r>
    <x v="3"/>
    <x v="1"/>
    <x v="0"/>
    <n v="23178"/>
    <n v="135"/>
    <n v="24545.07"/>
    <n v="4420.01"/>
    <x v="2"/>
  </r>
  <r>
    <x v="3"/>
    <x v="1"/>
    <x v="0"/>
    <n v="23600"/>
    <n v="665"/>
    <n v="65981.289999999994"/>
    <n v="17514.66"/>
    <x v="2"/>
  </r>
  <r>
    <x v="3"/>
    <x v="1"/>
    <x v="0"/>
    <n v="23756"/>
    <n v="109"/>
    <n v="20708.09"/>
    <n v="10301.64"/>
    <x v="1"/>
  </r>
  <r>
    <x v="3"/>
    <x v="1"/>
    <x v="0"/>
    <n v="24326"/>
    <n v="81"/>
    <n v="10503.38"/>
    <n v="2984.33"/>
    <x v="4"/>
  </r>
  <r>
    <x v="0"/>
    <x v="1"/>
    <x v="1"/>
    <n v="12184"/>
    <n v="97"/>
    <n v="9697.76"/>
    <n v="5139.05"/>
    <x v="0"/>
  </r>
  <r>
    <x v="0"/>
    <x v="1"/>
    <x v="1"/>
    <n v="12622"/>
    <n v="33"/>
    <n v="7506.52"/>
    <n v="3440.61"/>
    <x v="1"/>
  </r>
  <r>
    <x v="0"/>
    <x v="1"/>
    <x v="1"/>
    <n v="13527"/>
    <n v="764"/>
    <n v="117675.69"/>
    <n v="21969.74"/>
    <x v="2"/>
  </r>
  <r>
    <x v="0"/>
    <x v="1"/>
    <x v="1"/>
    <n v="13618"/>
    <n v="13"/>
    <n v="5787.73"/>
    <n v="2434.52"/>
    <x v="1"/>
  </r>
  <r>
    <x v="0"/>
    <x v="1"/>
    <x v="1"/>
    <n v="16024"/>
    <n v="208"/>
    <n v="86727.14"/>
    <n v="21973.15"/>
    <x v="3"/>
  </r>
  <r>
    <x v="0"/>
    <x v="1"/>
    <x v="1"/>
    <n v="16650"/>
    <n v="54"/>
    <n v="9251.2800000000007"/>
    <n v="4098.37"/>
    <x v="0"/>
  </r>
  <r>
    <x v="0"/>
    <x v="1"/>
    <x v="1"/>
    <n v="17892"/>
    <n v="117"/>
    <n v="15773.1"/>
    <n v="4195.59"/>
    <x v="4"/>
  </r>
  <r>
    <x v="0"/>
    <x v="1"/>
    <x v="1"/>
    <n v="18342"/>
    <n v="91"/>
    <n v="72890.31"/>
    <n v="18213.43"/>
    <x v="3"/>
  </r>
  <r>
    <x v="0"/>
    <x v="1"/>
    <x v="1"/>
    <n v="20177"/>
    <n v="71"/>
    <n v="7351.65"/>
    <n v="2914.46"/>
    <x v="5"/>
  </r>
  <r>
    <x v="0"/>
    <x v="1"/>
    <x v="1"/>
    <n v="21179"/>
    <n v="73"/>
    <n v="9842.94"/>
    <n v="5085.68"/>
    <x v="0"/>
  </r>
  <r>
    <x v="0"/>
    <x v="1"/>
    <x v="1"/>
    <n v="21260"/>
    <n v="49"/>
    <n v="8814.39"/>
    <n v="2575.2399999999998"/>
    <x v="4"/>
  </r>
  <r>
    <x v="0"/>
    <x v="1"/>
    <x v="1"/>
    <n v="22317"/>
    <n v="117"/>
    <n v="10527.92"/>
    <n v="3952.74"/>
    <x v="5"/>
  </r>
  <r>
    <x v="0"/>
    <x v="1"/>
    <x v="1"/>
    <n v="22940"/>
    <n v="598"/>
    <n v="79409.95"/>
    <n v="13657.06"/>
    <x v="2"/>
  </r>
  <r>
    <x v="0"/>
    <x v="1"/>
    <x v="1"/>
    <n v="23178"/>
    <n v="236"/>
    <n v="42173.01"/>
    <n v="7604.8"/>
    <x v="2"/>
  </r>
  <r>
    <x v="0"/>
    <x v="1"/>
    <x v="1"/>
    <n v="23600"/>
    <n v="1068"/>
    <n v="120284.13"/>
    <n v="31992.89"/>
    <x v="2"/>
  </r>
  <r>
    <x v="0"/>
    <x v="1"/>
    <x v="1"/>
    <n v="23756"/>
    <n v="150"/>
    <n v="27054.95"/>
    <n v="11288.38"/>
    <x v="1"/>
  </r>
  <r>
    <x v="0"/>
    <x v="1"/>
    <x v="1"/>
    <n v="24326"/>
    <n v="196"/>
    <n v="25442.43"/>
    <n v="6230.45"/>
    <x v="4"/>
  </r>
  <r>
    <x v="1"/>
    <x v="1"/>
    <x v="1"/>
    <n v="12184"/>
    <n v="16"/>
    <n v="2227.2600000000002"/>
    <n v="1224.22"/>
    <x v="0"/>
  </r>
  <r>
    <x v="1"/>
    <x v="1"/>
    <x v="1"/>
    <n v="12622"/>
    <n v="21"/>
    <n v="5207.22"/>
    <n v="2081.73"/>
    <x v="1"/>
  </r>
  <r>
    <x v="1"/>
    <x v="1"/>
    <x v="1"/>
    <n v="13527"/>
    <n v="364"/>
    <n v="54842.86"/>
    <n v="8723.98"/>
    <x v="2"/>
  </r>
  <r>
    <x v="1"/>
    <x v="1"/>
    <x v="1"/>
    <n v="13618"/>
    <n v="5"/>
    <n v="2228.0500000000002"/>
    <n v="968.45"/>
    <x v="1"/>
  </r>
  <r>
    <x v="1"/>
    <x v="1"/>
    <x v="1"/>
    <n v="16024"/>
    <n v="136"/>
    <n v="57123.26"/>
    <n v="18272.419999999998"/>
    <x v="3"/>
  </r>
  <r>
    <x v="1"/>
    <x v="1"/>
    <x v="1"/>
    <n v="16650"/>
    <n v="26"/>
    <n v="4210.2700000000004"/>
    <n v="2938.06"/>
    <x v="0"/>
  </r>
  <r>
    <x v="1"/>
    <x v="1"/>
    <x v="1"/>
    <n v="17892"/>
    <n v="96"/>
    <n v="14390.66"/>
    <n v="3809.87"/>
    <x v="4"/>
  </r>
  <r>
    <x v="1"/>
    <x v="1"/>
    <x v="1"/>
    <n v="18342"/>
    <n v="20"/>
    <n v="17343.97"/>
    <n v="4702.3100000000004"/>
    <x v="3"/>
  </r>
  <r>
    <x v="1"/>
    <x v="1"/>
    <x v="1"/>
    <n v="20177"/>
    <n v="23"/>
    <n v="2175.14"/>
    <n v="760.27"/>
    <x v="5"/>
  </r>
  <r>
    <x v="1"/>
    <x v="1"/>
    <x v="1"/>
    <n v="21179"/>
    <n v="43"/>
    <n v="5648.86"/>
    <n v="3246.64"/>
    <x v="0"/>
  </r>
  <r>
    <x v="1"/>
    <x v="1"/>
    <x v="1"/>
    <n v="21260"/>
    <n v="26"/>
    <n v="5238.97"/>
    <n v="1091.58"/>
    <x v="4"/>
  </r>
  <r>
    <x v="1"/>
    <x v="1"/>
    <x v="1"/>
    <n v="22317"/>
    <n v="18"/>
    <n v="1342.96"/>
    <n v="712.36"/>
    <x v="5"/>
  </r>
  <r>
    <x v="1"/>
    <x v="1"/>
    <x v="1"/>
    <n v="22940"/>
    <n v="157"/>
    <n v="20033.240000000002"/>
    <n v="5818.03"/>
    <x v="2"/>
  </r>
  <r>
    <x v="1"/>
    <x v="1"/>
    <x v="1"/>
    <n v="23178"/>
    <n v="313"/>
    <n v="52939.46"/>
    <n v="15056.49"/>
    <x v="2"/>
  </r>
  <r>
    <x v="1"/>
    <x v="1"/>
    <x v="1"/>
    <n v="23600"/>
    <n v="585"/>
    <n v="68612.740000000005"/>
    <n v="16327.52"/>
    <x v="2"/>
  </r>
  <r>
    <x v="1"/>
    <x v="1"/>
    <x v="1"/>
    <n v="23756"/>
    <n v="94"/>
    <n v="15702.34"/>
    <n v="7638.95"/>
    <x v="1"/>
  </r>
  <r>
    <x v="1"/>
    <x v="1"/>
    <x v="1"/>
    <n v="24326"/>
    <n v="33"/>
    <n v="4162.4399999999996"/>
    <n v="1353.47"/>
    <x v="4"/>
  </r>
  <r>
    <x v="2"/>
    <x v="1"/>
    <x v="1"/>
    <n v="12184"/>
    <n v="48"/>
    <n v="5591.15"/>
    <n v="3949.11"/>
    <x v="0"/>
  </r>
  <r>
    <x v="2"/>
    <x v="1"/>
    <x v="1"/>
    <n v="12622"/>
    <n v="27"/>
    <n v="6643.86"/>
    <n v="3602.3"/>
    <x v="1"/>
  </r>
  <r>
    <x v="2"/>
    <x v="1"/>
    <x v="1"/>
    <n v="13527"/>
    <n v="213"/>
    <n v="34512.85"/>
    <n v="8046.73"/>
    <x v="2"/>
  </r>
  <r>
    <x v="2"/>
    <x v="1"/>
    <x v="1"/>
    <n v="13618"/>
    <n v="28"/>
    <n v="13234.01"/>
    <n v="7083.25"/>
    <x v="1"/>
  </r>
  <r>
    <x v="2"/>
    <x v="1"/>
    <x v="1"/>
    <n v="16024"/>
    <n v="229"/>
    <n v="99289.06"/>
    <n v="25708.66"/>
    <x v="3"/>
  </r>
  <r>
    <x v="2"/>
    <x v="1"/>
    <x v="1"/>
    <n v="16650"/>
    <n v="22"/>
    <n v="4024.75"/>
    <n v="2941.24"/>
    <x v="0"/>
  </r>
  <r>
    <x v="2"/>
    <x v="1"/>
    <x v="1"/>
    <n v="17892"/>
    <n v="77"/>
    <n v="10163.549999999999"/>
    <n v="3480.7"/>
    <x v="4"/>
  </r>
  <r>
    <x v="2"/>
    <x v="1"/>
    <x v="1"/>
    <n v="18342"/>
    <n v="187"/>
    <n v="138896.51999999999"/>
    <n v="37182.11"/>
    <x v="3"/>
  </r>
  <r>
    <x v="2"/>
    <x v="1"/>
    <x v="1"/>
    <n v="20177"/>
    <n v="64"/>
    <n v="6906.6"/>
    <n v="3277.4"/>
    <x v="5"/>
  </r>
  <r>
    <x v="2"/>
    <x v="1"/>
    <x v="1"/>
    <n v="21179"/>
    <n v="64"/>
    <n v="6745.95"/>
    <n v="4454.8500000000004"/>
    <x v="0"/>
  </r>
  <r>
    <x v="2"/>
    <x v="1"/>
    <x v="1"/>
    <n v="21260"/>
    <n v="53"/>
    <n v="10808.57"/>
    <n v="3224.92"/>
    <x v="4"/>
  </r>
  <r>
    <x v="2"/>
    <x v="1"/>
    <x v="1"/>
    <n v="22317"/>
    <n v="38"/>
    <n v="2883.81"/>
    <n v="1336.95"/>
    <x v="5"/>
  </r>
  <r>
    <x v="2"/>
    <x v="1"/>
    <x v="1"/>
    <n v="22940"/>
    <n v="730"/>
    <n v="100093.49"/>
    <n v="23769.83"/>
    <x v="2"/>
  </r>
  <r>
    <x v="2"/>
    <x v="1"/>
    <x v="1"/>
    <n v="23178"/>
    <n v="129"/>
    <n v="24157.14"/>
    <n v="6077.44"/>
    <x v="2"/>
  </r>
  <r>
    <x v="2"/>
    <x v="1"/>
    <x v="1"/>
    <n v="23600"/>
    <n v="1095"/>
    <n v="135035.23000000001"/>
    <n v="35831.99"/>
    <x v="2"/>
  </r>
  <r>
    <x v="2"/>
    <x v="1"/>
    <x v="1"/>
    <n v="23756"/>
    <n v="105"/>
    <n v="20640.810000000001"/>
    <n v="12419.03"/>
    <x v="1"/>
  </r>
  <r>
    <x v="2"/>
    <x v="1"/>
    <x v="1"/>
    <n v="24326"/>
    <n v="70"/>
    <n v="10088.879999999999"/>
    <n v="3403.72"/>
    <x v="4"/>
  </r>
  <r>
    <x v="3"/>
    <x v="1"/>
    <x v="1"/>
    <n v="12184"/>
    <n v="51"/>
    <n v="5962.84"/>
    <n v="3291.01"/>
    <x v="0"/>
  </r>
  <r>
    <x v="3"/>
    <x v="1"/>
    <x v="1"/>
    <n v="12622"/>
    <n v="37"/>
    <n v="8846.2900000000009"/>
    <n v="4316.22"/>
    <x v="1"/>
  </r>
  <r>
    <x v="3"/>
    <x v="1"/>
    <x v="1"/>
    <n v="13527"/>
    <n v="429"/>
    <n v="73098.240000000005"/>
    <n v="17663.919999999998"/>
    <x v="2"/>
  </r>
  <r>
    <x v="3"/>
    <x v="1"/>
    <x v="1"/>
    <n v="13618"/>
    <n v="11"/>
    <n v="4947.42"/>
    <n v="2262.41"/>
    <x v="1"/>
  </r>
  <r>
    <x v="3"/>
    <x v="1"/>
    <x v="1"/>
    <n v="16024"/>
    <n v="145"/>
    <n v="65482.74"/>
    <n v="13870.12"/>
    <x v="3"/>
  </r>
  <r>
    <x v="3"/>
    <x v="1"/>
    <x v="1"/>
    <n v="16650"/>
    <n v="49"/>
    <n v="6146.49"/>
    <n v="3715.05"/>
    <x v="0"/>
  </r>
  <r>
    <x v="3"/>
    <x v="1"/>
    <x v="1"/>
    <n v="17892"/>
    <n v="104"/>
    <n v="15684.76"/>
    <n v="4080.12"/>
    <x v="4"/>
  </r>
  <r>
    <x v="3"/>
    <x v="1"/>
    <x v="1"/>
    <n v="18342"/>
    <n v="214"/>
    <n v="173626.04"/>
    <n v="47593.87"/>
    <x v="3"/>
  </r>
  <r>
    <x v="3"/>
    <x v="1"/>
    <x v="1"/>
    <n v="20177"/>
    <n v="69"/>
    <n v="7645.84"/>
    <n v="2636.63"/>
    <x v="5"/>
  </r>
  <r>
    <x v="3"/>
    <x v="1"/>
    <x v="1"/>
    <n v="21179"/>
    <n v="58"/>
    <n v="7104.46"/>
    <n v="3574.08"/>
    <x v="0"/>
  </r>
  <r>
    <x v="3"/>
    <x v="1"/>
    <x v="1"/>
    <n v="21260"/>
    <n v="80"/>
    <n v="15650.1"/>
    <n v="3884.13"/>
    <x v="4"/>
  </r>
  <r>
    <x v="3"/>
    <x v="1"/>
    <x v="1"/>
    <n v="22317"/>
    <n v="61"/>
    <n v="4830.4399999999996"/>
    <n v="1637"/>
    <x v="5"/>
  </r>
  <r>
    <x v="3"/>
    <x v="1"/>
    <x v="1"/>
    <n v="22940"/>
    <n v="720"/>
    <n v="98155.17"/>
    <n v="20155.25"/>
    <x v="2"/>
  </r>
  <r>
    <x v="3"/>
    <x v="1"/>
    <x v="1"/>
    <n v="23178"/>
    <n v="146"/>
    <n v="26386.45"/>
    <n v="5219.29"/>
    <x v="2"/>
  </r>
  <r>
    <x v="3"/>
    <x v="1"/>
    <x v="1"/>
    <n v="23600"/>
    <n v="1140"/>
    <n v="136913.24"/>
    <n v="29342.39"/>
    <x v="2"/>
  </r>
  <r>
    <x v="3"/>
    <x v="1"/>
    <x v="1"/>
    <n v="23756"/>
    <n v="62"/>
    <n v="12561.86"/>
    <n v="6670.64"/>
    <x v="1"/>
  </r>
  <r>
    <x v="3"/>
    <x v="1"/>
    <x v="1"/>
    <n v="24326"/>
    <n v="102"/>
    <n v="12790.49"/>
    <n v="2810.94"/>
    <x v="4"/>
  </r>
  <r>
    <x v="0"/>
    <x v="1"/>
    <x v="2"/>
    <n v="12184"/>
    <n v="72"/>
    <n v="10358.68"/>
    <n v="5615.9"/>
    <x v="0"/>
  </r>
  <r>
    <x v="0"/>
    <x v="1"/>
    <x v="2"/>
    <n v="12622"/>
    <n v="43"/>
    <n v="12671.01"/>
    <n v="6591.65"/>
    <x v="1"/>
  </r>
  <r>
    <x v="0"/>
    <x v="1"/>
    <x v="2"/>
    <n v="13527"/>
    <n v="576"/>
    <n v="84826.2"/>
    <n v="16209.05"/>
    <x v="2"/>
  </r>
  <r>
    <x v="0"/>
    <x v="1"/>
    <x v="2"/>
    <n v="13618"/>
    <n v="17"/>
    <n v="6838.28"/>
    <n v="3535.36"/>
    <x v="1"/>
  </r>
  <r>
    <x v="0"/>
    <x v="1"/>
    <x v="2"/>
    <n v="16024"/>
    <n v="293"/>
    <n v="118702.39999999999"/>
    <n v="28906.99"/>
    <x v="3"/>
  </r>
  <r>
    <x v="0"/>
    <x v="1"/>
    <x v="2"/>
    <n v="16650"/>
    <n v="48"/>
    <n v="6956.37"/>
    <n v="3286.65"/>
    <x v="0"/>
  </r>
  <r>
    <x v="0"/>
    <x v="1"/>
    <x v="2"/>
    <n v="17892"/>
    <n v="153"/>
    <n v="20400.8"/>
    <n v="6195.01"/>
    <x v="4"/>
  </r>
  <r>
    <x v="0"/>
    <x v="1"/>
    <x v="2"/>
    <n v="18342"/>
    <n v="130"/>
    <n v="120793.96"/>
    <n v="34856.49"/>
    <x v="3"/>
  </r>
  <r>
    <x v="0"/>
    <x v="1"/>
    <x v="2"/>
    <n v="20177"/>
    <n v="84"/>
    <n v="8866.41"/>
    <n v="3269.5"/>
    <x v="5"/>
  </r>
  <r>
    <x v="0"/>
    <x v="1"/>
    <x v="2"/>
    <n v="21179"/>
    <n v="47"/>
    <n v="6454.9"/>
    <n v="2875.88"/>
    <x v="0"/>
  </r>
  <r>
    <x v="0"/>
    <x v="1"/>
    <x v="2"/>
    <n v="21260"/>
    <n v="66"/>
    <n v="13182.32"/>
    <n v="3730.01"/>
    <x v="4"/>
  </r>
  <r>
    <x v="0"/>
    <x v="1"/>
    <x v="2"/>
    <n v="22317"/>
    <n v="84"/>
    <n v="7428.28"/>
    <n v="2388.14"/>
    <x v="5"/>
  </r>
  <r>
    <x v="0"/>
    <x v="1"/>
    <x v="2"/>
    <n v="22940"/>
    <n v="815"/>
    <n v="96791.69"/>
    <n v="20198.490000000002"/>
    <x v="2"/>
  </r>
  <r>
    <x v="0"/>
    <x v="1"/>
    <x v="2"/>
    <n v="23178"/>
    <n v="438"/>
    <n v="81771.69"/>
    <n v="13628.87"/>
    <x v="2"/>
  </r>
  <r>
    <x v="0"/>
    <x v="1"/>
    <x v="2"/>
    <n v="23600"/>
    <n v="1092"/>
    <n v="118222.92"/>
    <n v="29353.08"/>
    <x v="2"/>
  </r>
  <r>
    <x v="0"/>
    <x v="1"/>
    <x v="2"/>
    <n v="23756"/>
    <n v="139"/>
    <n v="29615.99"/>
    <n v="14970.01"/>
    <x v="1"/>
  </r>
  <r>
    <x v="0"/>
    <x v="1"/>
    <x v="2"/>
    <n v="24326"/>
    <n v="140"/>
    <n v="17994.73"/>
    <n v="4810.0600000000004"/>
    <x v="4"/>
  </r>
  <r>
    <x v="1"/>
    <x v="1"/>
    <x v="2"/>
    <n v="12184"/>
    <n v="33"/>
    <n v="3871.75"/>
    <n v="2133.77"/>
    <x v="0"/>
  </r>
  <r>
    <x v="1"/>
    <x v="1"/>
    <x v="2"/>
    <n v="12622"/>
    <n v="12"/>
    <n v="3620.46"/>
    <n v="1714.75"/>
    <x v="1"/>
  </r>
  <r>
    <x v="1"/>
    <x v="1"/>
    <x v="2"/>
    <n v="13527"/>
    <n v="199"/>
    <n v="29708.61"/>
    <n v="5563.05"/>
    <x v="2"/>
  </r>
  <r>
    <x v="1"/>
    <x v="1"/>
    <x v="2"/>
    <n v="13618"/>
    <n v="5"/>
    <n v="1655.6"/>
    <n v="714.72"/>
    <x v="1"/>
  </r>
  <r>
    <x v="1"/>
    <x v="1"/>
    <x v="2"/>
    <n v="16024"/>
    <n v="178"/>
    <n v="71291.820000000007"/>
    <n v="20989.86"/>
    <x v="3"/>
  </r>
  <r>
    <x v="1"/>
    <x v="1"/>
    <x v="2"/>
    <n v="16650"/>
    <n v="27"/>
    <n v="3696.86"/>
    <n v="2284.71"/>
    <x v="0"/>
  </r>
  <r>
    <x v="1"/>
    <x v="1"/>
    <x v="2"/>
    <n v="17892"/>
    <n v="65"/>
    <n v="9670.16"/>
    <n v="2427.33"/>
    <x v="4"/>
  </r>
  <r>
    <x v="1"/>
    <x v="1"/>
    <x v="2"/>
    <n v="18342"/>
    <n v="20"/>
    <n v="18680.05"/>
    <n v="5025.34"/>
    <x v="3"/>
  </r>
  <r>
    <x v="1"/>
    <x v="1"/>
    <x v="2"/>
    <n v="20177"/>
    <n v="35"/>
    <n v="3536.66"/>
    <n v="1416.91"/>
    <x v="5"/>
  </r>
  <r>
    <x v="1"/>
    <x v="1"/>
    <x v="2"/>
    <n v="21179"/>
    <n v="27"/>
    <n v="3902.13"/>
    <n v="2105.17"/>
    <x v="0"/>
  </r>
  <r>
    <x v="1"/>
    <x v="1"/>
    <x v="2"/>
    <n v="21260"/>
    <n v="34"/>
    <n v="6885.96"/>
    <n v="1789.76"/>
    <x v="4"/>
  </r>
  <r>
    <x v="1"/>
    <x v="1"/>
    <x v="2"/>
    <n v="22317"/>
    <n v="12"/>
    <n v="1265.7"/>
    <n v="654.53"/>
    <x v="5"/>
  </r>
  <r>
    <x v="1"/>
    <x v="1"/>
    <x v="2"/>
    <n v="22940"/>
    <n v="147"/>
    <n v="20255.650000000001"/>
    <n v="4875.75"/>
    <x v="2"/>
  </r>
  <r>
    <x v="1"/>
    <x v="1"/>
    <x v="2"/>
    <n v="23178"/>
    <n v="119"/>
    <n v="20218.599999999999"/>
    <n v="5986.51"/>
    <x v="2"/>
  </r>
  <r>
    <x v="1"/>
    <x v="1"/>
    <x v="2"/>
    <n v="23600"/>
    <n v="459"/>
    <n v="53589.33"/>
    <n v="14632.04"/>
    <x v="2"/>
  </r>
  <r>
    <x v="1"/>
    <x v="1"/>
    <x v="2"/>
    <n v="23756"/>
    <n v="50"/>
    <n v="7699.87"/>
    <n v="2863.79"/>
    <x v="1"/>
  </r>
  <r>
    <x v="1"/>
    <x v="1"/>
    <x v="2"/>
    <n v="24326"/>
    <n v="21"/>
    <n v="2983.8"/>
    <n v="969.63"/>
    <x v="4"/>
  </r>
  <r>
    <x v="2"/>
    <x v="1"/>
    <x v="2"/>
    <n v="12184"/>
    <n v="59"/>
    <n v="7132.03"/>
    <n v="5071.6499999999996"/>
    <x v="0"/>
  </r>
  <r>
    <x v="2"/>
    <x v="1"/>
    <x v="2"/>
    <n v="12622"/>
    <n v="58"/>
    <n v="18921.57"/>
    <n v="9236.16"/>
    <x v="1"/>
  </r>
  <r>
    <x v="2"/>
    <x v="1"/>
    <x v="2"/>
    <n v="13527"/>
    <n v="188"/>
    <n v="31250.32"/>
    <n v="8756.5300000000007"/>
    <x v="2"/>
  </r>
  <r>
    <x v="2"/>
    <x v="1"/>
    <x v="2"/>
    <n v="13618"/>
    <n v="30"/>
    <n v="10884.8"/>
    <n v="5970.49"/>
    <x v="1"/>
  </r>
  <r>
    <x v="2"/>
    <x v="1"/>
    <x v="2"/>
    <n v="16024"/>
    <n v="152"/>
    <n v="68095.539999999994"/>
    <n v="17569.13"/>
    <x v="3"/>
  </r>
  <r>
    <x v="2"/>
    <x v="1"/>
    <x v="2"/>
    <n v="16650"/>
    <n v="42"/>
    <n v="7517.65"/>
    <n v="5386.6"/>
    <x v="0"/>
  </r>
  <r>
    <x v="2"/>
    <x v="1"/>
    <x v="2"/>
    <n v="17892"/>
    <n v="126"/>
    <n v="16728.55"/>
    <n v="5682.75"/>
    <x v="4"/>
  </r>
  <r>
    <x v="2"/>
    <x v="1"/>
    <x v="2"/>
    <n v="18342"/>
    <n v="98"/>
    <n v="84941.56"/>
    <n v="26378.99"/>
    <x v="3"/>
  </r>
  <r>
    <x v="2"/>
    <x v="1"/>
    <x v="2"/>
    <n v="20177"/>
    <n v="52"/>
    <n v="4531.88"/>
    <n v="2091.11"/>
    <x v="5"/>
  </r>
  <r>
    <x v="2"/>
    <x v="1"/>
    <x v="2"/>
    <n v="21179"/>
    <n v="64"/>
    <n v="6489.01"/>
    <n v="3942.77"/>
    <x v="0"/>
  </r>
  <r>
    <x v="2"/>
    <x v="1"/>
    <x v="2"/>
    <n v="21260"/>
    <n v="44"/>
    <n v="9229.6200000000008"/>
    <n v="3129.47"/>
    <x v="4"/>
  </r>
  <r>
    <x v="2"/>
    <x v="1"/>
    <x v="2"/>
    <n v="22317"/>
    <n v="19"/>
    <n v="1455.4"/>
    <n v="733.92"/>
    <x v="5"/>
  </r>
  <r>
    <x v="2"/>
    <x v="1"/>
    <x v="2"/>
    <n v="22940"/>
    <n v="578"/>
    <n v="81401.570000000007"/>
    <n v="22017.759999999998"/>
    <x v="2"/>
  </r>
  <r>
    <x v="2"/>
    <x v="1"/>
    <x v="2"/>
    <n v="23178"/>
    <n v="134"/>
    <n v="23659.78"/>
    <n v="6568.42"/>
    <x v="2"/>
  </r>
  <r>
    <x v="2"/>
    <x v="1"/>
    <x v="2"/>
    <n v="23600"/>
    <n v="911"/>
    <n v="97973.05"/>
    <n v="28455.74"/>
    <x v="2"/>
  </r>
  <r>
    <x v="2"/>
    <x v="1"/>
    <x v="2"/>
    <n v="23756"/>
    <n v="61"/>
    <n v="9707.99"/>
    <n v="4882.91"/>
    <x v="1"/>
  </r>
  <r>
    <x v="2"/>
    <x v="1"/>
    <x v="2"/>
    <n v="24326"/>
    <n v="115"/>
    <n v="16694.75"/>
    <n v="4718.71"/>
    <x v="4"/>
  </r>
  <r>
    <x v="3"/>
    <x v="1"/>
    <x v="2"/>
    <n v="12184"/>
    <n v="36"/>
    <n v="4122.7299999999996"/>
    <n v="2045.3"/>
    <x v="0"/>
  </r>
  <r>
    <x v="3"/>
    <x v="1"/>
    <x v="2"/>
    <n v="12622"/>
    <n v="29"/>
    <n v="8700.67"/>
    <n v="4065.13"/>
    <x v="1"/>
  </r>
  <r>
    <x v="3"/>
    <x v="1"/>
    <x v="2"/>
    <n v="13527"/>
    <n v="295"/>
    <n v="46930.36"/>
    <n v="10563.74"/>
    <x v="2"/>
  </r>
  <r>
    <x v="3"/>
    <x v="1"/>
    <x v="2"/>
    <n v="13618"/>
    <n v="9"/>
    <n v="3817.35"/>
    <n v="1847.23"/>
    <x v="1"/>
  </r>
  <r>
    <x v="3"/>
    <x v="1"/>
    <x v="2"/>
    <n v="16024"/>
    <n v="193"/>
    <n v="74481.509999999995"/>
    <n v="18626.650000000001"/>
    <x v="3"/>
  </r>
  <r>
    <x v="3"/>
    <x v="1"/>
    <x v="2"/>
    <n v="16650"/>
    <n v="32"/>
    <n v="4527.97"/>
    <n v="2452.6"/>
    <x v="0"/>
  </r>
  <r>
    <x v="3"/>
    <x v="1"/>
    <x v="2"/>
    <n v="17892"/>
    <n v="44"/>
    <n v="6232.23"/>
    <n v="1515.27"/>
    <x v="4"/>
  </r>
  <r>
    <x v="3"/>
    <x v="1"/>
    <x v="2"/>
    <n v="18342"/>
    <n v="101"/>
    <n v="85944.85"/>
    <n v="21188.57"/>
    <x v="3"/>
  </r>
  <r>
    <x v="3"/>
    <x v="1"/>
    <x v="2"/>
    <n v="20177"/>
    <n v="104"/>
    <n v="10001.73"/>
    <n v="3599.75"/>
    <x v="5"/>
  </r>
  <r>
    <x v="3"/>
    <x v="1"/>
    <x v="2"/>
    <n v="21179"/>
    <n v="60"/>
    <n v="8059.75"/>
    <n v="4507.87"/>
    <x v="0"/>
  </r>
  <r>
    <x v="3"/>
    <x v="1"/>
    <x v="2"/>
    <n v="21260"/>
    <n v="67"/>
    <n v="11463.41"/>
    <n v="3015.56"/>
    <x v="4"/>
  </r>
  <r>
    <x v="3"/>
    <x v="1"/>
    <x v="2"/>
    <n v="22317"/>
    <n v="71"/>
    <n v="5652.36"/>
    <n v="2427.7800000000002"/>
    <x v="5"/>
  </r>
  <r>
    <x v="3"/>
    <x v="1"/>
    <x v="2"/>
    <n v="22940"/>
    <n v="297"/>
    <n v="36603.35"/>
    <n v="6637.21"/>
    <x v="2"/>
  </r>
  <r>
    <x v="3"/>
    <x v="1"/>
    <x v="2"/>
    <n v="23178"/>
    <n v="111"/>
    <n v="19762.11"/>
    <n v="3720.23"/>
    <x v="2"/>
  </r>
  <r>
    <x v="3"/>
    <x v="1"/>
    <x v="2"/>
    <n v="23600"/>
    <n v="1086"/>
    <n v="125239.4"/>
    <n v="30388.77"/>
    <x v="2"/>
  </r>
  <r>
    <x v="3"/>
    <x v="1"/>
    <x v="2"/>
    <n v="23756"/>
    <n v="144"/>
    <n v="29784.080000000002"/>
    <n v="14558.38"/>
    <x v="1"/>
  </r>
  <r>
    <x v="3"/>
    <x v="1"/>
    <x v="2"/>
    <n v="24326"/>
    <n v="60"/>
    <n v="8829.08"/>
    <n v="2076.63"/>
    <x v="4"/>
  </r>
  <r>
    <x v="0"/>
    <x v="1"/>
    <x v="3"/>
    <n v="12184"/>
    <n v="84"/>
    <n v="9804.8700000000008"/>
    <n v="4347.79"/>
    <x v="0"/>
  </r>
  <r>
    <x v="0"/>
    <x v="1"/>
    <x v="3"/>
    <n v="12622"/>
    <n v="52"/>
    <n v="13098.6"/>
    <n v="5561.48"/>
    <x v="1"/>
  </r>
  <r>
    <x v="0"/>
    <x v="1"/>
    <x v="3"/>
    <n v="13527"/>
    <n v="510"/>
    <n v="85819.24"/>
    <n v="13773.96"/>
    <x v="2"/>
  </r>
  <r>
    <x v="0"/>
    <x v="1"/>
    <x v="3"/>
    <n v="13618"/>
    <n v="24"/>
    <n v="9833.7800000000007"/>
    <n v="5215.57"/>
    <x v="1"/>
  </r>
  <r>
    <x v="0"/>
    <x v="1"/>
    <x v="3"/>
    <n v="16024"/>
    <n v="280"/>
    <n v="106529.8"/>
    <n v="28855.55"/>
    <x v="3"/>
  </r>
  <r>
    <x v="0"/>
    <x v="1"/>
    <x v="3"/>
    <n v="16650"/>
    <n v="33"/>
    <n v="4085.14"/>
    <n v="2233.31"/>
    <x v="0"/>
  </r>
  <r>
    <x v="0"/>
    <x v="1"/>
    <x v="3"/>
    <n v="17892"/>
    <n v="191"/>
    <n v="23761.74"/>
    <n v="6005.95"/>
    <x v="4"/>
  </r>
  <r>
    <x v="0"/>
    <x v="1"/>
    <x v="3"/>
    <n v="18342"/>
    <n v="117"/>
    <n v="106478.44"/>
    <n v="27871.040000000001"/>
    <x v="3"/>
  </r>
  <r>
    <x v="0"/>
    <x v="1"/>
    <x v="3"/>
    <n v="20177"/>
    <n v="134"/>
    <n v="15018.2"/>
    <n v="5910.73"/>
    <x v="5"/>
  </r>
  <r>
    <x v="0"/>
    <x v="1"/>
    <x v="3"/>
    <n v="21179"/>
    <n v="71"/>
    <n v="7649.39"/>
    <n v="3689.92"/>
    <x v="0"/>
  </r>
  <r>
    <x v="0"/>
    <x v="1"/>
    <x v="3"/>
    <n v="21260"/>
    <n v="57"/>
    <n v="9784.6"/>
    <n v="2470.21"/>
    <x v="4"/>
  </r>
  <r>
    <x v="0"/>
    <x v="1"/>
    <x v="3"/>
    <n v="22317"/>
    <n v="62"/>
    <n v="5639.95"/>
    <n v="1891.17"/>
    <x v="5"/>
  </r>
  <r>
    <x v="0"/>
    <x v="1"/>
    <x v="3"/>
    <n v="22940"/>
    <n v="723"/>
    <n v="93465.89"/>
    <n v="20442.21"/>
    <x v="2"/>
  </r>
  <r>
    <x v="0"/>
    <x v="1"/>
    <x v="3"/>
    <n v="23178"/>
    <n v="193"/>
    <n v="31234.87"/>
    <n v="5688.13"/>
    <x v="2"/>
  </r>
  <r>
    <x v="0"/>
    <x v="1"/>
    <x v="3"/>
    <n v="23600"/>
    <n v="789"/>
    <n v="79370.92"/>
    <n v="18835.93"/>
    <x v="2"/>
  </r>
  <r>
    <x v="0"/>
    <x v="1"/>
    <x v="3"/>
    <n v="23756"/>
    <n v="149"/>
    <n v="30186.95"/>
    <n v="14835.1"/>
    <x v="1"/>
  </r>
  <r>
    <x v="0"/>
    <x v="1"/>
    <x v="3"/>
    <n v="24326"/>
    <n v="160"/>
    <n v="24461.5"/>
    <n v="6336.92"/>
    <x v="4"/>
  </r>
  <r>
    <x v="1"/>
    <x v="1"/>
    <x v="3"/>
    <n v="12184"/>
    <n v="31"/>
    <n v="3186.42"/>
    <n v="1595.11"/>
    <x v="0"/>
  </r>
  <r>
    <x v="1"/>
    <x v="1"/>
    <x v="3"/>
    <n v="12622"/>
    <n v="8"/>
    <n v="1780.32"/>
    <n v="652.94000000000005"/>
    <x v="1"/>
  </r>
  <r>
    <x v="1"/>
    <x v="1"/>
    <x v="3"/>
    <n v="13527"/>
    <n v="369"/>
    <n v="54034.89"/>
    <n v="8137.68"/>
    <x v="2"/>
  </r>
  <r>
    <x v="1"/>
    <x v="1"/>
    <x v="3"/>
    <n v="13618"/>
    <n v="9"/>
    <n v="3693.25"/>
    <n v="1810.04"/>
    <x v="1"/>
  </r>
  <r>
    <x v="1"/>
    <x v="1"/>
    <x v="3"/>
    <n v="16024"/>
    <n v="187"/>
    <n v="85229.43"/>
    <n v="27309.56"/>
    <x v="3"/>
  </r>
  <r>
    <x v="1"/>
    <x v="1"/>
    <x v="3"/>
    <n v="16650"/>
    <n v="22"/>
    <n v="3634.67"/>
    <n v="1929.65"/>
    <x v="0"/>
  </r>
  <r>
    <x v="1"/>
    <x v="1"/>
    <x v="3"/>
    <n v="17892"/>
    <n v="110"/>
    <n v="16811.95"/>
    <n v="3549.47"/>
    <x v="4"/>
  </r>
  <r>
    <x v="1"/>
    <x v="1"/>
    <x v="3"/>
    <n v="18342"/>
    <n v="17"/>
    <n v="13260.94"/>
    <n v="3837.9"/>
    <x v="3"/>
  </r>
  <r>
    <x v="1"/>
    <x v="1"/>
    <x v="3"/>
    <n v="20177"/>
    <n v="23"/>
    <n v="2477.0700000000002"/>
    <n v="858.98"/>
    <x v="5"/>
  </r>
  <r>
    <x v="1"/>
    <x v="1"/>
    <x v="3"/>
    <n v="21179"/>
    <n v="31"/>
    <n v="4458.92"/>
    <n v="2633.94"/>
    <x v="0"/>
  </r>
  <r>
    <x v="1"/>
    <x v="1"/>
    <x v="3"/>
    <n v="21260"/>
    <n v="29"/>
    <n v="5032.95"/>
    <n v="1246.3699999999999"/>
    <x v="4"/>
  </r>
  <r>
    <x v="1"/>
    <x v="1"/>
    <x v="3"/>
    <n v="22317"/>
    <n v="19"/>
    <n v="1616.92"/>
    <n v="717.63"/>
    <x v="5"/>
  </r>
  <r>
    <x v="1"/>
    <x v="1"/>
    <x v="3"/>
    <n v="22940"/>
    <n v="224"/>
    <n v="31390.880000000001"/>
    <n v="8924.7199999999993"/>
    <x v="2"/>
  </r>
  <r>
    <x v="1"/>
    <x v="1"/>
    <x v="3"/>
    <n v="23178"/>
    <n v="330"/>
    <n v="57850.95"/>
    <n v="12793.52"/>
    <x v="2"/>
  </r>
  <r>
    <x v="1"/>
    <x v="1"/>
    <x v="3"/>
    <n v="23600"/>
    <n v="429"/>
    <n v="44153.120000000003"/>
    <n v="12121.43"/>
    <x v="2"/>
  </r>
  <r>
    <x v="1"/>
    <x v="1"/>
    <x v="3"/>
    <n v="23756"/>
    <n v="73"/>
    <n v="14328.62"/>
    <n v="6099.86"/>
    <x v="1"/>
  </r>
  <r>
    <x v="1"/>
    <x v="1"/>
    <x v="3"/>
    <n v="24326"/>
    <n v="17"/>
    <n v="2490.54"/>
    <n v="694.02"/>
    <x v="4"/>
  </r>
  <r>
    <x v="2"/>
    <x v="1"/>
    <x v="3"/>
    <n v="12184"/>
    <n v="83"/>
    <n v="12235.27"/>
    <n v="7415.44"/>
    <x v="0"/>
  </r>
  <r>
    <x v="2"/>
    <x v="1"/>
    <x v="3"/>
    <n v="12622"/>
    <n v="21"/>
    <n v="5002.41"/>
    <n v="3220.01"/>
    <x v="1"/>
  </r>
  <r>
    <x v="2"/>
    <x v="1"/>
    <x v="3"/>
    <n v="13527"/>
    <n v="460"/>
    <n v="71734.81"/>
    <n v="17761.189999999999"/>
    <x v="2"/>
  </r>
  <r>
    <x v="2"/>
    <x v="1"/>
    <x v="3"/>
    <n v="13618"/>
    <n v="23"/>
    <n v="9111.85"/>
    <n v="5325.91"/>
    <x v="1"/>
  </r>
  <r>
    <x v="2"/>
    <x v="1"/>
    <x v="3"/>
    <n v="16024"/>
    <n v="128"/>
    <n v="61663"/>
    <n v="19928.830000000002"/>
    <x v="3"/>
  </r>
  <r>
    <x v="2"/>
    <x v="1"/>
    <x v="3"/>
    <n v="16650"/>
    <n v="24"/>
    <n v="4491.62"/>
    <n v="2606.34"/>
    <x v="0"/>
  </r>
  <r>
    <x v="2"/>
    <x v="1"/>
    <x v="3"/>
    <n v="17892"/>
    <n v="132"/>
    <n v="16966.5"/>
    <n v="4811.03"/>
    <x v="4"/>
  </r>
  <r>
    <x v="2"/>
    <x v="1"/>
    <x v="3"/>
    <n v="18342"/>
    <n v="125"/>
    <n v="106503.69"/>
    <n v="26688.89"/>
    <x v="3"/>
  </r>
  <r>
    <x v="2"/>
    <x v="1"/>
    <x v="3"/>
    <n v="20177"/>
    <n v="64"/>
    <n v="6784.93"/>
    <n v="3105.95"/>
    <x v="5"/>
  </r>
  <r>
    <x v="2"/>
    <x v="1"/>
    <x v="3"/>
    <n v="21179"/>
    <n v="69"/>
    <n v="10026.01"/>
    <n v="6158.75"/>
    <x v="0"/>
  </r>
  <r>
    <x v="2"/>
    <x v="1"/>
    <x v="3"/>
    <n v="21260"/>
    <n v="43"/>
    <n v="8046.98"/>
    <n v="2844.94"/>
    <x v="4"/>
  </r>
  <r>
    <x v="2"/>
    <x v="1"/>
    <x v="3"/>
    <n v="22317"/>
    <n v="41"/>
    <n v="3975.83"/>
    <n v="1586.65"/>
    <x v="5"/>
  </r>
  <r>
    <x v="2"/>
    <x v="1"/>
    <x v="3"/>
    <n v="22940"/>
    <n v="524"/>
    <n v="66364.19"/>
    <n v="16232.24"/>
    <x v="2"/>
  </r>
  <r>
    <x v="2"/>
    <x v="1"/>
    <x v="3"/>
    <n v="23178"/>
    <n v="164"/>
    <n v="27040.18"/>
    <n v="7134.13"/>
    <x v="2"/>
  </r>
  <r>
    <x v="2"/>
    <x v="1"/>
    <x v="3"/>
    <n v="23600"/>
    <n v="764"/>
    <n v="92424.25"/>
    <n v="25251.32"/>
    <x v="2"/>
  </r>
  <r>
    <x v="2"/>
    <x v="1"/>
    <x v="3"/>
    <n v="23756"/>
    <n v="58"/>
    <n v="9165.74"/>
    <n v="5673"/>
    <x v="1"/>
  </r>
  <r>
    <x v="2"/>
    <x v="1"/>
    <x v="3"/>
    <n v="24326"/>
    <n v="131"/>
    <n v="18479.080000000002"/>
    <n v="5432.92"/>
    <x v="4"/>
  </r>
  <r>
    <x v="3"/>
    <x v="1"/>
    <x v="3"/>
    <n v="12184"/>
    <n v="91"/>
    <n v="12390.32"/>
    <n v="8005.77"/>
    <x v="0"/>
  </r>
  <r>
    <x v="3"/>
    <x v="1"/>
    <x v="3"/>
    <n v="12622"/>
    <n v="47"/>
    <n v="12749.34"/>
    <n v="5790.77"/>
    <x v="1"/>
  </r>
  <r>
    <x v="3"/>
    <x v="1"/>
    <x v="3"/>
    <n v="13527"/>
    <n v="628"/>
    <n v="99756.7"/>
    <n v="21711.15"/>
    <x v="2"/>
  </r>
  <r>
    <x v="3"/>
    <x v="1"/>
    <x v="3"/>
    <n v="13618"/>
    <n v="12"/>
    <n v="4808.49"/>
    <n v="2394.88"/>
    <x v="1"/>
  </r>
  <r>
    <x v="3"/>
    <x v="1"/>
    <x v="3"/>
    <n v="16024"/>
    <n v="242"/>
    <n v="106349.51"/>
    <n v="29736.45"/>
    <x v="3"/>
  </r>
  <r>
    <x v="3"/>
    <x v="1"/>
    <x v="3"/>
    <n v="16650"/>
    <n v="38"/>
    <n v="5087.8500000000004"/>
    <n v="2934.9"/>
    <x v="0"/>
  </r>
  <r>
    <x v="3"/>
    <x v="1"/>
    <x v="3"/>
    <n v="17892"/>
    <n v="73"/>
    <n v="9575.26"/>
    <n v="2652.26"/>
    <x v="4"/>
  </r>
  <r>
    <x v="3"/>
    <x v="1"/>
    <x v="3"/>
    <n v="18342"/>
    <n v="214"/>
    <n v="164376.14000000001"/>
    <n v="36841.46"/>
    <x v="3"/>
  </r>
  <r>
    <x v="3"/>
    <x v="1"/>
    <x v="3"/>
    <n v="20177"/>
    <n v="71"/>
    <n v="7873.64"/>
    <n v="3429.73"/>
    <x v="5"/>
  </r>
  <r>
    <x v="3"/>
    <x v="1"/>
    <x v="3"/>
    <n v="21179"/>
    <n v="58"/>
    <n v="7881.77"/>
    <n v="5038.6899999999996"/>
    <x v="0"/>
  </r>
  <r>
    <x v="3"/>
    <x v="1"/>
    <x v="3"/>
    <n v="21260"/>
    <n v="47"/>
    <n v="8075.46"/>
    <n v="2171.77"/>
    <x v="4"/>
  </r>
  <r>
    <x v="3"/>
    <x v="1"/>
    <x v="3"/>
    <n v="22317"/>
    <n v="82"/>
    <n v="8014.94"/>
    <n v="3371.18"/>
    <x v="5"/>
  </r>
  <r>
    <x v="3"/>
    <x v="1"/>
    <x v="3"/>
    <n v="22940"/>
    <n v="394"/>
    <n v="54091.58"/>
    <n v="12206.44"/>
    <x v="2"/>
  </r>
  <r>
    <x v="3"/>
    <x v="1"/>
    <x v="3"/>
    <n v="23178"/>
    <n v="189"/>
    <n v="34830.949999999997"/>
    <n v="7696.48"/>
    <x v="2"/>
  </r>
  <r>
    <x v="3"/>
    <x v="1"/>
    <x v="3"/>
    <n v="23600"/>
    <n v="1243"/>
    <n v="132298.46"/>
    <n v="29758.65"/>
    <x v="2"/>
  </r>
  <r>
    <x v="3"/>
    <x v="1"/>
    <x v="3"/>
    <n v="23756"/>
    <n v="96"/>
    <n v="18969.73"/>
    <n v="9480.5300000000007"/>
    <x v="1"/>
  </r>
  <r>
    <x v="3"/>
    <x v="1"/>
    <x v="3"/>
    <n v="24326"/>
    <n v="56"/>
    <n v="8524"/>
    <n v="2286.7399999999998"/>
    <x v="4"/>
  </r>
  <r>
    <x v="0"/>
    <x v="1"/>
    <x v="4"/>
    <n v="12184"/>
    <n v="94"/>
    <n v="11580.79"/>
    <n v="5961.42"/>
    <x v="0"/>
  </r>
  <r>
    <x v="0"/>
    <x v="1"/>
    <x v="4"/>
    <n v="12622"/>
    <n v="45"/>
    <n v="11867.46"/>
    <n v="5943.74"/>
    <x v="1"/>
  </r>
  <r>
    <x v="0"/>
    <x v="1"/>
    <x v="4"/>
    <n v="13527"/>
    <n v="332"/>
    <n v="51597.33"/>
    <n v="11191"/>
    <x v="2"/>
  </r>
  <r>
    <x v="0"/>
    <x v="1"/>
    <x v="4"/>
    <n v="13618"/>
    <n v="22"/>
    <n v="9946.69"/>
    <n v="4016.68"/>
    <x v="1"/>
  </r>
  <r>
    <x v="0"/>
    <x v="1"/>
    <x v="4"/>
    <n v="16024"/>
    <n v="259"/>
    <n v="116036.84"/>
    <n v="35195.050000000003"/>
    <x v="3"/>
  </r>
  <r>
    <x v="0"/>
    <x v="1"/>
    <x v="4"/>
    <n v="16650"/>
    <n v="80"/>
    <n v="13970.14"/>
    <n v="7597.14"/>
    <x v="0"/>
  </r>
  <r>
    <x v="0"/>
    <x v="1"/>
    <x v="4"/>
    <n v="17892"/>
    <n v="134"/>
    <n v="20819.12"/>
    <n v="6856.53"/>
    <x v="4"/>
  </r>
  <r>
    <x v="0"/>
    <x v="1"/>
    <x v="4"/>
    <n v="18342"/>
    <n v="179"/>
    <n v="147049.69"/>
    <n v="41751.06"/>
    <x v="3"/>
  </r>
  <r>
    <x v="0"/>
    <x v="1"/>
    <x v="4"/>
    <n v="20177"/>
    <n v="55"/>
    <n v="5380.49"/>
    <n v="2035.74"/>
    <x v="5"/>
  </r>
  <r>
    <x v="0"/>
    <x v="1"/>
    <x v="4"/>
    <n v="21179"/>
    <n v="49"/>
    <n v="5036.78"/>
    <n v="2066.83"/>
    <x v="0"/>
  </r>
  <r>
    <x v="0"/>
    <x v="1"/>
    <x v="4"/>
    <n v="21260"/>
    <n v="111"/>
    <n v="20016.8"/>
    <n v="5734.14"/>
    <x v="4"/>
  </r>
  <r>
    <x v="0"/>
    <x v="1"/>
    <x v="4"/>
    <n v="22317"/>
    <n v="129"/>
    <n v="10110.23"/>
    <n v="4062.76"/>
    <x v="5"/>
  </r>
  <r>
    <x v="0"/>
    <x v="1"/>
    <x v="4"/>
    <n v="22940"/>
    <n v="884"/>
    <n v="107521.93"/>
    <n v="21261.32"/>
    <x v="2"/>
  </r>
  <r>
    <x v="0"/>
    <x v="1"/>
    <x v="4"/>
    <n v="23178"/>
    <n v="176"/>
    <n v="31446.6"/>
    <n v="6261.79"/>
    <x v="2"/>
  </r>
  <r>
    <x v="0"/>
    <x v="1"/>
    <x v="4"/>
    <n v="23600"/>
    <n v="1409"/>
    <n v="155185.82999999999"/>
    <n v="32283.25"/>
    <x v="2"/>
  </r>
  <r>
    <x v="0"/>
    <x v="1"/>
    <x v="4"/>
    <n v="23756"/>
    <n v="125"/>
    <n v="25360"/>
    <n v="13684.28"/>
    <x v="1"/>
  </r>
  <r>
    <x v="0"/>
    <x v="1"/>
    <x v="4"/>
    <n v="24326"/>
    <n v="178"/>
    <n v="23132.69"/>
    <n v="7369.95"/>
    <x v="4"/>
  </r>
  <r>
    <x v="1"/>
    <x v="1"/>
    <x v="4"/>
    <n v="12184"/>
    <n v="15"/>
    <n v="1521.26"/>
    <n v="740.69"/>
    <x v="0"/>
  </r>
  <r>
    <x v="1"/>
    <x v="1"/>
    <x v="4"/>
    <n v="12622"/>
    <n v="16"/>
    <n v="4389.5"/>
    <n v="1614.44"/>
    <x v="1"/>
  </r>
  <r>
    <x v="1"/>
    <x v="1"/>
    <x v="4"/>
    <n v="13527"/>
    <n v="232"/>
    <n v="37587.440000000002"/>
    <n v="7386.88"/>
    <x v="2"/>
  </r>
  <r>
    <x v="1"/>
    <x v="1"/>
    <x v="4"/>
    <n v="13618"/>
    <n v="9"/>
    <n v="3658.86"/>
    <n v="1772.5"/>
    <x v="1"/>
  </r>
  <r>
    <x v="1"/>
    <x v="1"/>
    <x v="4"/>
    <n v="16024"/>
    <n v="201"/>
    <n v="91535.53"/>
    <n v="25177.34"/>
    <x v="3"/>
  </r>
  <r>
    <x v="1"/>
    <x v="1"/>
    <x v="4"/>
    <n v="16650"/>
    <n v="32"/>
    <n v="4512.0600000000004"/>
    <n v="2517.83"/>
    <x v="0"/>
  </r>
  <r>
    <x v="1"/>
    <x v="1"/>
    <x v="4"/>
    <n v="17892"/>
    <n v="59"/>
    <n v="7383.01"/>
    <n v="1544.7"/>
    <x v="4"/>
  </r>
  <r>
    <x v="1"/>
    <x v="1"/>
    <x v="4"/>
    <n v="18342"/>
    <n v="13"/>
    <n v="9906.67"/>
    <n v="2629.09"/>
    <x v="3"/>
  </r>
  <r>
    <x v="1"/>
    <x v="1"/>
    <x v="4"/>
    <n v="20177"/>
    <n v="27"/>
    <n v="3052.39"/>
    <n v="1360.77"/>
    <x v="5"/>
  </r>
  <r>
    <x v="1"/>
    <x v="1"/>
    <x v="4"/>
    <n v="21179"/>
    <n v="52"/>
    <n v="7076.66"/>
    <n v="4314.6400000000003"/>
    <x v="0"/>
  </r>
  <r>
    <x v="1"/>
    <x v="1"/>
    <x v="4"/>
    <n v="21260"/>
    <n v="26"/>
    <n v="5371.05"/>
    <n v="1152.76"/>
    <x v="4"/>
  </r>
  <r>
    <x v="1"/>
    <x v="1"/>
    <x v="4"/>
    <n v="22317"/>
    <n v="10"/>
    <n v="787.65"/>
    <n v="388.97"/>
    <x v="5"/>
  </r>
  <r>
    <x v="1"/>
    <x v="1"/>
    <x v="4"/>
    <n v="22940"/>
    <n v="130"/>
    <n v="16856.39"/>
    <n v="4926.71"/>
    <x v="2"/>
  </r>
  <r>
    <x v="1"/>
    <x v="1"/>
    <x v="4"/>
    <n v="23178"/>
    <n v="197"/>
    <n v="38583.440000000002"/>
    <n v="10080.42"/>
    <x v="2"/>
  </r>
  <r>
    <x v="1"/>
    <x v="1"/>
    <x v="4"/>
    <n v="23600"/>
    <n v="605"/>
    <n v="68945.88"/>
    <n v="21005.35"/>
    <x v="2"/>
  </r>
  <r>
    <x v="1"/>
    <x v="1"/>
    <x v="4"/>
    <n v="23756"/>
    <n v="75"/>
    <n v="13497.26"/>
    <n v="5884.1"/>
    <x v="1"/>
  </r>
  <r>
    <x v="1"/>
    <x v="1"/>
    <x v="4"/>
    <n v="24326"/>
    <n v="41"/>
    <n v="6036.87"/>
    <n v="1964.83"/>
    <x v="4"/>
  </r>
  <r>
    <x v="2"/>
    <x v="1"/>
    <x v="4"/>
    <n v="12184"/>
    <n v="51"/>
    <n v="7647.18"/>
    <n v="4646.6400000000003"/>
    <x v="0"/>
  </r>
  <r>
    <x v="2"/>
    <x v="1"/>
    <x v="4"/>
    <n v="12622"/>
    <n v="41"/>
    <n v="11071.94"/>
    <n v="6499.91"/>
    <x v="1"/>
  </r>
  <r>
    <x v="2"/>
    <x v="1"/>
    <x v="4"/>
    <n v="13527"/>
    <n v="505"/>
    <n v="80634.02"/>
    <n v="19921.61"/>
    <x v="2"/>
  </r>
  <r>
    <x v="2"/>
    <x v="1"/>
    <x v="4"/>
    <n v="13618"/>
    <n v="24"/>
    <n v="9190.2900000000009"/>
    <n v="4789.04"/>
    <x v="1"/>
  </r>
  <r>
    <x v="2"/>
    <x v="1"/>
    <x v="4"/>
    <n v="16024"/>
    <n v="307"/>
    <n v="120551.69"/>
    <n v="35081.089999999997"/>
    <x v="3"/>
  </r>
  <r>
    <x v="2"/>
    <x v="1"/>
    <x v="4"/>
    <n v="16650"/>
    <n v="44"/>
    <n v="7091.49"/>
    <n v="4161.76"/>
    <x v="0"/>
  </r>
  <r>
    <x v="2"/>
    <x v="1"/>
    <x v="4"/>
    <n v="17892"/>
    <n v="70"/>
    <n v="10243.61"/>
    <n v="3236.12"/>
    <x v="4"/>
  </r>
  <r>
    <x v="2"/>
    <x v="1"/>
    <x v="4"/>
    <n v="18342"/>
    <n v="175"/>
    <n v="158756.38"/>
    <n v="41773.050000000003"/>
    <x v="3"/>
  </r>
  <r>
    <x v="2"/>
    <x v="1"/>
    <x v="4"/>
    <n v="20177"/>
    <n v="73"/>
    <n v="6719.95"/>
    <n v="3470.6"/>
    <x v="5"/>
  </r>
  <r>
    <x v="2"/>
    <x v="1"/>
    <x v="4"/>
    <n v="21179"/>
    <n v="43"/>
    <n v="6161.18"/>
    <n v="4647.2299999999996"/>
    <x v="0"/>
  </r>
  <r>
    <x v="2"/>
    <x v="1"/>
    <x v="4"/>
    <n v="21260"/>
    <n v="27"/>
    <n v="4604.07"/>
    <n v="1470.56"/>
    <x v="4"/>
  </r>
  <r>
    <x v="2"/>
    <x v="1"/>
    <x v="4"/>
    <n v="22317"/>
    <n v="25"/>
    <n v="2205.5300000000002"/>
    <n v="1120.1300000000001"/>
    <x v="5"/>
  </r>
  <r>
    <x v="2"/>
    <x v="1"/>
    <x v="4"/>
    <n v="22940"/>
    <n v="479"/>
    <n v="63639.89"/>
    <n v="17722.71"/>
    <x v="2"/>
  </r>
  <r>
    <x v="2"/>
    <x v="1"/>
    <x v="4"/>
    <n v="23178"/>
    <n v="128"/>
    <n v="22977.29"/>
    <n v="5120.26"/>
    <x v="2"/>
  </r>
  <r>
    <x v="2"/>
    <x v="1"/>
    <x v="4"/>
    <n v="23600"/>
    <n v="667"/>
    <n v="69796.14"/>
    <n v="20868.45"/>
    <x v="2"/>
  </r>
  <r>
    <x v="2"/>
    <x v="1"/>
    <x v="4"/>
    <n v="23756"/>
    <n v="125"/>
    <n v="27554.15"/>
    <n v="15626.22"/>
    <x v="1"/>
  </r>
  <r>
    <x v="2"/>
    <x v="1"/>
    <x v="4"/>
    <n v="24326"/>
    <n v="73"/>
    <n v="11670.5"/>
    <n v="4030.1"/>
    <x v="4"/>
  </r>
  <r>
    <x v="3"/>
    <x v="1"/>
    <x v="4"/>
    <n v="12184"/>
    <n v="103"/>
    <n v="10701.46"/>
    <n v="6426.56"/>
    <x v="0"/>
  </r>
  <r>
    <x v="3"/>
    <x v="1"/>
    <x v="4"/>
    <n v="12622"/>
    <n v="33"/>
    <n v="7265.08"/>
    <n v="3911.25"/>
    <x v="1"/>
  </r>
  <r>
    <x v="3"/>
    <x v="1"/>
    <x v="4"/>
    <n v="13527"/>
    <n v="614"/>
    <n v="97093.02"/>
    <n v="19620.04"/>
    <x v="2"/>
  </r>
  <r>
    <x v="3"/>
    <x v="1"/>
    <x v="4"/>
    <n v="13618"/>
    <n v="11"/>
    <n v="3968.24"/>
    <n v="2036.93"/>
    <x v="1"/>
  </r>
  <r>
    <x v="3"/>
    <x v="1"/>
    <x v="4"/>
    <n v="16024"/>
    <n v="156"/>
    <n v="59996.78"/>
    <n v="17084.400000000001"/>
    <x v="3"/>
  </r>
  <r>
    <x v="3"/>
    <x v="1"/>
    <x v="4"/>
    <n v="16650"/>
    <n v="55"/>
    <n v="8869.51"/>
    <n v="4535.6400000000003"/>
    <x v="0"/>
  </r>
  <r>
    <x v="3"/>
    <x v="1"/>
    <x v="4"/>
    <n v="17892"/>
    <n v="59"/>
    <n v="7664.02"/>
    <n v="1970.31"/>
    <x v="4"/>
  </r>
  <r>
    <x v="3"/>
    <x v="1"/>
    <x v="4"/>
    <n v="18342"/>
    <n v="145"/>
    <n v="121737.43"/>
    <n v="25622.32"/>
    <x v="3"/>
  </r>
  <r>
    <x v="3"/>
    <x v="1"/>
    <x v="4"/>
    <n v="20177"/>
    <n v="89"/>
    <n v="9296.77"/>
    <n v="3378.13"/>
    <x v="5"/>
  </r>
  <r>
    <x v="3"/>
    <x v="1"/>
    <x v="4"/>
    <n v="21179"/>
    <n v="66"/>
    <n v="9060.39"/>
    <n v="5372.31"/>
    <x v="0"/>
  </r>
  <r>
    <x v="3"/>
    <x v="1"/>
    <x v="4"/>
    <n v="21260"/>
    <n v="78"/>
    <n v="15251.16"/>
    <n v="3414.44"/>
    <x v="4"/>
  </r>
  <r>
    <x v="3"/>
    <x v="1"/>
    <x v="4"/>
    <n v="22317"/>
    <n v="72"/>
    <n v="6252.27"/>
    <n v="2271.6799999999998"/>
    <x v="5"/>
  </r>
  <r>
    <x v="3"/>
    <x v="1"/>
    <x v="4"/>
    <n v="22940"/>
    <n v="693"/>
    <n v="83172.399999999994"/>
    <n v="19269.099999999999"/>
    <x v="2"/>
  </r>
  <r>
    <x v="3"/>
    <x v="1"/>
    <x v="4"/>
    <n v="23178"/>
    <n v="188"/>
    <n v="31056.27"/>
    <n v="7367.82"/>
    <x v="2"/>
  </r>
  <r>
    <x v="3"/>
    <x v="1"/>
    <x v="4"/>
    <n v="23600"/>
    <n v="1168"/>
    <n v="123834.84"/>
    <n v="26809.68"/>
    <x v="2"/>
  </r>
  <r>
    <x v="3"/>
    <x v="1"/>
    <x v="4"/>
    <n v="23756"/>
    <n v="120"/>
    <n v="18293.12"/>
    <n v="7905.25"/>
    <x v="1"/>
  </r>
  <r>
    <x v="3"/>
    <x v="1"/>
    <x v="4"/>
    <n v="24326"/>
    <n v="110"/>
    <n v="15271.3"/>
    <n v="3844.66"/>
    <x v="4"/>
  </r>
  <r>
    <x v="0"/>
    <x v="1"/>
    <x v="5"/>
    <n v="12184"/>
    <n v="62"/>
    <n v="6667.94"/>
    <n v="2804.01"/>
    <x v="0"/>
  </r>
  <r>
    <x v="0"/>
    <x v="1"/>
    <x v="5"/>
    <n v="12622"/>
    <n v="35"/>
    <n v="9657.9599999999991"/>
    <n v="4198.6499999999996"/>
    <x v="1"/>
  </r>
  <r>
    <x v="0"/>
    <x v="1"/>
    <x v="5"/>
    <n v="13527"/>
    <n v="485"/>
    <n v="81943.73"/>
    <n v="13355.09"/>
    <x v="2"/>
  </r>
  <r>
    <x v="0"/>
    <x v="1"/>
    <x v="5"/>
    <n v="13618"/>
    <n v="19"/>
    <n v="6312.05"/>
    <n v="2569.4899999999998"/>
    <x v="1"/>
  </r>
  <r>
    <x v="0"/>
    <x v="1"/>
    <x v="5"/>
    <n v="16024"/>
    <n v="131"/>
    <n v="62049.71"/>
    <n v="17709.63"/>
    <x v="3"/>
  </r>
  <r>
    <x v="0"/>
    <x v="1"/>
    <x v="5"/>
    <n v="16650"/>
    <n v="55"/>
    <n v="8629.4"/>
    <n v="3572.06"/>
    <x v="0"/>
  </r>
  <r>
    <x v="0"/>
    <x v="1"/>
    <x v="5"/>
    <n v="17892"/>
    <n v="142"/>
    <n v="20212.91"/>
    <n v="6630.17"/>
    <x v="4"/>
  </r>
  <r>
    <x v="0"/>
    <x v="1"/>
    <x v="5"/>
    <n v="18342"/>
    <n v="173"/>
    <n v="143942.70000000001"/>
    <n v="35402.839999999997"/>
    <x v="3"/>
  </r>
  <r>
    <x v="0"/>
    <x v="1"/>
    <x v="5"/>
    <n v="20177"/>
    <n v="84"/>
    <n v="7424.79"/>
    <n v="2831.86"/>
    <x v="5"/>
  </r>
  <r>
    <x v="0"/>
    <x v="1"/>
    <x v="5"/>
    <n v="21179"/>
    <n v="41"/>
    <n v="5208.92"/>
    <n v="2358.84"/>
    <x v="0"/>
  </r>
  <r>
    <x v="0"/>
    <x v="1"/>
    <x v="5"/>
    <n v="21260"/>
    <n v="76"/>
    <n v="14823.08"/>
    <n v="4809.59"/>
    <x v="4"/>
  </r>
  <r>
    <x v="0"/>
    <x v="1"/>
    <x v="5"/>
    <n v="22317"/>
    <n v="114"/>
    <n v="9578.64"/>
    <n v="3867.77"/>
    <x v="5"/>
  </r>
  <r>
    <x v="0"/>
    <x v="1"/>
    <x v="5"/>
    <n v="22940"/>
    <n v="509"/>
    <n v="62540.6"/>
    <n v="11989.48"/>
    <x v="2"/>
  </r>
  <r>
    <x v="0"/>
    <x v="1"/>
    <x v="5"/>
    <n v="23178"/>
    <n v="335"/>
    <n v="61636.28"/>
    <n v="10297.870000000001"/>
    <x v="2"/>
  </r>
  <r>
    <x v="0"/>
    <x v="1"/>
    <x v="5"/>
    <n v="23600"/>
    <n v="1148"/>
    <n v="128889.60000000001"/>
    <n v="32203.16"/>
    <x v="2"/>
  </r>
  <r>
    <x v="0"/>
    <x v="1"/>
    <x v="5"/>
    <n v="23756"/>
    <n v="123"/>
    <n v="22977.32"/>
    <n v="10772.28"/>
    <x v="1"/>
  </r>
  <r>
    <x v="0"/>
    <x v="1"/>
    <x v="5"/>
    <n v="24326"/>
    <n v="148"/>
    <n v="23044.3"/>
    <n v="7428.78"/>
    <x v="4"/>
  </r>
  <r>
    <x v="1"/>
    <x v="1"/>
    <x v="5"/>
    <n v="12184"/>
    <n v="26"/>
    <n v="2647.88"/>
    <n v="1140.72"/>
    <x v="0"/>
  </r>
  <r>
    <x v="1"/>
    <x v="1"/>
    <x v="5"/>
    <n v="12622"/>
    <n v="21"/>
    <n v="5487.76"/>
    <n v="2284.94"/>
    <x v="1"/>
  </r>
  <r>
    <x v="1"/>
    <x v="1"/>
    <x v="5"/>
    <n v="13527"/>
    <n v="355"/>
    <n v="59969.19"/>
    <n v="11835.6"/>
    <x v="2"/>
  </r>
  <r>
    <x v="1"/>
    <x v="1"/>
    <x v="5"/>
    <n v="13618"/>
    <n v="7"/>
    <n v="3112.47"/>
    <n v="1394.09"/>
    <x v="1"/>
  </r>
  <r>
    <x v="1"/>
    <x v="1"/>
    <x v="5"/>
    <n v="16024"/>
    <n v="111"/>
    <n v="42909.94"/>
    <n v="14233.68"/>
    <x v="3"/>
  </r>
  <r>
    <x v="1"/>
    <x v="1"/>
    <x v="5"/>
    <n v="16650"/>
    <n v="21"/>
    <n v="3778.94"/>
    <n v="2640.39"/>
    <x v="0"/>
  </r>
  <r>
    <x v="1"/>
    <x v="1"/>
    <x v="5"/>
    <n v="17892"/>
    <n v="62"/>
    <n v="8419.57"/>
    <n v="2073.65"/>
    <x v="4"/>
  </r>
  <r>
    <x v="1"/>
    <x v="1"/>
    <x v="5"/>
    <n v="18342"/>
    <n v="24"/>
    <n v="17872.03"/>
    <n v="4756.6499999999996"/>
    <x v="3"/>
  </r>
  <r>
    <x v="1"/>
    <x v="1"/>
    <x v="5"/>
    <n v="20177"/>
    <n v="14"/>
    <n v="1481.67"/>
    <n v="541.11"/>
    <x v="5"/>
  </r>
  <r>
    <x v="1"/>
    <x v="1"/>
    <x v="5"/>
    <n v="21179"/>
    <n v="43"/>
    <n v="6441.2"/>
    <n v="4214.29"/>
    <x v="0"/>
  </r>
  <r>
    <x v="1"/>
    <x v="1"/>
    <x v="5"/>
    <n v="21260"/>
    <n v="43"/>
    <n v="8791.25"/>
    <n v="2061.87"/>
    <x v="4"/>
  </r>
  <r>
    <x v="1"/>
    <x v="1"/>
    <x v="5"/>
    <n v="22317"/>
    <n v="10"/>
    <n v="893.72"/>
    <n v="417.42"/>
    <x v="5"/>
  </r>
  <r>
    <x v="1"/>
    <x v="1"/>
    <x v="5"/>
    <n v="22940"/>
    <n v="209"/>
    <n v="29727.14"/>
    <n v="7088.68"/>
    <x v="2"/>
  </r>
  <r>
    <x v="1"/>
    <x v="1"/>
    <x v="5"/>
    <n v="23178"/>
    <n v="316"/>
    <n v="57693.85"/>
    <n v="15115.61"/>
    <x v="2"/>
  </r>
  <r>
    <x v="1"/>
    <x v="1"/>
    <x v="5"/>
    <n v="23600"/>
    <n v="302"/>
    <n v="37606.29"/>
    <n v="9839.51"/>
    <x v="2"/>
  </r>
  <r>
    <x v="1"/>
    <x v="1"/>
    <x v="5"/>
    <n v="23756"/>
    <n v="35"/>
    <n v="5918.26"/>
    <n v="2759.29"/>
    <x v="1"/>
  </r>
  <r>
    <x v="1"/>
    <x v="1"/>
    <x v="5"/>
    <n v="24326"/>
    <n v="34"/>
    <n v="4547.78"/>
    <n v="1359.21"/>
    <x v="4"/>
  </r>
  <r>
    <x v="2"/>
    <x v="1"/>
    <x v="5"/>
    <n v="12184"/>
    <n v="91"/>
    <n v="14684.94"/>
    <n v="10417.61"/>
    <x v="0"/>
  </r>
  <r>
    <x v="2"/>
    <x v="1"/>
    <x v="5"/>
    <n v="12622"/>
    <n v="35"/>
    <n v="10335.780000000001"/>
    <n v="6043.28"/>
    <x v="1"/>
  </r>
  <r>
    <x v="2"/>
    <x v="1"/>
    <x v="5"/>
    <n v="13527"/>
    <n v="451"/>
    <n v="69497.289999999994"/>
    <n v="18116.02"/>
    <x v="2"/>
  </r>
  <r>
    <x v="2"/>
    <x v="1"/>
    <x v="5"/>
    <n v="13618"/>
    <n v="18"/>
    <n v="6702.83"/>
    <n v="3248.96"/>
    <x v="1"/>
  </r>
  <r>
    <x v="2"/>
    <x v="1"/>
    <x v="5"/>
    <n v="16024"/>
    <n v="143"/>
    <n v="64940.37"/>
    <n v="19108.04"/>
    <x v="3"/>
  </r>
  <r>
    <x v="2"/>
    <x v="1"/>
    <x v="5"/>
    <n v="16650"/>
    <n v="49"/>
    <n v="6326.63"/>
    <n v="4111.63"/>
    <x v="0"/>
  </r>
  <r>
    <x v="2"/>
    <x v="1"/>
    <x v="5"/>
    <n v="17892"/>
    <n v="107"/>
    <n v="13842.6"/>
    <n v="4572.6499999999996"/>
    <x v="4"/>
  </r>
  <r>
    <x v="2"/>
    <x v="1"/>
    <x v="5"/>
    <n v="18342"/>
    <n v="100"/>
    <n v="76557.279999999999"/>
    <n v="23322"/>
    <x v="3"/>
  </r>
  <r>
    <x v="2"/>
    <x v="1"/>
    <x v="5"/>
    <n v="20177"/>
    <n v="80"/>
    <n v="7655.99"/>
    <n v="3024.53"/>
    <x v="5"/>
  </r>
  <r>
    <x v="2"/>
    <x v="1"/>
    <x v="5"/>
    <n v="21179"/>
    <n v="67"/>
    <n v="10110.82"/>
    <n v="6779.17"/>
    <x v="0"/>
  </r>
  <r>
    <x v="2"/>
    <x v="1"/>
    <x v="5"/>
    <n v="21260"/>
    <n v="61"/>
    <n v="11738.24"/>
    <n v="3585.52"/>
    <x v="4"/>
  </r>
  <r>
    <x v="2"/>
    <x v="1"/>
    <x v="5"/>
    <n v="22317"/>
    <n v="47"/>
    <n v="3786.47"/>
    <n v="1959.77"/>
    <x v="5"/>
  </r>
  <r>
    <x v="2"/>
    <x v="1"/>
    <x v="5"/>
    <n v="22940"/>
    <n v="372"/>
    <n v="51181.85"/>
    <n v="14012.47"/>
    <x v="2"/>
  </r>
  <r>
    <x v="2"/>
    <x v="1"/>
    <x v="5"/>
    <n v="23178"/>
    <n v="189"/>
    <n v="36951.300000000003"/>
    <n v="10562.77"/>
    <x v="2"/>
  </r>
  <r>
    <x v="2"/>
    <x v="1"/>
    <x v="5"/>
    <n v="23600"/>
    <n v="1149"/>
    <n v="134326.96"/>
    <n v="33828.33"/>
    <x v="2"/>
  </r>
  <r>
    <x v="2"/>
    <x v="1"/>
    <x v="5"/>
    <n v="23756"/>
    <n v="114"/>
    <n v="21013.759999999998"/>
    <n v="12854.26"/>
    <x v="1"/>
  </r>
  <r>
    <x v="2"/>
    <x v="1"/>
    <x v="5"/>
    <n v="24326"/>
    <n v="107"/>
    <n v="17088.150000000001"/>
    <n v="4841.04"/>
    <x v="4"/>
  </r>
  <r>
    <x v="3"/>
    <x v="1"/>
    <x v="5"/>
    <n v="12184"/>
    <n v="60"/>
    <n v="8711.19"/>
    <n v="5642.23"/>
    <x v="0"/>
  </r>
  <r>
    <x v="3"/>
    <x v="1"/>
    <x v="5"/>
    <n v="12622"/>
    <n v="42"/>
    <n v="10049.99"/>
    <n v="4786.3"/>
    <x v="1"/>
  </r>
  <r>
    <x v="3"/>
    <x v="1"/>
    <x v="5"/>
    <n v="13527"/>
    <n v="439"/>
    <n v="67749.55"/>
    <n v="15783.31"/>
    <x v="2"/>
  </r>
  <r>
    <x v="3"/>
    <x v="1"/>
    <x v="5"/>
    <n v="13618"/>
    <n v="8"/>
    <n v="2935.23"/>
    <n v="1547.12"/>
    <x v="1"/>
  </r>
  <r>
    <x v="3"/>
    <x v="1"/>
    <x v="5"/>
    <n v="16024"/>
    <n v="133"/>
    <n v="62232.97"/>
    <n v="17737.02"/>
    <x v="3"/>
  </r>
  <r>
    <x v="3"/>
    <x v="1"/>
    <x v="5"/>
    <n v="16650"/>
    <n v="60"/>
    <n v="8637.16"/>
    <n v="4326.45"/>
    <x v="0"/>
  </r>
  <r>
    <x v="3"/>
    <x v="1"/>
    <x v="5"/>
    <n v="17892"/>
    <n v="99"/>
    <n v="13079.35"/>
    <n v="2902.34"/>
    <x v="4"/>
  </r>
  <r>
    <x v="3"/>
    <x v="1"/>
    <x v="5"/>
    <n v="18342"/>
    <n v="129"/>
    <n v="115367.19"/>
    <n v="24002.25"/>
    <x v="3"/>
  </r>
  <r>
    <x v="3"/>
    <x v="1"/>
    <x v="5"/>
    <n v="20177"/>
    <n v="104"/>
    <n v="10326.66"/>
    <n v="4353.92"/>
    <x v="5"/>
  </r>
  <r>
    <x v="3"/>
    <x v="1"/>
    <x v="5"/>
    <n v="21179"/>
    <n v="50"/>
    <n v="6552.29"/>
    <n v="3652.29"/>
    <x v="0"/>
  </r>
  <r>
    <x v="3"/>
    <x v="1"/>
    <x v="5"/>
    <n v="21260"/>
    <n v="56"/>
    <n v="9905.2900000000009"/>
    <n v="2174.44"/>
    <x v="4"/>
  </r>
  <r>
    <x v="3"/>
    <x v="1"/>
    <x v="5"/>
    <n v="22317"/>
    <n v="53"/>
    <n v="4960.1899999999996"/>
    <n v="1663.78"/>
    <x v="5"/>
  </r>
  <r>
    <x v="3"/>
    <x v="1"/>
    <x v="5"/>
    <n v="22940"/>
    <n v="607"/>
    <n v="73585.08"/>
    <n v="15867.23"/>
    <x v="2"/>
  </r>
  <r>
    <x v="3"/>
    <x v="1"/>
    <x v="5"/>
    <n v="23178"/>
    <n v="204"/>
    <n v="32987.89"/>
    <n v="7004.16"/>
    <x v="2"/>
  </r>
  <r>
    <x v="3"/>
    <x v="1"/>
    <x v="5"/>
    <n v="23600"/>
    <n v="744"/>
    <n v="80498.16"/>
    <n v="17522.7"/>
    <x v="2"/>
  </r>
  <r>
    <x v="3"/>
    <x v="1"/>
    <x v="5"/>
    <n v="23756"/>
    <n v="113"/>
    <n v="19400.990000000002"/>
    <n v="8993.6299999999992"/>
    <x v="1"/>
  </r>
  <r>
    <x v="3"/>
    <x v="1"/>
    <x v="5"/>
    <n v="24326"/>
    <n v="144"/>
    <n v="18019.77"/>
    <n v="4310.6000000000004"/>
    <x v="4"/>
  </r>
  <r>
    <x v="0"/>
    <x v="1"/>
    <x v="6"/>
    <n v="12184"/>
    <n v="62"/>
    <n v="6738.98"/>
    <n v="3671.19"/>
    <x v="0"/>
  </r>
  <r>
    <x v="0"/>
    <x v="1"/>
    <x v="6"/>
    <n v="12622"/>
    <n v="82"/>
    <n v="20052.07"/>
    <n v="10813.04"/>
    <x v="1"/>
  </r>
  <r>
    <x v="0"/>
    <x v="1"/>
    <x v="6"/>
    <n v="13527"/>
    <n v="826"/>
    <n v="123965.91"/>
    <n v="26088.95"/>
    <x v="2"/>
  </r>
  <r>
    <x v="0"/>
    <x v="1"/>
    <x v="6"/>
    <n v="13618"/>
    <n v="24"/>
    <n v="7947.45"/>
    <n v="3987.21"/>
    <x v="1"/>
  </r>
  <r>
    <x v="0"/>
    <x v="1"/>
    <x v="6"/>
    <n v="16024"/>
    <n v="293"/>
    <n v="125727.33"/>
    <n v="32770.800000000003"/>
    <x v="3"/>
  </r>
  <r>
    <x v="0"/>
    <x v="1"/>
    <x v="6"/>
    <n v="16650"/>
    <n v="53"/>
    <n v="8484.9500000000007"/>
    <n v="3880.98"/>
    <x v="0"/>
  </r>
  <r>
    <x v="0"/>
    <x v="1"/>
    <x v="6"/>
    <n v="17892"/>
    <n v="195"/>
    <n v="29927.26"/>
    <n v="8737.9"/>
    <x v="4"/>
  </r>
  <r>
    <x v="0"/>
    <x v="1"/>
    <x v="6"/>
    <n v="18342"/>
    <n v="248"/>
    <n v="198723.37"/>
    <n v="63841.67"/>
    <x v="3"/>
  </r>
  <r>
    <x v="0"/>
    <x v="1"/>
    <x v="6"/>
    <n v="20177"/>
    <n v="72"/>
    <n v="6609.78"/>
    <n v="2756.3"/>
    <x v="5"/>
  </r>
  <r>
    <x v="0"/>
    <x v="1"/>
    <x v="6"/>
    <n v="21179"/>
    <n v="80"/>
    <n v="8079.81"/>
    <n v="4233.62"/>
    <x v="0"/>
  </r>
  <r>
    <x v="0"/>
    <x v="1"/>
    <x v="6"/>
    <n v="21260"/>
    <n v="100"/>
    <n v="17997.689999999999"/>
    <n v="5760.94"/>
    <x v="4"/>
  </r>
  <r>
    <x v="0"/>
    <x v="1"/>
    <x v="6"/>
    <n v="22317"/>
    <n v="123"/>
    <n v="10551"/>
    <n v="4231.87"/>
    <x v="5"/>
  </r>
  <r>
    <x v="0"/>
    <x v="1"/>
    <x v="6"/>
    <n v="22940"/>
    <n v="351"/>
    <n v="46238.01"/>
    <n v="9684.11"/>
    <x v="2"/>
  </r>
  <r>
    <x v="0"/>
    <x v="1"/>
    <x v="6"/>
    <n v="23178"/>
    <n v="281"/>
    <n v="52735.78"/>
    <n v="8498.43"/>
    <x v="2"/>
  </r>
  <r>
    <x v="0"/>
    <x v="1"/>
    <x v="6"/>
    <n v="23600"/>
    <n v="541"/>
    <n v="54619.56"/>
    <n v="14924.21"/>
    <x v="2"/>
  </r>
  <r>
    <x v="0"/>
    <x v="1"/>
    <x v="6"/>
    <n v="23756"/>
    <n v="105"/>
    <n v="22180.07"/>
    <n v="9526.48"/>
    <x v="1"/>
  </r>
  <r>
    <x v="0"/>
    <x v="1"/>
    <x v="6"/>
    <n v="24326"/>
    <n v="190"/>
    <n v="27581.01"/>
    <n v="8918.1"/>
    <x v="4"/>
  </r>
  <r>
    <x v="1"/>
    <x v="1"/>
    <x v="6"/>
    <n v="12184"/>
    <n v="14"/>
    <n v="1920.37"/>
    <n v="830.86"/>
    <x v="0"/>
  </r>
  <r>
    <x v="1"/>
    <x v="1"/>
    <x v="6"/>
    <n v="12622"/>
    <n v="18"/>
    <n v="4208.2299999999996"/>
    <n v="1951.68"/>
    <x v="1"/>
  </r>
  <r>
    <x v="1"/>
    <x v="1"/>
    <x v="6"/>
    <n v="13527"/>
    <n v="269"/>
    <n v="44296.09"/>
    <n v="6765.37"/>
    <x v="2"/>
  </r>
  <r>
    <x v="1"/>
    <x v="1"/>
    <x v="6"/>
    <n v="13618"/>
    <n v="8"/>
    <n v="3223.18"/>
    <n v="1493.52"/>
    <x v="1"/>
  </r>
  <r>
    <x v="1"/>
    <x v="1"/>
    <x v="6"/>
    <n v="16024"/>
    <n v="111"/>
    <n v="47953.78"/>
    <n v="14807.81"/>
    <x v="3"/>
  </r>
  <r>
    <x v="1"/>
    <x v="1"/>
    <x v="6"/>
    <n v="16650"/>
    <n v="31"/>
    <n v="6019.86"/>
    <n v="4136.5600000000004"/>
    <x v="0"/>
  </r>
  <r>
    <x v="1"/>
    <x v="1"/>
    <x v="6"/>
    <n v="17892"/>
    <n v="95"/>
    <n v="12137.45"/>
    <n v="2660.37"/>
    <x v="4"/>
  </r>
  <r>
    <x v="1"/>
    <x v="1"/>
    <x v="6"/>
    <n v="18342"/>
    <n v="19"/>
    <n v="17184.36"/>
    <n v="4651.3100000000004"/>
    <x v="3"/>
  </r>
  <r>
    <x v="1"/>
    <x v="1"/>
    <x v="6"/>
    <n v="20177"/>
    <n v="17"/>
    <n v="1993.25"/>
    <n v="810.97"/>
    <x v="5"/>
  </r>
  <r>
    <x v="1"/>
    <x v="1"/>
    <x v="6"/>
    <n v="21179"/>
    <n v="23"/>
    <n v="3186.49"/>
    <n v="1588.98"/>
    <x v="0"/>
  </r>
  <r>
    <x v="1"/>
    <x v="1"/>
    <x v="6"/>
    <n v="21260"/>
    <n v="57"/>
    <n v="10318.620000000001"/>
    <n v="2683.54"/>
    <x v="4"/>
  </r>
  <r>
    <x v="1"/>
    <x v="1"/>
    <x v="6"/>
    <n v="22317"/>
    <n v="6"/>
    <n v="609.9"/>
    <n v="322.14999999999998"/>
    <x v="5"/>
  </r>
  <r>
    <x v="1"/>
    <x v="1"/>
    <x v="6"/>
    <n v="22940"/>
    <n v="145"/>
    <n v="18666.21"/>
    <n v="5212.88"/>
    <x v="2"/>
  </r>
  <r>
    <x v="1"/>
    <x v="1"/>
    <x v="6"/>
    <n v="23178"/>
    <n v="269"/>
    <n v="46647.01"/>
    <n v="13354.67"/>
    <x v="2"/>
  </r>
  <r>
    <x v="1"/>
    <x v="1"/>
    <x v="6"/>
    <n v="23600"/>
    <n v="658"/>
    <n v="69852.210000000006"/>
    <n v="18665.29"/>
    <x v="2"/>
  </r>
  <r>
    <x v="1"/>
    <x v="1"/>
    <x v="6"/>
    <n v="23756"/>
    <n v="98"/>
    <n v="15989.93"/>
    <n v="7710.4"/>
    <x v="1"/>
  </r>
  <r>
    <x v="1"/>
    <x v="1"/>
    <x v="6"/>
    <n v="24326"/>
    <n v="21"/>
    <n v="3157.35"/>
    <n v="1073.58"/>
    <x v="4"/>
  </r>
  <r>
    <x v="2"/>
    <x v="1"/>
    <x v="6"/>
    <n v="12184"/>
    <n v="71"/>
    <n v="10984.56"/>
    <n v="7278.48"/>
    <x v="0"/>
  </r>
  <r>
    <x v="2"/>
    <x v="1"/>
    <x v="6"/>
    <n v="12622"/>
    <n v="61"/>
    <n v="20386.27"/>
    <n v="11440.02"/>
    <x v="1"/>
  </r>
  <r>
    <x v="2"/>
    <x v="1"/>
    <x v="6"/>
    <n v="13527"/>
    <n v="468"/>
    <n v="73585.63"/>
    <n v="17894.05"/>
    <x v="2"/>
  </r>
  <r>
    <x v="2"/>
    <x v="1"/>
    <x v="6"/>
    <n v="13618"/>
    <n v="23"/>
    <n v="8918.67"/>
    <n v="5240.03"/>
    <x v="1"/>
  </r>
  <r>
    <x v="2"/>
    <x v="1"/>
    <x v="6"/>
    <n v="16024"/>
    <n v="279"/>
    <n v="125100.66"/>
    <n v="40054.69"/>
    <x v="3"/>
  </r>
  <r>
    <x v="2"/>
    <x v="1"/>
    <x v="6"/>
    <n v="16650"/>
    <n v="43"/>
    <n v="6788.85"/>
    <n v="4102.8599999999997"/>
    <x v="0"/>
  </r>
  <r>
    <x v="2"/>
    <x v="1"/>
    <x v="6"/>
    <n v="17892"/>
    <n v="73"/>
    <n v="9754.14"/>
    <n v="3380.05"/>
    <x v="4"/>
  </r>
  <r>
    <x v="2"/>
    <x v="1"/>
    <x v="6"/>
    <n v="18342"/>
    <n v="84"/>
    <n v="72499.820000000007"/>
    <n v="24292.01"/>
    <x v="3"/>
  </r>
  <r>
    <x v="2"/>
    <x v="1"/>
    <x v="6"/>
    <n v="20177"/>
    <n v="40"/>
    <n v="4013.62"/>
    <n v="2013.39"/>
    <x v="5"/>
  </r>
  <r>
    <x v="2"/>
    <x v="1"/>
    <x v="6"/>
    <n v="21179"/>
    <n v="27"/>
    <n v="3132.84"/>
    <n v="2069.2399999999998"/>
    <x v="0"/>
  </r>
  <r>
    <x v="2"/>
    <x v="1"/>
    <x v="6"/>
    <n v="21260"/>
    <n v="58"/>
    <n v="10717.85"/>
    <n v="3588.24"/>
    <x v="4"/>
  </r>
  <r>
    <x v="2"/>
    <x v="1"/>
    <x v="6"/>
    <n v="22317"/>
    <n v="47"/>
    <n v="3869.28"/>
    <n v="1944.04"/>
    <x v="5"/>
  </r>
  <r>
    <x v="2"/>
    <x v="1"/>
    <x v="6"/>
    <n v="22940"/>
    <n v="352"/>
    <n v="45205.1"/>
    <n v="11034.64"/>
    <x v="2"/>
  </r>
  <r>
    <x v="2"/>
    <x v="1"/>
    <x v="6"/>
    <n v="23178"/>
    <n v="161"/>
    <n v="27777.63"/>
    <n v="7253.61"/>
    <x v="2"/>
  </r>
  <r>
    <x v="2"/>
    <x v="1"/>
    <x v="6"/>
    <n v="23600"/>
    <n v="924"/>
    <n v="103399.67"/>
    <n v="30067"/>
    <x v="2"/>
  </r>
  <r>
    <x v="2"/>
    <x v="1"/>
    <x v="6"/>
    <n v="23756"/>
    <n v="131"/>
    <n v="25979.51"/>
    <n v="16991.72"/>
    <x v="1"/>
  </r>
  <r>
    <x v="2"/>
    <x v="1"/>
    <x v="6"/>
    <n v="24326"/>
    <n v="128"/>
    <n v="18935.599999999999"/>
    <n v="6568.03"/>
    <x v="4"/>
  </r>
  <r>
    <x v="3"/>
    <x v="1"/>
    <x v="6"/>
    <n v="12184"/>
    <n v="53"/>
    <n v="5707.28"/>
    <n v="2809.37"/>
    <x v="0"/>
  </r>
  <r>
    <x v="3"/>
    <x v="1"/>
    <x v="6"/>
    <n v="12622"/>
    <n v="25"/>
    <n v="6583.34"/>
    <n v="3456.46"/>
    <x v="1"/>
  </r>
  <r>
    <x v="3"/>
    <x v="1"/>
    <x v="6"/>
    <n v="13527"/>
    <n v="342"/>
    <n v="59467.72"/>
    <n v="10927.39"/>
    <x v="2"/>
  </r>
  <r>
    <x v="3"/>
    <x v="1"/>
    <x v="6"/>
    <n v="13618"/>
    <n v="18"/>
    <n v="6557.2"/>
    <n v="3050.95"/>
    <x v="1"/>
  </r>
  <r>
    <x v="3"/>
    <x v="1"/>
    <x v="6"/>
    <n v="16024"/>
    <n v="169"/>
    <n v="76264.350000000006"/>
    <n v="16991.330000000002"/>
    <x v="3"/>
  </r>
  <r>
    <x v="3"/>
    <x v="1"/>
    <x v="6"/>
    <n v="16650"/>
    <n v="35"/>
    <n v="5726.09"/>
    <n v="3444.25"/>
    <x v="0"/>
  </r>
  <r>
    <x v="3"/>
    <x v="1"/>
    <x v="6"/>
    <n v="17892"/>
    <n v="40"/>
    <n v="5697.4"/>
    <n v="1576.25"/>
    <x v="4"/>
  </r>
  <r>
    <x v="3"/>
    <x v="1"/>
    <x v="6"/>
    <n v="18342"/>
    <n v="195"/>
    <n v="144211.85"/>
    <n v="38038.199999999997"/>
    <x v="3"/>
  </r>
  <r>
    <x v="3"/>
    <x v="1"/>
    <x v="6"/>
    <n v="20177"/>
    <n v="75"/>
    <n v="8013.81"/>
    <n v="2907.2"/>
    <x v="5"/>
  </r>
  <r>
    <x v="3"/>
    <x v="1"/>
    <x v="6"/>
    <n v="21179"/>
    <n v="25"/>
    <n v="3063.99"/>
    <n v="1555.64"/>
    <x v="0"/>
  </r>
  <r>
    <x v="3"/>
    <x v="1"/>
    <x v="6"/>
    <n v="21260"/>
    <n v="58"/>
    <n v="9906.4500000000007"/>
    <n v="2577.52"/>
    <x v="4"/>
  </r>
  <r>
    <x v="3"/>
    <x v="1"/>
    <x v="6"/>
    <n v="22317"/>
    <n v="61"/>
    <n v="5538.86"/>
    <n v="1950.05"/>
    <x v="5"/>
  </r>
  <r>
    <x v="3"/>
    <x v="1"/>
    <x v="6"/>
    <n v="22940"/>
    <n v="304"/>
    <n v="38122.5"/>
    <n v="9060.26"/>
    <x v="2"/>
  </r>
  <r>
    <x v="3"/>
    <x v="1"/>
    <x v="6"/>
    <n v="23178"/>
    <n v="184"/>
    <n v="30280.22"/>
    <n v="5473.28"/>
    <x v="2"/>
  </r>
  <r>
    <x v="3"/>
    <x v="1"/>
    <x v="6"/>
    <n v="23600"/>
    <n v="1097"/>
    <n v="126938.14"/>
    <n v="34315.25"/>
    <x v="2"/>
  </r>
  <r>
    <x v="3"/>
    <x v="1"/>
    <x v="6"/>
    <n v="23756"/>
    <n v="64"/>
    <n v="11949.49"/>
    <n v="5878.41"/>
    <x v="1"/>
  </r>
  <r>
    <x v="3"/>
    <x v="1"/>
    <x v="6"/>
    <n v="24326"/>
    <n v="79"/>
    <n v="11080.05"/>
    <n v="2474.0300000000002"/>
    <x v="4"/>
  </r>
  <r>
    <x v="0"/>
    <x v="1"/>
    <x v="7"/>
    <n v="12184"/>
    <n v="64"/>
    <n v="8457.98"/>
    <n v="3995.9"/>
    <x v="0"/>
  </r>
  <r>
    <x v="0"/>
    <x v="1"/>
    <x v="7"/>
    <n v="12622"/>
    <n v="39"/>
    <n v="10126.23"/>
    <n v="4140.6899999999996"/>
    <x v="1"/>
  </r>
  <r>
    <x v="0"/>
    <x v="1"/>
    <x v="7"/>
    <n v="13527"/>
    <n v="767"/>
    <n v="115301.01"/>
    <n v="23050.63"/>
    <x v="2"/>
  </r>
  <r>
    <x v="0"/>
    <x v="1"/>
    <x v="7"/>
    <n v="13618"/>
    <n v="13"/>
    <n v="5543.29"/>
    <n v="2407.46"/>
    <x v="1"/>
  </r>
  <r>
    <x v="0"/>
    <x v="1"/>
    <x v="7"/>
    <n v="16024"/>
    <n v="348"/>
    <n v="146554.75"/>
    <n v="39624.39"/>
    <x v="3"/>
  </r>
  <r>
    <x v="0"/>
    <x v="1"/>
    <x v="7"/>
    <n v="16650"/>
    <n v="76"/>
    <n v="13010.45"/>
    <n v="6169.31"/>
    <x v="0"/>
  </r>
  <r>
    <x v="0"/>
    <x v="1"/>
    <x v="7"/>
    <n v="17892"/>
    <n v="70"/>
    <n v="10418.24"/>
    <n v="2644.97"/>
    <x v="4"/>
  </r>
  <r>
    <x v="0"/>
    <x v="1"/>
    <x v="7"/>
    <n v="18342"/>
    <n v="251"/>
    <n v="219632.83"/>
    <n v="56706.080000000002"/>
    <x v="3"/>
  </r>
  <r>
    <x v="0"/>
    <x v="1"/>
    <x v="7"/>
    <n v="20177"/>
    <n v="68"/>
    <n v="7098.5"/>
    <n v="2422.02"/>
    <x v="5"/>
  </r>
  <r>
    <x v="0"/>
    <x v="1"/>
    <x v="7"/>
    <n v="21179"/>
    <n v="73"/>
    <n v="10297.879999999999"/>
    <n v="4373.26"/>
    <x v="0"/>
  </r>
  <r>
    <x v="0"/>
    <x v="1"/>
    <x v="7"/>
    <n v="21260"/>
    <n v="110"/>
    <n v="19735.080000000002"/>
    <n v="5686.15"/>
    <x v="4"/>
  </r>
  <r>
    <x v="0"/>
    <x v="1"/>
    <x v="7"/>
    <n v="22317"/>
    <n v="79"/>
    <n v="7879.41"/>
    <n v="3420.88"/>
    <x v="5"/>
  </r>
  <r>
    <x v="0"/>
    <x v="1"/>
    <x v="7"/>
    <n v="22940"/>
    <n v="345"/>
    <n v="40894.699999999997"/>
    <n v="7935.45"/>
    <x v="2"/>
  </r>
  <r>
    <x v="0"/>
    <x v="1"/>
    <x v="7"/>
    <n v="23178"/>
    <n v="279"/>
    <n v="52046.83"/>
    <n v="10719.25"/>
    <x v="2"/>
  </r>
  <r>
    <x v="0"/>
    <x v="1"/>
    <x v="7"/>
    <n v="23600"/>
    <n v="838"/>
    <n v="87651.03"/>
    <n v="21828.98"/>
    <x v="2"/>
  </r>
  <r>
    <x v="0"/>
    <x v="1"/>
    <x v="7"/>
    <n v="23756"/>
    <n v="142"/>
    <n v="22400.6"/>
    <n v="11220.6"/>
    <x v="1"/>
  </r>
  <r>
    <x v="0"/>
    <x v="1"/>
    <x v="7"/>
    <n v="24326"/>
    <n v="123"/>
    <n v="15439.06"/>
    <n v="4774.38"/>
    <x v="4"/>
  </r>
  <r>
    <x v="1"/>
    <x v="1"/>
    <x v="7"/>
    <n v="12184"/>
    <n v="38"/>
    <n v="5263.9"/>
    <n v="2429.4299999999998"/>
    <x v="0"/>
  </r>
  <r>
    <x v="1"/>
    <x v="1"/>
    <x v="7"/>
    <n v="12622"/>
    <n v="8"/>
    <n v="1950.21"/>
    <n v="713.24"/>
    <x v="1"/>
  </r>
  <r>
    <x v="1"/>
    <x v="1"/>
    <x v="7"/>
    <n v="13527"/>
    <n v="297"/>
    <n v="44165.05"/>
    <n v="7478.5"/>
    <x v="2"/>
  </r>
  <r>
    <x v="1"/>
    <x v="1"/>
    <x v="7"/>
    <n v="13618"/>
    <n v="8"/>
    <n v="3124.88"/>
    <n v="1317.74"/>
    <x v="1"/>
  </r>
  <r>
    <x v="1"/>
    <x v="1"/>
    <x v="7"/>
    <n v="16024"/>
    <n v="136"/>
    <n v="52133.88"/>
    <n v="16454.509999999998"/>
    <x v="3"/>
  </r>
  <r>
    <x v="1"/>
    <x v="1"/>
    <x v="7"/>
    <n v="16650"/>
    <n v="21"/>
    <n v="2941.28"/>
    <n v="1822.74"/>
    <x v="0"/>
  </r>
  <r>
    <x v="1"/>
    <x v="1"/>
    <x v="7"/>
    <n v="17892"/>
    <n v="62"/>
    <n v="7743.05"/>
    <n v="2028.47"/>
    <x v="4"/>
  </r>
  <r>
    <x v="1"/>
    <x v="1"/>
    <x v="7"/>
    <n v="18342"/>
    <n v="13"/>
    <n v="10430"/>
    <n v="3293.09"/>
    <x v="3"/>
  </r>
  <r>
    <x v="1"/>
    <x v="1"/>
    <x v="7"/>
    <n v="20177"/>
    <n v="23"/>
    <n v="2303.8000000000002"/>
    <n v="968.21"/>
    <x v="5"/>
  </r>
  <r>
    <x v="1"/>
    <x v="1"/>
    <x v="7"/>
    <n v="21179"/>
    <n v="29"/>
    <n v="3384.9"/>
    <n v="1662.36"/>
    <x v="0"/>
  </r>
  <r>
    <x v="1"/>
    <x v="1"/>
    <x v="7"/>
    <n v="21260"/>
    <n v="54"/>
    <n v="9696.49"/>
    <n v="2172.94"/>
    <x v="4"/>
  </r>
  <r>
    <x v="1"/>
    <x v="1"/>
    <x v="7"/>
    <n v="22317"/>
    <n v="12"/>
    <n v="980.69"/>
    <n v="425.66"/>
    <x v="5"/>
  </r>
  <r>
    <x v="1"/>
    <x v="1"/>
    <x v="7"/>
    <n v="22940"/>
    <n v="166"/>
    <n v="20647.23"/>
    <n v="4932.75"/>
    <x v="2"/>
  </r>
  <r>
    <x v="1"/>
    <x v="1"/>
    <x v="7"/>
    <n v="23178"/>
    <n v="288"/>
    <n v="53454.82"/>
    <n v="15309.6"/>
    <x v="2"/>
  </r>
  <r>
    <x v="1"/>
    <x v="1"/>
    <x v="7"/>
    <n v="23600"/>
    <n v="715"/>
    <n v="79712.05"/>
    <n v="20695.740000000002"/>
    <x v="2"/>
  </r>
  <r>
    <x v="1"/>
    <x v="1"/>
    <x v="7"/>
    <n v="23756"/>
    <n v="68"/>
    <n v="10376.76"/>
    <n v="5235.18"/>
    <x v="1"/>
  </r>
  <r>
    <x v="1"/>
    <x v="1"/>
    <x v="7"/>
    <n v="24326"/>
    <n v="21"/>
    <n v="3175.43"/>
    <n v="943.56"/>
    <x v="4"/>
  </r>
  <r>
    <x v="2"/>
    <x v="1"/>
    <x v="7"/>
    <n v="12184"/>
    <n v="44"/>
    <n v="5811.57"/>
    <n v="4032.38"/>
    <x v="0"/>
  </r>
  <r>
    <x v="2"/>
    <x v="1"/>
    <x v="7"/>
    <n v="12622"/>
    <n v="35"/>
    <n v="9030.6200000000008"/>
    <n v="4802.2700000000004"/>
    <x v="1"/>
  </r>
  <r>
    <x v="2"/>
    <x v="1"/>
    <x v="7"/>
    <n v="13527"/>
    <n v="358"/>
    <n v="62154.89"/>
    <n v="16382.8"/>
    <x v="2"/>
  </r>
  <r>
    <x v="2"/>
    <x v="1"/>
    <x v="7"/>
    <n v="13618"/>
    <n v="11"/>
    <n v="5062.99"/>
    <n v="2741.26"/>
    <x v="1"/>
  </r>
  <r>
    <x v="2"/>
    <x v="1"/>
    <x v="7"/>
    <n v="16024"/>
    <n v="287"/>
    <n v="129156.9"/>
    <n v="32735.63"/>
    <x v="3"/>
  </r>
  <r>
    <x v="2"/>
    <x v="1"/>
    <x v="7"/>
    <n v="16650"/>
    <n v="20"/>
    <n v="3101.61"/>
    <n v="2433.0700000000002"/>
    <x v="0"/>
  </r>
  <r>
    <x v="2"/>
    <x v="1"/>
    <x v="7"/>
    <n v="17892"/>
    <n v="101"/>
    <n v="15568.79"/>
    <n v="4564.5600000000004"/>
    <x v="4"/>
  </r>
  <r>
    <x v="2"/>
    <x v="1"/>
    <x v="7"/>
    <n v="18342"/>
    <n v="140"/>
    <n v="125025.68"/>
    <n v="37859.03"/>
    <x v="3"/>
  </r>
  <r>
    <x v="2"/>
    <x v="1"/>
    <x v="7"/>
    <n v="20177"/>
    <n v="54"/>
    <n v="6337.66"/>
    <n v="3014.54"/>
    <x v="5"/>
  </r>
  <r>
    <x v="2"/>
    <x v="1"/>
    <x v="7"/>
    <n v="21179"/>
    <n v="40"/>
    <n v="5520.82"/>
    <n v="3351.36"/>
    <x v="0"/>
  </r>
  <r>
    <x v="2"/>
    <x v="1"/>
    <x v="7"/>
    <n v="21260"/>
    <n v="51"/>
    <n v="9285.18"/>
    <n v="3277.18"/>
    <x v="4"/>
  </r>
  <r>
    <x v="2"/>
    <x v="1"/>
    <x v="7"/>
    <n v="22317"/>
    <n v="30"/>
    <n v="3016.02"/>
    <n v="1311.94"/>
    <x v="5"/>
  </r>
  <r>
    <x v="2"/>
    <x v="1"/>
    <x v="7"/>
    <n v="22940"/>
    <n v="566"/>
    <n v="76236.92"/>
    <n v="19149.330000000002"/>
    <x v="2"/>
  </r>
  <r>
    <x v="2"/>
    <x v="1"/>
    <x v="7"/>
    <n v="23178"/>
    <n v="195"/>
    <n v="33621.24"/>
    <n v="8102.01"/>
    <x v="2"/>
  </r>
  <r>
    <x v="2"/>
    <x v="1"/>
    <x v="7"/>
    <n v="23600"/>
    <n v="554"/>
    <n v="66156.25"/>
    <n v="18337.22"/>
    <x v="2"/>
  </r>
  <r>
    <x v="2"/>
    <x v="1"/>
    <x v="7"/>
    <n v="23756"/>
    <n v="91"/>
    <n v="16122.22"/>
    <n v="8755.5499999999993"/>
    <x v="1"/>
  </r>
  <r>
    <x v="2"/>
    <x v="1"/>
    <x v="7"/>
    <n v="24326"/>
    <n v="101"/>
    <n v="15120.51"/>
    <n v="4442.12"/>
    <x v="4"/>
  </r>
  <r>
    <x v="3"/>
    <x v="1"/>
    <x v="7"/>
    <n v="12184"/>
    <n v="35"/>
    <n v="5039.84"/>
    <n v="2586.56"/>
    <x v="0"/>
  </r>
  <r>
    <x v="3"/>
    <x v="1"/>
    <x v="7"/>
    <n v="12622"/>
    <n v="37"/>
    <n v="10075.209999999999"/>
    <n v="4755.6400000000003"/>
    <x v="1"/>
  </r>
  <r>
    <x v="3"/>
    <x v="1"/>
    <x v="7"/>
    <n v="13527"/>
    <n v="313"/>
    <n v="52236.37"/>
    <n v="9688.7000000000007"/>
    <x v="2"/>
  </r>
  <r>
    <x v="3"/>
    <x v="1"/>
    <x v="7"/>
    <n v="13618"/>
    <n v="18"/>
    <n v="7782.22"/>
    <n v="3801.98"/>
    <x v="1"/>
  </r>
  <r>
    <x v="3"/>
    <x v="1"/>
    <x v="7"/>
    <n v="16024"/>
    <n v="84"/>
    <n v="36106.120000000003"/>
    <n v="9074.31"/>
    <x v="3"/>
  </r>
  <r>
    <x v="3"/>
    <x v="1"/>
    <x v="7"/>
    <n v="16650"/>
    <n v="34"/>
    <n v="4956.87"/>
    <n v="2494.75"/>
    <x v="0"/>
  </r>
  <r>
    <x v="3"/>
    <x v="1"/>
    <x v="7"/>
    <n v="17892"/>
    <n v="46"/>
    <n v="6166"/>
    <n v="1534.39"/>
    <x v="4"/>
  </r>
  <r>
    <x v="3"/>
    <x v="1"/>
    <x v="7"/>
    <n v="18342"/>
    <n v="153"/>
    <n v="113655.78"/>
    <n v="25588.66"/>
    <x v="3"/>
  </r>
  <r>
    <x v="3"/>
    <x v="1"/>
    <x v="7"/>
    <n v="20177"/>
    <n v="52"/>
    <n v="5104.7299999999996"/>
    <n v="2163.86"/>
    <x v="5"/>
  </r>
  <r>
    <x v="3"/>
    <x v="1"/>
    <x v="7"/>
    <n v="21179"/>
    <n v="23"/>
    <n v="3223.07"/>
    <n v="1790.71"/>
    <x v="0"/>
  </r>
  <r>
    <x v="3"/>
    <x v="1"/>
    <x v="7"/>
    <n v="21260"/>
    <n v="47"/>
    <n v="8373.11"/>
    <n v="2273.48"/>
    <x v="4"/>
  </r>
  <r>
    <x v="3"/>
    <x v="1"/>
    <x v="7"/>
    <n v="22317"/>
    <n v="32"/>
    <n v="2933.07"/>
    <n v="1151.33"/>
    <x v="5"/>
  </r>
  <r>
    <x v="3"/>
    <x v="1"/>
    <x v="7"/>
    <n v="22940"/>
    <n v="439"/>
    <n v="58216.160000000003"/>
    <n v="12344.97"/>
    <x v="2"/>
  </r>
  <r>
    <x v="3"/>
    <x v="1"/>
    <x v="7"/>
    <n v="23178"/>
    <n v="159"/>
    <n v="28317.4"/>
    <n v="6405.08"/>
    <x v="2"/>
  </r>
  <r>
    <x v="3"/>
    <x v="1"/>
    <x v="7"/>
    <n v="23600"/>
    <n v="922"/>
    <n v="107825.61"/>
    <n v="25255.93"/>
    <x v="2"/>
  </r>
  <r>
    <x v="3"/>
    <x v="1"/>
    <x v="7"/>
    <n v="23756"/>
    <n v="66"/>
    <n v="13103.79"/>
    <n v="6941.05"/>
    <x v="1"/>
  </r>
  <r>
    <x v="3"/>
    <x v="1"/>
    <x v="7"/>
    <n v="24326"/>
    <n v="128"/>
    <n v="19331.439999999999"/>
    <n v="5248.5"/>
    <x v="4"/>
  </r>
  <r>
    <x v="0"/>
    <x v="1"/>
    <x v="8"/>
    <n v="12184"/>
    <n v="93"/>
    <n v="13005.8"/>
    <n v="5984.14"/>
    <x v="0"/>
  </r>
  <r>
    <x v="0"/>
    <x v="1"/>
    <x v="8"/>
    <n v="12622"/>
    <n v="46"/>
    <n v="10764.08"/>
    <n v="4820.1000000000004"/>
    <x v="1"/>
  </r>
  <r>
    <x v="0"/>
    <x v="1"/>
    <x v="8"/>
    <n v="13527"/>
    <n v="285"/>
    <n v="47100.76"/>
    <n v="7577.97"/>
    <x v="2"/>
  </r>
  <r>
    <x v="0"/>
    <x v="1"/>
    <x v="8"/>
    <n v="13618"/>
    <n v="14"/>
    <n v="5957.18"/>
    <n v="2870.2"/>
    <x v="1"/>
  </r>
  <r>
    <x v="0"/>
    <x v="1"/>
    <x v="8"/>
    <n v="16024"/>
    <n v="243"/>
    <n v="95160.81"/>
    <n v="27181.46"/>
    <x v="3"/>
  </r>
  <r>
    <x v="0"/>
    <x v="1"/>
    <x v="8"/>
    <n v="16650"/>
    <n v="70"/>
    <n v="9943.67"/>
    <n v="5384.2"/>
    <x v="0"/>
  </r>
  <r>
    <x v="0"/>
    <x v="1"/>
    <x v="8"/>
    <n v="17892"/>
    <n v="72"/>
    <n v="10692.85"/>
    <n v="3063.99"/>
    <x v="4"/>
  </r>
  <r>
    <x v="0"/>
    <x v="1"/>
    <x v="8"/>
    <n v="18342"/>
    <n v="187"/>
    <n v="166702.45000000001"/>
    <n v="43010.92"/>
    <x v="3"/>
  </r>
  <r>
    <x v="0"/>
    <x v="1"/>
    <x v="8"/>
    <n v="20177"/>
    <n v="101"/>
    <n v="10834.04"/>
    <n v="3709.92"/>
    <x v="5"/>
  </r>
  <r>
    <x v="0"/>
    <x v="1"/>
    <x v="8"/>
    <n v="21179"/>
    <n v="49"/>
    <n v="6308.51"/>
    <n v="2656.13"/>
    <x v="0"/>
  </r>
  <r>
    <x v="0"/>
    <x v="1"/>
    <x v="8"/>
    <n v="21260"/>
    <n v="92"/>
    <n v="18569.57"/>
    <n v="4935.78"/>
    <x v="4"/>
  </r>
  <r>
    <x v="0"/>
    <x v="1"/>
    <x v="8"/>
    <n v="22317"/>
    <n v="116"/>
    <n v="9208.91"/>
    <n v="3530.64"/>
    <x v="5"/>
  </r>
  <r>
    <x v="0"/>
    <x v="1"/>
    <x v="8"/>
    <n v="22940"/>
    <n v="531"/>
    <n v="68005.36"/>
    <n v="12430.21"/>
    <x v="2"/>
  </r>
  <r>
    <x v="0"/>
    <x v="1"/>
    <x v="8"/>
    <n v="23178"/>
    <n v="379"/>
    <n v="70075.199999999997"/>
    <n v="15380.74"/>
    <x v="2"/>
  </r>
  <r>
    <x v="0"/>
    <x v="1"/>
    <x v="8"/>
    <n v="23600"/>
    <n v="801"/>
    <n v="87544.2"/>
    <n v="23942.11"/>
    <x v="2"/>
  </r>
  <r>
    <x v="0"/>
    <x v="1"/>
    <x v="8"/>
    <n v="23756"/>
    <n v="104"/>
    <n v="19321.23"/>
    <n v="8466.17"/>
    <x v="1"/>
  </r>
  <r>
    <x v="0"/>
    <x v="1"/>
    <x v="8"/>
    <n v="24326"/>
    <n v="161"/>
    <n v="23543.82"/>
    <n v="6757.12"/>
    <x v="4"/>
  </r>
  <r>
    <x v="1"/>
    <x v="1"/>
    <x v="8"/>
    <n v="12184"/>
    <n v="30"/>
    <n v="3704.76"/>
    <n v="1739.86"/>
    <x v="0"/>
  </r>
  <r>
    <x v="1"/>
    <x v="1"/>
    <x v="8"/>
    <n v="12622"/>
    <n v="9"/>
    <n v="2024.52"/>
    <n v="797.23"/>
    <x v="1"/>
  </r>
  <r>
    <x v="1"/>
    <x v="1"/>
    <x v="8"/>
    <n v="13527"/>
    <n v="262"/>
    <n v="39967.49"/>
    <n v="7941.14"/>
    <x v="2"/>
  </r>
  <r>
    <x v="1"/>
    <x v="1"/>
    <x v="8"/>
    <n v="13618"/>
    <n v="9"/>
    <n v="3861.07"/>
    <n v="1819.19"/>
    <x v="1"/>
  </r>
  <r>
    <x v="1"/>
    <x v="1"/>
    <x v="8"/>
    <n v="16024"/>
    <n v="214"/>
    <n v="101259.74"/>
    <n v="35884.879999999997"/>
    <x v="3"/>
  </r>
  <r>
    <x v="1"/>
    <x v="1"/>
    <x v="8"/>
    <n v="16650"/>
    <n v="33"/>
    <n v="5171.41"/>
    <n v="2759.18"/>
    <x v="0"/>
  </r>
  <r>
    <x v="1"/>
    <x v="1"/>
    <x v="8"/>
    <n v="17892"/>
    <n v="52"/>
    <n v="6878.63"/>
    <n v="1909.4"/>
    <x v="4"/>
  </r>
  <r>
    <x v="1"/>
    <x v="1"/>
    <x v="8"/>
    <n v="18342"/>
    <n v="21"/>
    <n v="18460.150000000001"/>
    <n v="5963.2"/>
    <x v="3"/>
  </r>
  <r>
    <x v="1"/>
    <x v="1"/>
    <x v="8"/>
    <n v="20177"/>
    <n v="17"/>
    <n v="1609.33"/>
    <n v="582.38"/>
    <x v="5"/>
  </r>
  <r>
    <x v="1"/>
    <x v="1"/>
    <x v="8"/>
    <n v="21179"/>
    <n v="42"/>
    <n v="4781.46"/>
    <n v="2646.64"/>
    <x v="0"/>
  </r>
  <r>
    <x v="1"/>
    <x v="1"/>
    <x v="8"/>
    <n v="21260"/>
    <n v="49"/>
    <n v="9561.11"/>
    <n v="2233.79"/>
    <x v="4"/>
  </r>
  <r>
    <x v="1"/>
    <x v="1"/>
    <x v="8"/>
    <n v="22317"/>
    <n v="10"/>
    <n v="767.64"/>
    <n v="397.3"/>
    <x v="5"/>
  </r>
  <r>
    <x v="1"/>
    <x v="1"/>
    <x v="8"/>
    <n v="22940"/>
    <n v="144"/>
    <n v="19459.39"/>
    <n v="5573.84"/>
    <x v="2"/>
  </r>
  <r>
    <x v="1"/>
    <x v="1"/>
    <x v="8"/>
    <n v="23178"/>
    <n v="156"/>
    <n v="28726.22"/>
    <n v="6724.02"/>
    <x v="2"/>
  </r>
  <r>
    <x v="1"/>
    <x v="1"/>
    <x v="8"/>
    <n v="23600"/>
    <n v="610"/>
    <n v="62933.88"/>
    <n v="18812.71"/>
    <x v="2"/>
  </r>
  <r>
    <x v="1"/>
    <x v="1"/>
    <x v="8"/>
    <n v="23756"/>
    <n v="57"/>
    <n v="11604.83"/>
    <n v="4774.41"/>
    <x v="1"/>
  </r>
  <r>
    <x v="1"/>
    <x v="1"/>
    <x v="8"/>
    <n v="24326"/>
    <n v="33"/>
    <n v="4725.5"/>
    <n v="1291.47"/>
    <x v="4"/>
  </r>
  <r>
    <x v="2"/>
    <x v="1"/>
    <x v="8"/>
    <n v="12184"/>
    <n v="73"/>
    <n v="7841.33"/>
    <n v="5776.02"/>
    <x v="0"/>
  </r>
  <r>
    <x v="2"/>
    <x v="1"/>
    <x v="8"/>
    <n v="12622"/>
    <n v="32"/>
    <n v="9345.9699999999993"/>
    <n v="6047.66"/>
    <x v="1"/>
  </r>
  <r>
    <x v="2"/>
    <x v="1"/>
    <x v="8"/>
    <n v="13527"/>
    <n v="231"/>
    <n v="36402.769999999997"/>
    <n v="9532.81"/>
    <x v="2"/>
  </r>
  <r>
    <x v="2"/>
    <x v="1"/>
    <x v="8"/>
    <n v="13618"/>
    <n v="23"/>
    <n v="8011.45"/>
    <n v="4606.1000000000004"/>
    <x v="1"/>
  </r>
  <r>
    <x v="2"/>
    <x v="1"/>
    <x v="8"/>
    <n v="16024"/>
    <n v="224"/>
    <n v="105084.38"/>
    <n v="27640.67"/>
    <x v="3"/>
  </r>
  <r>
    <x v="2"/>
    <x v="1"/>
    <x v="8"/>
    <n v="16650"/>
    <n v="43"/>
    <n v="7964.09"/>
    <n v="5733.91"/>
    <x v="0"/>
  </r>
  <r>
    <x v="2"/>
    <x v="1"/>
    <x v="8"/>
    <n v="17892"/>
    <n v="58"/>
    <n v="8123.76"/>
    <n v="2109.11"/>
    <x v="4"/>
  </r>
  <r>
    <x v="2"/>
    <x v="1"/>
    <x v="8"/>
    <n v="18342"/>
    <n v="145"/>
    <n v="116310.65"/>
    <n v="32967"/>
    <x v="3"/>
  </r>
  <r>
    <x v="2"/>
    <x v="1"/>
    <x v="8"/>
    <n v="20177"/>
    <n v="38"/>
    <n v="3485.87"/>
    <n v="1552.24"/>
    <x v="5"/>
  </r>
  <r>
    <x v="2"/>
    <x v="1"/>
    <x v="8"/>
    <n v="21179"/>
    <n v="36"/>
    <n v="4433.99"/>
    <n v="2877.59"/>
    <x v="0"/>
  </r>
  <r>
    <x v="2"/>
    <x v="1"/>
    <x v="8"/>
    <n v="21260"/>
    <n v="69"/>
    <n v="12554.6"/>
    <n v="4048.23"/>
    <x v="4"/>
  </r>
  <r>
    <x v="2"/>
    <x v="1"/>
    <x v="8"/>
    <n v="22317"/>
    <n v="54"/>
    <n v="4729.1000000000004"/>
    <n v="2179.7800000000002"/>
    <x v="5"/>
  </r>
  <r>
    <x v="2"/>
    <x v="1"/>
    <x v="8"/>
    <n v="22940"/>
    <n v="370"/>
    <n v="52543.26"/>
    <n v="12028.95"/>
    <x v="2"/>
  </r>
  <r>
    <x v="2"/>
    <x v="1"/>
    <x v="8"/>
    <n v="23178"/>
    <n v="201"/>
    <n v="35678.800000000003"/>
    <n v="7686.4"/>
    <x v="2"/>
  </r>
  <r>
    <x v="2"/>
    <x v="1"/>
    <x v="8"/>
    <n v="23600"/>
    <n v="1157"/>
    <n v="124012.73"/>
    <n v="33327.75"/>
    <x v="2"/>
  </r>
  <r>
    <x v="2"/>
    <x v="1"/>
    <x v="8"/>
    <n v="23756"/>
    <n v="85"/>
    <n v="14030.97"/>
    <n v="6795.99"/>
    <x v="1"/>
  </r>
  <r>
    <x v="2"/>
    <x v="1"/>
    <x v="8"/>
    <n v="24326"/>
    <n v="125"/>
    <n v="17594.57"/>
    <n v="5818.2"/>
    <x v="4"/>
  </r>
  <r>
    <x v="3"/>
    <x v="1"/>
    <x v="8"/>
    <n v="12184"/>
    <n v="86"/>
    <n v="10984.08"/>
    <n v="6736.48"/>
    <x v="0"/>
  </r>
  <r>
    <x v="3"/>
    <x v="1"/>
    <x v="8"/>
    <n v="12622"/>
    <n v="66"/>
    <n v="14947.83"/>
    <n v="6273.28"/>
    <x v="1"/>
  </r>
  <r>
    <x v="3"/>
    <x v="1"/>
    <x v="8"/>
    <n v="13527"/>
    <n v="627"/>
    <n v="99591.52"/>
    <n v="22645.45"/>
    <x v="2"/>
  </r>
  <r>
    <x v="3"/>
    <x v="1"/>
    <x v="8"/>
    <n v="13618"/>
    <n v="17"/>
    <n v="5627.86"/>
    <n v="2494.1799999999998"/>
    <x v="1"/>
  </r>
  <r>
    <x v="3"/>
    <x v="1"/>
    <x v="8"/>
    <n v="16024"/>
    <n v="210"/>
    <n v="82933.62"/>
    <n v="17705.060000000001"/>
    <x v="3"/>
  </r>
  <r>
    <x v="3"/>
    <x v="1"/>
    <x v="8"/>
    <n v="16650"/>
    <n v="50"/>
    <n v="8534.89"/>
    <n v="4377.62"/>
    <x v="0"/>
  </r>
  <r>
    <x v="3"/>
    <x v="1"/>
    <x v="8"/>
    <n v="17892"/>
    <n v="73"/>
    <n v="10727.45"/>
    <n v="3024.38"/>
    <x v="4"/>
  </r>
  <r>
    <x v="3"/>
    <x v="1"/>
    <x v="8"/>
    <n v="18342"/>
    <n v="215"/>
    <n v="165911.98000000001"/>
    <n v="46163.17"/>
    <x v="3"/>
  </r>
  <r>
    <x v="3"/>
    <x v="1"/>
    <x v="8"/>
    <n v="20177"/>
    <n v="76"/>
    <n v="6861.08"/>
    <n v="2544.52"/>
    <x v="5"/>
  </r>
  <r>
    <x v="3"/>
    <x v="1"/>
    <x v="8"/>
    <n v="21179"/>
    <n v="26"/>
    <n v="2963.85"/>
    <n v="1743.12"/>
    <x v="0"/>
  </r>
  <r>
    <x v="3"/>
    <x v="1"/>
    <x v="8"/>
    <n v="21260"/>
    <n v="79"/>
    <n v="16489.82"/>
    <n v="4225.79"/>
    <x v="4"/>
  </r>
  <r>
    <x v="3"/>
    <x v="1"/>
    <x v="8"/>
    <n v="22317"/>
    <n v="33"/>
    <n v="3189.24"/>
    <n v="1054.24"/>
    <x v="5"/>
  </r>
  <r>
    <x v="3"/>
    <x v="1"/>
    <x v="8"/>
    <n v="22940"/>
    <n v="553"/>
    <n v="72814.97"/>
    <n v="15819.11"/>
    <x v="2"/>
  </r>
  <r>
    <x v="3"/>
    <x v="1"/>
    <x v="8"/>
    <n v="23178"/>
    <n v="154"/>
    <n v="28559.05"/>
    <n v="6202.96"/>
    <x v="2"/>
  </r>
  <r>
    <x v="3"/>
    <x v="1"/>
    <x v="8"/>
    <n v="23600"/>
    <n v="885"/>
    <n v="90686.45"/>
    <n v="21876.85"/>
    <x v="2"/>
  </r>
  <r>
    <x v="3"/>
    <x v="1"/>
    <x v="8"/>
    <n v="23756"/>
    <n v="97"/>
    <n v="17050.29"/>
    <n v="8217.1299999999992"/>
    <x v="1"/>
  </r>
  <r>
    <x v="3"/>
    <x v="1"/>
    <x v="8"/>
    <n v="24326"/>
    <n v="102"/>
    <n v="14043.86"/>
    <n v="3911.31"/>
    <x v="4"/>
  </r>
  <r>
    <x v="0"/>
    <x v="1"/>
    <x v="9"/>
    <n v="12184"/>
    <n v="50"/>
    <n v="5839.68"/>
    <n v="2423.9499999999998"/>
    <x v="0"/>
  </r>
  <r>
    <x v="0"/>
    <x v="1"/>
    <x v="9"/>
    <n v="12622"/>
    <n v="64"/>
    <n v="19569.310000000001"/>
    <n v="9924.8799999999992"/>
    <x v="1"/>
  </r>
  <r>
    <x v="0"/>
    <x v="1"/>
    <x v="9"/>
    <n v="13527"/>
    <n v="486"/>
    <n v="78977.73"/>
    <n v="13365.3"/>
    <x v="2"/>
  </r>
  <r>
    <x v="0"/>
    <x v="1"/>
    <x v="9"/>
    <n v="13618"/>
    <n v="11"/>
    <n v="4431.58"/>
    <n v="2008.76"/>
    <x v="1"/>
  </r>
  <r>
    <x v="0"/>
    <x v="1"/>
    <x v="9"/>
    <n v="16024"/>
    <n v="152"/>
    <n v="70928.95"/>
    <n v="20529.830000000002"/>
    <x v="3"/>
  </r>
  <r>
    <x v="0"/>
    <x v="1"/>
    <x v="9"/>
    <n v="16650"/>
    <n v="75"/>
    <n v="10433.49"/>
    <n v="5480.85"/>
    <x v="0"/>
  </r>
  <r>
    <x v="0"/>
    <x v="1"/>
    <x v="9"/>
    <n v="17892"/>
    <n v="87"/>
    <n v="11732.37"/>
    <n v="3654.05"/>
    <x v="4"/>
  </r>
  <r>
    <x v="0"/>
    <x v="1"/>
    <x v="9"/>
    <n v="18342"/>
    <n v="206"/>
    <n v="161463.35999999999"/>
    <n v="48352.3"/>
    <x v="3"/>
  </r>
  <r>
    <x v="0"/>
    <x v="1"/>
    <x v="9"/>
    <n v="20177"/>
    <n v="162"/>
    <n v="18803.41"/>
    <n v="6043.16"/>
    <x v="5"/>
  </r>
  <r>
    <x v="0"/>
    <x v="1"/>
    <x v="9"/>
    <n v="21179"/>
    <n v="68"/>
    <n v="7074.21"/>
    <n v="3298.96"/>
    <x v="0"/>
  </r>
  <r>
    <x v="0"/>
    <x v="1"/>
    <x v="9"/>
    <n v="21260"/>
    <n v="84"/>
    <n v="17673.2"/>
    <n v="4847.95"/>
    <x v="4"/>
  </r>
  <r>
    <x v="0"/>
    <x v="1"/>
    <x v="9"/>
    <n v="22317"/>
    <n v="129"/>
    <n v="11080.08"/>
    <n v="4444.3500000000004"/>
    <x v="5"/>
  </r>
  <r>
    <x v="0"/>
    <x v="1"/>
    <x v="9"/>
    <n v="22940"/>
    <n v="799"/>
    <n v="94508.35"/>
    <n v="16707.79"/>
    <x v="2"/>
  </r>
  <r>
    <x v="0"/>
    <x v="1"/>
    <x v="9"/>
    <n v="23178"/>
    <n v="231"/>
    <n v="37901.31"/>
    <n v="8047.41"/>
    <x v="2"/>
  </r>
  <r>
    <x v="0"/>
    <x v="1"/>
    <x v="9"/>
    <n v="23600"/>
    <n v="900"/>
    <n v="109089.98"/>
    <n v="22210.38"/>
    <x v="2"/>
  </r>
  <r>
    <x v="0"/>
    <x v="1"/>
    <x v="9"/>
    <n v="23756"/>
    <n v="106"/>
    <n v="22690.99"/>
    <n v="10613"/>
    <x v="1"/>
  </r>
  <r>
    <x v="0"/>
    <x v="1"/>
    <x v="9"/>
    <n v="24326"/>
    <n v="208"/>
    <n v="28770.11"/>
    <n v="7184.75"/>
    <x v="4"/>
  </r>
  <r>
    <x v="1"/>
    <x v="1"/>
    <x v="9"/>
    <n v="12184"/>
    <n v="38"/>
    <n v="4423.95"/>
    <n v="2444.7800000000002"/>
    <x v="0"/>
  </r>
  <r>
    <x v="1"/>
    <x v="1"/>
    <x v="9"/>
    <n v="12622"/>
    <n v="17"/>
    <n v="3992.49"/>
    <n v="1795.26"/>
    <x v="1"/>
  </r>
  <r>
    <x v="1"/>
    <x v="1"/>
    <x v="9"/>
    <n v="13527"/>
    <n v="219"/>
    <n v="37328.5"/>
    <n v="6845.88"/>
    <x v="2"/>
  </r>
  <r>
    <x v="1"/>
    <x v="1"/>
    <x v="9"/>
    <n v="13618"/>
    <n v="5"/>
    <n v="1791.6"/>
    <n v="779.87"/>
    <x v="1"/>
  </r>
  <r>
    <x v="1"/>
    <x v="1"/>
    <x v="9"/>
    <n v="16024"/>
    <n v="146"/>
    <n v="63567.87"/>
    <n v="20751.97"/>
    <x v="3"/>
  </r>
  <r>
    <x v="1"/>
    <x v="1"/>
    <x v="9"/>
    <n v="16650"/>
    <n v="34"/>
    <n v="4558.9399999999996"/>
    <n v="2638.23"/>
    <x v="0"/>
  </r>
  <r>
    <x v="1"/>
    <x v="1"/>
    <x v="9"/>
    <n v="17892"/>
    <n v="81"/>
    <n v="10860.06"/>
    <n v="2849.9"/>
    <x v="4"/>
  </r>
  <r>
    <x v="1"/>
    <x v="1"/>
    <x v="9"/>
    <n v="18342"/>
    <n v="24"/>
    <n v="21900.45"/>
    <n v="6494.13"/>
    <x v="3"/>
  </r>
  <r>
    <x v="1"/>
    <x v="1"/>
    <x v="9"/>
    <n v="20177"/>
    <n v="34"/>
    <n v="4006.02"/>
    <n v="1804.28"/>
    <x v="5"/>
  </r>
  <r>
    <x v="1"/>
    <x v="1"/>
    <x v="9"/>
    <n v="21179"/>
    <n v="29"/>
    <n v="3006.66"/>
    <n v="1941.29"/>
    <x v="0"/>
  </r>
  <r>
    <x v="1"/>
    <x v="1"/>
    <x v="9"/>
    <n v="21260"/>
    <n v="31"/>
    <n v="5534.58"/>
    <n v="1135.68"/>
    <x v="4"/>
  </r>
  <r>
    <x v="1"/>
    <x v="1"/>
    <x v="9"/>
    <n v="22317"/>
    <n v="13"/>
    <n v="1372.9"/>
    <n v="617.01"/>
    <x v="5"/>
  </r>
  <r>
    <x v="1"/>
    <x v="1"/>
    <x v="9"/>
    <n v="22940"/>
    <n v="107"/>
    <n v="14252.3"/>
    <n v="3331.13"/>
    <x v="2"/>
  </r>
  <r>
    <x v="1"/>
    <x v="1"/>
    <x v="9"/>
    <n v="23178"/>
    <n v="156"/>
    <n v="30281.15"/>
    <n v="7521.07"/>
    <x v="2"/>
  </r>
  <r>
    <x v="1"/>
    <x v="1"/>
    <x v="9"/>
    <n v="23600"/>
    <n v="272"/>
    <n v="30119.42"/>
    <n v="9220.85"/>
    <x v="2"/>
  </r>
  <r>
    <x v="1"/>
    <x v="1"/>
    <x v="9"/>
    <n v="23756"/>
    <n v="98"/>
    <n v="19672.560000000001"/>
    <n v="7648.3"/>
    <x v="1"/>
  </r>
  <r>
    <x v="1"/>
    <x v="1"/>
    <x v="9"/>
    <n v="24326"/>
    <n v="25"/>
    <n v="3361.71"/>
    <n v="1004.03"/>
    <x v="4"/>
  </r>
  <r>
    <x v="2"/>
    <x v="1"/>
    <x v="9"/>
    <n v="12184"/>
    <n v="91"/>
    <n v="9981.3799999999992"/>
    <n v="7159.87"/>
    <x v="0"/>
  </r>
  <r>
    <x v="2"/>
    <x v="1"/>
    <x v="9"/>
    <n v="12622"/>
    <n v="39"/>
    <n v="12047.17"/>
    <n v="7499.75"/>
    <x v="1"/>
  </r>
  <r>
    <x v="2"/>
    <x v="1"/>
    <x v="9"/>
    <n v="13527"/>
    <n v="382"/>
    <n v="60561.86"/>
    <n v="15629.75"/>
    <x v="2"/>
  </r>
  <r>
    <x v="2"/>
    <x v="1"/>
    <x v="9"/>
    <n v="13618"/>
    <n v="22"/>
    <n v="7303.16"/>
    <n v="4468.51"/>
    <x v="1"/>
  </r>
  <r>
    <x v="2"/>
    <x v="1"/>
    <x v="9"/>
    <n v="16024"/>
    <n v="144"/>
    <n v="55993.37"/>
    <n v="15406.56"/>
    <x v="3"/>
  </r>
  <r>
    <x v="2"/>
    <x v="1"/>
    <x v="9"/>
    <n v="16650"/>
    <n v="46"/>
    <n v="8427.99"/>
    <n v="5576.65"/>
    <x v="0"/>
  </r>
  <r>
    <x v="2"/>
    <x v="1"/>
    <x v="9"/>
    <n v="17892"/>
    <n v="135"/>
    <n v="21097.62"/>
    <n v="5899.89"/>
    <x v="4"/>
  </r>
  <r>
    <x v="2"/>
    <x v="1"/>
    <x v="9"/>
    <n v="18342"/>
    <n v="93"/>
    <n v="86789.440000000002"/>
    <n v="29479.13"/>
    <x v="3"/>
  </r>
  <r>
    <x v="2"/>
    <x v="1"/>
    <x v="9"/>
    <n v="20177"/>
    <n v="37"/>
    <n v="4022.04"/>
    <n v="1567.16"/>
    <x v="5"/>
  </r>
  <r>
    <x v="2"/>
    <x v="1"/>
    <x v="9"/>
    <n v="21179"/>
    <n v="60"/>
    <n v="7192.64"/>
    <n v="5443.15"/>
    <x v="0"/>
  </r>
  <r>
    <x v="2"/>
    <x v="1"/>
    <x v="9"/>
    <n v="21260"/>
    <n v="72"/>
    <n v="14104.33"/>
    <n v="4780.88"/>
    <x v="4"/>
  </r>
  <r>
    <x v="2"/>
    <x v="1"/>
    <x v="9"/>
    <n v="22317"/>
    <n v="43"/>
    <n v="3709.93"/>
    <n v="1905.74"/>
    <x v="5"/>
  </r>
  <r>
    <x v="2"/>
    <x v="1"/>
    <x v="9"/>
    <n v="22940"/>
    <n v="603"/>
    <n v="86432.69"/>
    <n v="23767.64"/>
    <x v="2"/>
  </r>
  <r>
    <x v="2"/>
    <x v="1"/>
    <x v="9"/>
    <n v="23178"/>
    <n v="266"/>
    <n v="48014.13"/>
    <n v="10503.13"/>
    <x v="2"/>
  </r>
  <r>
    <x v="2"/>
    <x v="1"/>
    <x v="9"/>
    <n v="23600"/>
    <n v="1167"/>
    <n v="130233.49"/>
    <n v="39951.760000000002"/>
    <x v="2"/>
  </r>
  <r>
    <x v="2"/>
    <x v="1"/>
    <x v="9"/>
    <n v="23756"/>
    <n v="135"/>
    <n v="23381.17"/>
    <n v="14407.69"/>
    <x v="1"/>
  </r>
  <r>
    <x v="2"/>
    <x v="1"/>
    <x v="9"/>
    <n v="24326"/>
    <n v="69"/>
    <n v="10926.09"/>
    <n v="3555.38"/>
    <x v="4"/>
  </r>
  <r>
    <x v="3"/>
    <x v="1"/>
    <x v="9"/>
    <n v="12184"/>
    <n v="89"/>
    <n v="12268.48"/>
    <n v="7573.91"/>
    <x v="0"/>
  </r>
  <r>
    <x v="3"/>
    <x v="1"/>
    <x v="9"/>
    <n v="12622"/>
    <n v="67"/>
    <n v="19870.52"/>
    <n v="10425.14"/>
    <x v="1"/>
  </r>
  <r>
    <x v="3"/>
    <x v="1"/>
    <x v="9"/>
    <n v="13527"/>
    <n v="536"/>
    <n v="90228.06"/>
    <n v="18772.04"/>
    <x v="2"/>
  </r>
  <r>
    <x v="3"/>
    <x v="1"/>
    <x v="9"/>
    <n v="13618"/>
    <n v="7"/>
    <n v="2746.17"/>
    <n v="1131.23"/>
    <x v="1"/>
  </r>
  <r>
    <x v="3"/>
    <x v="1"/>
    <x v="9"/>
    <n v="16024"/>
    <n v="159"/>
    <n v="61686.97"/>
    <n v="16229.43"/>
    <x v="3"/>
  </r>
  <r>
    <x v="3"/>
    <x v="1"/>
    <x v="9"/>
    <n v="16650"/>
    <n v="33"/>
    <n v="4133.04"/>
    <n v="2181.35"/>
    <x v="0"/>
  </r>
  <r>
    <x v="3"/>
    <x v="1"/>
    <x v="9"/>
    <n v="17892"/>
    <n v="42"/>
    <n v="6086.04"/>
    <n v="1356.93"/>
    <x v="4"/>
  </r>
  <r>
    <x v="3"/>
    <x v="1"/>
    <x v="9"/>
    <n v="18342"/>
    <n v="218"/>
    <n v="165684.38"/>
    <n v="47228.99"/>
    <x v="3"/>
  </r>
  <r>
    <x v="3"/>
    <x v="1"/>
    <x v="9"/>
    <n v="20177"/>
    <n v="58"/>
    <n v="5635.64"/>
    <n v="2046.75"/>
    <x v="5"/>
  </r>
  <r>
    <x v="3"/>
    <x v="1"/>
    <x v="9"/>
    <n v="21179"/>
    <n v="52"/>
    <n v="7886.29"/>
    <n v="4107.42"/>
    <x v="0"/>
  </r>
  <r>
    <x v="3"/>
    <x v="1"/>
    <x v="9"/>
    <n v="21260"/>
    <n v="63"/>
    <n v="12318.07"/>
    <n v="3182.21"/>
    <x v="4"/>
  </r>
  <r>
    <x v="3"/>
    <x v="1"/>
    <x v="9"/>
    <n v="22317"/>
    <n v="71"/>
    <n v="5509.74"/>
    <n v="2357.7800000000002"/>
    <x v="5"/>
  </r>
  <r>
    <x v="3"/>
    <x v="1"/>
    <x v="9"/>
    <n v="22940"/>
    <n v="610"/>
    <n v="80660.789999999994"/>
    <n v="16907.740000000002"/>
    <x v="2"/>
  </r>
  <r>
    <x v="3"/>
    <x v="1"/>
    <x v="9"/>
    <n v="23178"/>
    <n v="263"/>
    <n v="45590.84"/>
    <n v="8695.6"/>
    <x v="2"/>
  </r>
  <r>
    <x v="3"/>
    <x v="1"/>
    <x v="9"/>
    <n v="23600"/>
    <n v="952"/>
    <n v="106350.67"/>
    <n v="22953.360000000001"/>
    <x v="2"/>
  </r>
  <r>
    <x v="3"/>
    <x v="1"/>
    <x v="9"/>
    <n v="23756"/>
    <n v="63"/>
    <n v="10038.629999999999"/>
    <n v="4646.04"/>
    <x v="1"/>
  </r>
  <r>
    <x v="3"/>
    <x v="1"/>
    <x v="9"/>
    <n v="24326"/>
    <n v="123"/>
    <n v="18547.419999999998"/>
    <n v="5010.28"/>
    <x v="4"/>
  </r>
  <r>
    <x v="0"/>
    <x v="1"/>
    <x v="10"/>
    <n v="12184"/>
    <n v="110"/>
    <n v="15436.55"/>
    <n v="8444.5400000000009"/>
    <x v="0"/>
  </r>
  <r>
    <x v="0"/>
    <x v="1"/>
    <x v="10"/>
    <n v="12622"/>
    <n v="29"/>
    <n v="8011.9"/>
    <n v="3570.44"/>
    <x v="1"/>
  </r>
  <r>
    <x v="0"/>
    <x v="1"/>
    <x v="10"/>
    <n v="13527"/>
    <n v="711"/>
    <n v="107032.83"/>
    <n v="22795.39"/>
    <x v="2"/>
  </r>
  <r>
    <x v="0"/>
    <x v="1"/>
    <x v="10"/>
    <n v="13618"/>
    <n v="19"/>
    <n v="8085.81"/>
    <n v="3329.42"/>
    <x v="1"/>
  </r>
  <r>
    <x v="0"/>
    <x v="1"/>
    <x v="10"/>
    <n v="16024"/>
    <n v="281"/>
    <n v="133561.70000000001"/>
    <n v="43813.1"/>
    <x v="3"/>
  </r>
  <r>
    <x v="0"/>
    <x v="1"/>
    <x v="10"/>
    <n v="16650"/>
    <n v="40"/>
    <n v="5154.58"/>
    <n v="2081.46"/>
    <x v="0"/>
  </r>
  <r>
    <x v="0"/>
    <x v="1"/>
    <x v="10"/>
    <n v="17892"/>
    <n v="117"/>
    <n v="16292.97"/>
    <n v="4668.78"/>
    <x v="4"/>
  </r>
  <r>
    <x v="0"/>
    <x v="1"/>
    <x v="10"/>
    <n v="18342"/>
    <n v="190"/>
    <n v="153573.73000000001"/>
    <n v="49309.47"/>
    <x v="3"/>
  </r>
  <r>
    <x v="0"/>
    <x v="1"/>
    <x v="10"/>
    <n v="20177"/>
    <n v="109"/>
    <n v="11082.85"/>
    <n v="4055.52"/>
    <x v="5"/>
  </r>
  <r>
    <x v="0"/>
    <x v="1"/>
    <x v="10"/>
    <n v="21179"/>
    <n v="32"/>
    <n v="3477.55"/>
    <n v="1721.88"/>
    <x v="0"/>
  </r>
  <r>
    <x v="0"/>
    <x v="1"/>
    <x v="10"/>
    <n v="21260"/>
    <n v="57"/>
    <n v="11810.61"/>
    <n v="3220.32"/>
    <x v="4"/>
  </r>
  <r>
    <x v="0"/>
    <x v="1"/>
    <x v="10"/>
    <n v="22317"/>
    <n v="73"/>
    <n v="6491.68"/>
    <n v="2405.85"/>
    <x v="5"/>
  </r>
  <r>
    <x v="0"/>
    <x v="1"/>
    <x v="10"/>
    <n v="22940"/>
    <n v="598"/>
    <n v="80247.58"/>
    <n v="16389.62"/>
    <x v="2"/>
  </r>
  <r>
    <x v="0"/>
    <x v="1"/>
    <x v="10"/>
    <n v="23178"/>
    <n v="473"/>
    <n v="77037.710000000006"/>
    <n v="14089.77"/>
    <x v="2"/>
  </r>
  <r>
    <x v="0"/>
    <x v="1"/>
    <x v="10"/>
    <n v="23600"/>
    <n v="1137"/>
    <n v="128387.96"/>
    <n v="27707.22"/>
    <x v="2"/>
  </r>
  <r>
    <x v="0"/>
    <x v="1"/>
    <x v="10"/>
    <n v="23756"/>
    <n v="106"/>
    <n v="16436.189999999999"/>
    <n v="7702.32"/>
    <x v="1"/>
  </r>
  <r>
    <x v="0"/>
    <x v="1"/>
    <x v="10"/>
    <n v="24326"/>
    <n v="146"/>
    <n v="22681.23"/>
    <n v="6200.31"/>
    <x v="4"/>
  </r>
  <r>
    <x v="1"/>
    <x v="1"/>
    <x v="10"/>
    <n v="12184"/>
    <n v="23"/>
    <n v="2681.68"/>
    <n v="1286.53"/>
    <x v="0"/>
  </r>
  <r>
    <x v="1"/>
    <x v="1"/>
    <x v="10"/>
    <n v="12622"/>
    <n v="20"/>
    <n v="4381.9799999999996"/>
    <n v="1765.48"/>
    <x v="1"/>
  </r>
  <r>
    <x v="1"/>
    <x v="1"/>
    <x v="10"/>
    <n v="13527"/>
    <n v="355"/>
    <n v="55485.57"/>
    <n v="10847.2"/>
    <x v="2"/>
  </r>
  <r>
    <x v="1"/>
    <x v="1"/>
    <x v="10"/>
    <n v="13618"/>
    <n v="10"/>
    <n v="3662.19"/>
    <n v="1366.97"/>
    <x v="1"/>
  </r>
  <r>
    <x v="1"/>
    <x v="1"/>
    <x v="10"/>
    <n v="16024"/>
    <n v="186"/>
    <n v="81215.149999999994"/>
    <n v="28411.63"/>
    <x v="3"/>
  </r>
  <r>
    <x v="1"/>
    <x v="1"/>
    <x v="10"/>
    <n v="16650"/>
    <n v="17"/>
    <n v="2914.8"/>
    <n v="2010.55"/>
    <x v="0"/>
  </r>
  <r>
    <x v="1"/>
    <x v="1"/>
    <x v="10"/>
    <n v="17892"/>
    <n v="96"/>
    <n v="14273.4"/>
    <n v="3714.72"/>
    <x v="4"/>
  </r>
  <r>
    <x v="1"/>
    <x v="1"/>
    <x v="10"/>
    <n v="18342"/>
    <n v="28"/>
    <n v="20738.599999999999"/>
    <n v="7091.18"/>
    <x v="3"/>
  </r>
  <r>
    <x v="1"/>
    <x v="1"/>
    <x v="10"/>
    <n v="20177"/>
    <n v="13"/>
    <n v="1265.31"/>
    <n v="538.16999999999996"/>
    <x v="5"/>
  </r>
  <r>
    <x v="1"/>
    <x v="1"/>
    <x v="10"/>
    <n v="21179"/>
    <n v="27"/>
    <n v="2865.73"/>
    <n v="1610.3"/>
    <x v="0"/>
  </r>
  <r>
    <x v="1"/>
    <x v="1"/>
    <x v="10"/>
    <n v="21260"/>
    <n v="53"/>
    <n v="9232.7099999999991"/>
    <n v="2588.06"/>
    <x v="4"/>
  </r>
  <r>
    <x v="1"/>
    <x v="1"/>
    <x v="10"/>
    <n v="22317"/>
    <n v="7"/>
    <n v="618.6"/>
    <n v="282.79000000000002"/>
    <x v="5"/>
  </r>
  <r>
    <x v="1"/>
    <x v="1"/>
    <x v="10"/>
    <n v="22940"/>
    <n v="150"/>
    <n v="19590.09"/>
    <n v="5881.8"/>
    <x v="2"/>
  </r>
  <r>
    <x v="1"/>
    <x v="1"/>
    <x v="10"/>
    <n v="23178"/>
    <n v="317"/>
    <n v="51893.36"/>
    <n v="12031.83"/>
    <x v="2"/>
  </r>
  <r>
    <x v="1"/>
    <x v="1"/>
    <x v="10"/>
    <n v="23600"/>
    <n v="677"/>
    <n v="80411.98"/>
    <n v="19335.490000000002"/>
    <x v="2"/>
  </r>
  <r>
    <x v="1"/>
    <x v="1"/>
    <x v="10"/>
    <n v="23756"/>
    <n v="101"/>
    <n v="19957.27"/>
    <n v="8647.77"/>
    <x v="1"/>
  </r>
  <r>
    <x v="1"/>
    <x v="1"/>
    <x v="10"/>
    <n v="24326"/>
    <n v="17"/>
    <n v="2567.3200000000002"/>
    <n v="767.9"/>
    <x v="4"/>
  </r>
  <r>
    <x v="2"/>
    <x v="1"/>
    <x v="10"/>
    <n v="12184"/>
    <n v="101"/>
    <n v="10190.549999999999"/>
    <n v="6142.7"/>
    <x v="0"/>
  </r>
  <r>
    <x v="2"/>
    <x v="1"/>
    <x v="10"/>
    <n v="12622"/>
    <n v="45"/>
    <n v="10860.82"/>
    <n v="6175.26"/>
    <x v="1"/>
  </r>
  <r>
    <x v="2"/>
    <x v="1"/>
    <x v="10"/>
    <n v="13527"/>
    <n v="442"/>
    <n v="65147.24"/>
    <n v="13897.72"/>
    <x v="2"/>
  </r>
  <r>
    <x v="2"/>
    <x v="1"/>
    <x v="10"/>
    <n v="13618"/>
    <n v="18"/>
    <n v="6552.41"/>
    <n v="3770.24"/>
    <x v="1"/>
  </r>
  <r>
    <x v="2"/>
    <x v="1"/>
    <x v="10"/>
    <n v="16024"/>
    <n v="344"/>
    <n v="148627.95000000001"/>
    <n v="39723.49"/>
    <x v="3"/>
  </r>
  <r>
    <x v="2"/>
    <x v="1"/>
    <x v="10"/>
    <n v="16650"/>
    <n v="21"/>
    <n v="3924.69"/>
    <n v="2288.77"/>
    <x v="0"/>
  </r>
  <r>
    <x v="2"/>
    <x v="1"/>
    <x v="10"/>
    <n v="17892"/>
    <n v="56"/>
    <n v="7001.6"/>
    <n v="2361.85"/>
    <x v="4"/>
  </r>
  <r>
    <x v="2"/>
    <x v="1"/>
    <x v="10"/>
    <n v="18342"/>
    <n v="86"/>
    <n v="80868.990000000005"/>
    <n v="21474.79"/>
    <x v="3"/>
  </r>
  <r>
    <x v="2"/>
    <x v="1"/>
    <x v="10"/>
    <n v="20177"/>
    <n v="90"/>
    <n v="10486.97"/>
    <n v="4122.6099999999997"/>
    <x v="5"/>
  </r>
  <r>
    <x v="2"/>
    <x v="1"/>
    <x v="10"/>
    <n v="21179"/>
    <n v="35"/>
    <n v="3761.16"/>
    <n v="2938.53"/>
    <x v="0"/>
  </r>
  <r>
    <x v="2"/>
    <x v="1"/>
    <x v="10"/>
    <n v="21260"/>
    <n v="49"/>
    <n v="9542.18"/>
    <n v="2974.85"/>
    <x v="4"/>
  </r>
  <r>
    <x v="2"/>
    <x v="1"/>
    <x v="10"/>
    <n v="22317"/>
    <n v="51"/>
    <n v="5123.88"/>
    <n v="2165.71"/>
    <x v="5"/>
  </r>
  <r>
    <x v="2"/>
    <x v="1"/>
    <x v="10"/>
    <n v="22940"/>
    <n v="470"/>
    <n v="55995.22"/>
    <n v="12383.26"/>
    <x v="2"/>
  </r>
  <r>
    <x v="2"/>
    <x v="1"/>
    <x v="10"/>
    <n v="23178"/>
    <n v="170"/>
    <n v="33188.85"/>
    <n v="8053.48"/>
    <x v="2"/>
  </r>
  <r>
    <x v="2"/>
    <x v="1"/>
    <x v="10"/>
    <n v="23600"/>
    <n v="638"/>
    <n v="75242.37"/>
    <n v="24156.29"/>
    <x v="2"/>
  </r>
  <r>
    <x v="2"/>
    <x v="1"/>
    <x v="10"/>
    <n v="23756"/>
    <n v="137"/>
    <n v="21728.81"/>
    <n v="11042.01"/>
    <x v="1"/>
  </r>
  <r>
    <x v="2"/>
    <x v="1"/>
    <x v="10"/>
    <n v="24326"/>
    <n v="80"/>
    <n v="10895.18"/>
    <n v="3198.67"/>
    <x v="4"/>
  </r>
  <r>
    <x v="3"/>
    <x v="1"/>
    <x v="10"/>
    <n v="12184"/>
    <n v="54"/>
    <n v="7928.44"/>
    <n v="3835.56"/>
    <x v="0"/>
  </r>
  <r>
    <x v="3"/>
    <x v="1"/>
    <x v="10"/>
    <n v="12622"/>
    <n v="50"/>
    <n v="13963.62"/>
    <n v="6955.6"/>
    <x v="1"/>
  </r>
  <r>
    <x v="3"/>
    <x v="1"/>
    <x v="10"/>
    <n v="13527"/>
    <n v="438"/>
    <n v="67128.899999999994"/>
    <n v="13548.03"/>
    <x v="2"/>
  </r>
  <r>
    <x v="3"/>
    <x v="1"/>
    <x v="10"/>
    <n v="13618"/>
    <n v="15"/>
    <n v="6363.83"/>
    <n v="3040.08"/>
    <x v="1"/>
  </r>
  <r>
    <x v="3"/>
    <x v="1"/>
    <x v="10"/>
    <n v="16024"/>
    <n v="182"/>
    <n v="75097.94"/>
    <n v="18864.14"/>
    <x v="3"/>
  </r>
  <r>
    <x v="3"/>
    <x v="1"/>
    <x v="10"/>
    <n v="16650"/>
    <n v="34"/>
    <n v="5656.66"/>
    <n v="3498.28"/>
    <x v="0"/>
  </r>
  <r>
    <x v="3"/>
    <x v="1"/>
    <x v="10"/>
    <n v="17892"/>
    <n v="98"/>
    <n v="12714.74"/>
    <n v="3583.86"/>
    <x v="4"/>
  </r>
  <r>
    <x v="3"/>
    <x v="1"/>
    <x v="10"/>
    <n v="18342"/>
    <n v="98"/>
    <n v="79076.350000000006"/>
    <n v="19611.41"/>
    <x v="3"/>
  </r>
  <r>
    <x v="3"/>
    <x v="1"/>
    <x v="10"/>
    <n v="20177"/>
    <n v="96"/>
    <n v="11210.07"/>
    <n v="4037.65"/>
    <x v="5"/>
  </r>
  <r>
    <x v="3"/>
    <x v="1"/>
    <x v="10"/>
    <n v="21179"/>
    <n v="54"/>
    <n v="7775.27"/>
    <n v="3891.03"/>
    <x v="0"/>
  </r>
  <r>
    <x v="3"/>
    <x v="1"/>
    <x v="10"/>
    <n v="21260"/>
    <n v="84"/>
    <n v="15808.14"/>
    <n v="4646.6899999999996"/>
    <x v="4"/>
  </r>
  <r>
    <x v="3"/>
    <x v="1"/>
    <x v="10"/>
    <n v="22317"/>
    <n v="51"/>
    <n v="4493.82"/>
    <n v="1974.49"/>
    <x v="5"/>
  </r>
  <r>
    <x v="3"/>
    <x v="1"/>
    <x v="10"/>
    <n v="22940"/>
    <n v="343"/>
    <n v="46388.27"/>
    <n v="10139.39"/>
    <x v="2"/>
  </r>
  <r>
    <x v="3"/>
    <x v="1"/>
    <x v="10"/>
    <n v="23178"/>
    <n v="197"/>
    <n v="34334.76"/>
    <n v="6324.43"/>
    <x v="2"/>
  </r>
  <r>
    <x v="3"/>
    <x v="1"/>
    <x v="10"/>
    <n v="23600"/>
    <n v="1377"/>
    <n v="151343.47"/>
    <n v="30336.799999999999"/>
    <x v="2"/>
  </r>
  <r>
    <x v="3"/>
    <x v="1"/>
    <x v="10"/>
    <n v="23756"/>
    <n v="70"/>
    <n v="11842.21"/>
    <n v="5364.59"/>
    <x v="1"/>
  </r>
  <r>
    <x v="3"/>
    <x v="1"/>
    <x v="10"/>
    <n v="24326"/>
    <n v="126"/>
    <n v="15981.59"/>
    <n v="4374.1099999999997"/>
    <x v="4"/>
  </r>
  <r>
    <x v="0"/>
    <x v="1"/>
    <x v="11"/>
    <n v="12184"/>
    <n v="100"/>
    <n v="13489.39"/>
    <n v="7378.77"/>
    <x v="0"/>
  </r>
  <r>
    <x v="0"/>
    <x v="1"/>
    <x v="11"/>
    <n v="12622"/>
    <n v="57"/>
    <n v="13596.93"/>
    <n v="7161.26"/>
    <x v="1"/>
  </r>
  <r>
    <x v="0"/>
    <x v="1"/>
    <x v="11"/>
    <n v="13527"/>
    <n v="734"/>
    <n v="118290.81"/>
    <n v="20527.439999999999"/>
    <x v="2"/>
  </r>
  <r>
    <x v="0"/>
    <x v="1"/>
    <x v="11"/>
    <n v="13618"/>
    <n v="27"/>
    <n v="11977.52"/>
    <n v="5143.6899999999996"/>
    <x v="1"/>
  </r>
  <r>
    <x v="0"/>
    <x v="1"/>
    <x v="11"/>
    <n v="16024"/>
    <n v="125"/>
    <n v="52400.4"/>
    <n v="17240.650000000001"/>
    <x v="3"/>
  </r>
  <r>
    <x v="0"/>
    <x v="1"/>
    <x v="11"/>
    <n v="16650"/>
    <n v="65"/>
    <n v="8744.9500000000007"/>
    <n v="4614.51"/>
    <x v="0"/>
  </r>
  <r>
    <x v="0"/>
    <x v="1"/>
    <x v="11"/>
    <n v="17892"/>
    <n v="126"/>
    <n v="18566.39"/>
    <n v="5149.5600000000004"/>
    <x v="4"/>
  </r>
  <r>
    <x v="0"/>
    <x v="1"/>
    <x v="11"/>
    <n v="18342"/>
    <n v="132"/>
    <n v="107860.3"/>
    <n v="26545.8"/>
    <x v="3"/>
  </r>
  <r>
    <x v="0"/>
    <x v="1"/>
    <x v="11"/>
    <n v="20177"/>
    <n v="86"/>
    <n v="9888.99"/>
    <n v="3231.64"/>
    <x v="5"/>
  </r>
  <r>
    <x v="0"/>
    <x v="1"/>
    <x v="11"/>
    <n v="21179"/>
    <n v="66"/>
    <n v="6911.04"/>
    <n v="3391.9"/>
    <x v="0"/>
  </r>
  <r>
    <x v="0"/>
    <x v="1"/>
    <x v="11"/>
    <n v="21260"/>
    <n v="84"/>
    <n v="17085.11"/>
    <n v="4230.29"/>
    <x v="4"/>
  </r>
  <r>
    <x v="0"/>
    <x v="1"/>
    <x v="11"/>
    <n v="22317"/>
    <n v="53"/>
    <n v="5060.29"/>
    <n v="2014.09"/>
    <x v="5"/>
  </r>
  <r>
    <x v="0"/>
    <x v="1"/>
    <x v="11"/>
    <n v="22940"/>
    <n v="732"/>
    <n v="98161.11"/>
    <n v="17722.82"/>
    <x v="2"/>
  </r>
  <r>
    <x v="0"/>
    <x v="1"/>
    <x v="11"/>
    <n v="23178"/>
    <n v="336"/>
    <n v="61911.26"/>
    <n v="10168.42"/>
    <x v="2"/>
  </r>
  <r>
    <x v="0"/>
    <x v="1"/>
    <x v="11"/>
    <n v="23600"/>
    <n v="791"/>
    <n v="80807.58"/>
    <n v="20404.759999999998"/>
    <x v="2"/>
  </r>
  <r>
    <x v="0"/>
    <x v="1"/>
    <x v="11"/>
    <n v="23756"/>
    <n v="144"/>
    <n v="29306.43"/>
    <n v="13785.07"/>
    <x v="1"/>
  </r>
  <r>
    <x v="0"/>
    <x v="1"/>
    <x v="11"/>
    <n v="24326"/>
    <n v="112"/>
    <n v="15291.34"/>
    <n v="4160.87"/>
    <x v="4"/>
  </r>
  <r>
    <x v="1"/>
    <x v="1"/>
    <x v="11"/>
    <n v="12184"/>
    <n v="21"/>
    <n v="2153.9"/>
    <n v="1144.55"/>
    <x v="0"/>
  </r>
  <r>
    <x v="1"/>
    <x v="1"/>
    <x v="11"/>
    <n v="12622"/>
    <n v="12"/>
    <n v="3377.62"/>
    <n v="1266.3800000000001"/>
    <x v="1"/>
  </r>
  <r>
    <x v="1"/>
    <x v="1"/>
    <x v="11"/>
    <n v="13527"/>
    <n v="361"/>
    <n v="61738.11"/>
    <n v="11500.87"/>
    <x v="2"/>
  </r>
  <r>
    <x v="1"/>
    <x v="1"/>
    <x v="11"/>
    <n v="13618"/>
    <n v="7"/>
    <n v="2368.02"/>
    <n v="956.13"/>
    <x v="1"/>
  </r>
  <r>
    <x v="1"/>
    <x v="1"/>
    <x v="11"/>
    <n v="16024"/>
    <n v="148"/>
    <n v="60248.37"/>
    <n v="17324.95"/>
    <x v="3"/>
  </r>
  <r>
    <x v="1"/>
    <x v="1"/>
    <x v="11"/>
    <n v="16650"/>
    <n v="35"/>
    <n v="6448.11"/>
    <n v="3442.57"/>
    <x v="0"/>
  </r>
  <r>
    <x v="1"/>
    <x v="1"/>
    <x v="11"/>
    <n v="17892"/>
    <n v="77"/>
    <n v="11508.8"/>
    <n v="2787.79"/>
    <x v="4"/>
  </r>
  <r>
    <x v="1"/>
    <x v="1"/>
    <x v="11"/>
    <n v="18342"/>
    <n v="31"/>
    <n v="27159.38"/>
    <n v="8120.65"/>
    <x v="3"/>
  </r>
  <r>
    <x v="1"/>
    <x v="1"/>
    <x v="11"/>
    <n v="20177"/>
    <n v="24"/>
    <n v="2495.21"/>
    <n v="1113.26"/>
    <x v="5"/>
  </r>
  <r>
    <x v="1"/>
    <x v="1"/>
    <x v="11"/>
    <n v="21179"/>
    <n v="30"/>
    <n v="3475.29"/>
    <n v="1668.71"/>
    <x v="0"/>
  </r>
  <r>
    <x v="1"/>
    <x v="1"/>
    <x v="11"/>
    <n v="21260"/>
    <n v="40"/>
    <n v="7513.87"/>
    <n v="1653.89"/>
    <x v="4"/>
  </r>
  <r>
    <x v="1"/>
    <x v="1"/>
    <x v="11"/>
    <n v="22317"/>
    <n v="8"/>
    <n v="594.6"/>
    <n v="267.14"/>
    <x v="5"/>
  </r>
  <r>
    <x v="1"/>
    <x v="1"/>
    <x v="11"/>
    <n v="22940"/>
    <n v="95"/>
    <n v="12275.06"/>
    <n v="2953.78"/>
    <x v="2"/>
  </r>
  <r>
    <x v="1"/>
    <x v="1"/>
    <x v="11"/>
    <n v="23178"/>
    <n v="209"/>
    <n v="39248.67"/>
    <n v="10236.35"/>
    <x v="2"/>
  </r>
  <r>
    <x v="1"/>
    <x v="1"/>
    <x v="11"/>
    <n v="23600"/>
    <n v="734"/>
    <n v="78406.92"/>
    <n v="23327.57"/>
    <x v="2"/>
  </r>
  <r>
    <x v="1"/>
    <x v="1"/>
    <x v="11"/>
    <n v="23756"/>
    <n v="59"/>
    <n v="8921.18"/>
    <n v="3651.96"/>
    <x v="1"/>
  </r>
  <r>
    <x v="1"/>
    <x v="1"/>
    <x v="11"/>
    <n v="24326"/>
    <n v="30"/>
    <n v="4009.49"/>
    <n v="1171.73"/>
    <x v="4"/>
  </r>
  <r>
    <x v="2"/>
    <x v="1"/>
    <x v="11"/>
    <n v="12184"/>
    <n v="41"/>
    <n v="5412.56"/>
    <n v="4134.9799999999996"/>
    <x v="0"/>
  </r>
  <r>
    <x v="2"/>
    <x v="1"/>
    <x v="11"/>
    <n v="12622"/>
    <n v="26"/>
    <n v="7212.71"/>
    <n v="4014.87"/>
    <x v="1"/>
  </r>
  <r>
    <x v="2"/>
    <x v="1"/>
    <x v="11"/>
    <n v="13527"/>
    <n v="219"/>
    <n v="38663.56"/>
    <n v="10517.56"/>
    <x v="2"/>
  </r>
  <r>
    <x v="2"/>
    <x v="1"/>
    <x v="11"/>
    <n v="13618"/>
    <n v="10"/>
    <n v="4248.76"/>
    <n v="2487.42"/>
    <x v="1"/>
  </r>
  <r>
    <x v="2"/>
    <x v="1"/>
    <x v="11"/>
    <n v="16024"/>
    <n v="357"/>
    <n v="148617.35999999999"/>
    <n v="43023.97"/>
    <x v="3"/>
  </r>
  <r>
    <x v="2"/>
    <x v="1"/>
    <x v="11"/>
    <n v="16650"/>
    <n v="39"/>
    <n v="7848.49"/>
    <n v="5915.93"/>
    <x v="0"/>
  </r>
  <r>
    <x v="2"/>
    <x v="1"/>
    <x v="11"/>
    <n v="17892"/>
    <n v="96"/>
    <n v="14301.48"/>
    <n v="5049.66"/>
    <x v="4"/>
  </r>
  <r>
    <x v="2"/>
    <x v="1"/>
    <x v="11"/>
    <n v="18342"/>
    <n v="80"/>
    <n v="61014.2"/>
    <n v="20048.259999999998"/>
    <x v="3"/>
  </r>
  <r>
    <x v="2"/>
    <x v="1"/>
    <x v="11"/>
    <n v="20177"/>
    <n v="49"/>
    <n v="5948.62"/>
    <n v="2560.38"/>
    <x v="5"/>
  </r>
  <r>
    <x v="2"/>
    <x v="1"/>
    <x v="11"/>
    <n v="21179"/>
    <n v="62"/>
    <n v="8371.84"/>
    <n v="5276.66"/>
    <x v="0"/>
  </r>
  <r>
    <x v="2"/>
    <x v="1"/>
    <x v="11"/>
    <n v="21260"/>
    <n v="45"/>
    <n v="9090.74"/>
    <n v="2572.7800000000002"/>
    <x v="4"/>
  </r>
  <r>
    <x v="2"/>
    <x v="1"/>
    <x v="11"/>
    <n v="22317"/>
    <n v="39"/>
    <n v="3701.29"/>
    <n v="1655.13"/>
    <x v="5"/>
  </r>
  <r>
    <x v="2"/>
    <x v="1"/>
    <x v="11"/>
    <n v="22940"/>
    <n v="541"/>
    <n v="69046.899999999994"/>
    <n v="16456.86"/>
    <x v="2"/>
  </r>
  <r>
    <x v="2"/>
    <x v="1"/>
    <x v="11"/>
    <n v="23178"/>
    <n v="200"/>
    <n v="36728.080000000002"/>
    <n v="8137.4"/>
    <x v="2"/>
  </r>
  <r>
    <x v="2"/>
    <x v="1"/>
    <x v="11"/>
    <n v="23600"/>
    <n v="901"/>
    <n v="113386.41"/>
    <n v="32222.04"/>
    <x v="2"/>
  </r>
  <r>
    <x v="2"/>
    <x v="1"/>
    <x v="11"/>
    <n v="23756"/>
    <n v="106"/>
    <n v="20142.810000000001"/>
    <n v="11221.03"/>
    <x v="1"/>
  </r>
  <r>
    <x v="2"/>
    <x v="1"/>
    <x v="11"/>
    <n v="24326"/>
    <n v="65"/>
    <n v="9195.82"/>
    <n v="2730.94"/>
    <x v="4"/>
  </r>
  <r>
    <x v="3"/>
    <x v="1"/>
    <x v="11"/>
    <n v="12184"/>
    <n v="85"/>
    <n v="11435.74"/>
    <n v="6319.84"/>
    <x v="0"/>
  </r>
  <r>
    <x v="3"/>
    <x v="1"/>
    <x v="11"/>
    <n v="12622"/>
    <n v="25"/>
    <n v="5664.88"/>
    <n v="2362.2600000000002"/>
    <x v="1"/>
  </r>
  <r>
    <x v="3"/>
    <x v="1"/>
    <x v="11"/>
    <n v="13527"/>
    <n v="237"/>
    <n v="35069.83"/>
    <n v="6760.8"/>
    <x v="2"/>
  </r>
  <r>
    <x v="3"/>
    <x v="1"/>
    <x v="11"/>
    <n v="13618"/>
    <n v="7"/>
    <n v="2886.59"/>
    <n v="1364.91"/>
    <x v="1"/>
  </r>
  <r>
    <x v="3"/>
    <x v="1"/>
    <x v="11"/>
    <n v="16024"/>
    <n v="203"/>
    <n v="88340.86"/>
    <n v="20632"/>
    <x v="3"/>
  </r>
  <r>
    <x v="3"/>
    <x v="1"/>
    <x v="11"/>
    <n v="16650"/>
    <n v="54"/>
    <n v="9595.9599999999991"/>
    <n v="4721.6899999999996"/>
    <x v="0"/>
  </r>
  <r>
    <x v="3"/>
    <x v="1"/>
    <x v="11"/>
    <n v="17892"/>
    <n v="58"/>
    <n v="8961.4599999999991"/>
    <n v="2016.01"/>
    <x v="4"/>
  </r>
  <r>
    <x v="3"/>
    <x v="1"/>
    <x v="11"/>
    <n v="18342"/>
    <n v="111"/>
    <n v="85855.46"/>
    <n v="22643.58"/>
    <x v="3"/>
  </r>
  <r>
    <x v="3"/>
    <x v="1"/>
    <x v="11"/>
    <n v="20177"/>
    <n v="85"/>
    <n v="9712.98"/>
    <n v="3459.87"/>
    <x v="5"/>
  </r>
  <r>
    <x v="3"/>
    <x v="1"/>
    <x v="11"/>
    <n v="21179"/>
    <n v="24"/>
    <n v="3518.52"/>
    <n v="1934.54"/>
    <x v="0"/>
  </r>
  <r>
    <x v="3"/>
    <x v="1"/>
    <x v="11"/>
    <n v="21260"/>
    <n v="63"/>
    <n v="11979.97"/>
    <n v="3341.27"/>
    <x v="4"/>
  </r>
  <r>
    <x v="3"/>
    <x v="1"/>
    <x v="11"/>
    <n v="22317"/>
    <n v="46"/>
    <n v="4605.1400000000003"/>
    <n v="1777.55"/>
    <x v="5"/>
  </r>
  <r>
    <x v="3"/>
    <x v="1"/>
    <x v="11"/>
    <n v="22940"/>
    <n v="630"/>
    <n v="84379.88"/>
    <n v="17450.259999999998"/>
    <x v="2"/>
  </r>
  <r>
    <x v="3"/>
    <x v="1"/>
    <x v="11"/>
    <n v="23178"/>
    <n v="107"/>
    <n v="20172.169999999998"/>
    <n v="4164"/>
    <x v="2"/>
  </r>
  <r>
    <x v="3"/>
    <x v="1"/>
    <x v="11"/>
    <n v="23600"/>
    <n v="1342"/>
    <n v="158147.37"/>
    <n v="41008.39"/>
    <x v="2"/>
  </r>
  <r>
    <x v="3"/>
    <x v="1"/>
    <x v="11"/>
    <n v="23756"/>
    <n v="145"/>
    <n v="24887.39"/>
    <n v="12114.45"/>
    <x v="1"/>
  </r>
  <r>
    <x v="3"/>
    <x v="1"/>
    <x v="11"/>
    <n v="24326"/>
    <n v="108"/>
    <n v="15864.11"/>
    <n v="4480.17"/>
    <x v="4"/>
  </r>
  <r>
    <x v="0"/>
    <x v="2"/>
    <x v="0"/>
    <n v="12184"/>
    <n v="72"/>
    <n v="10293.280000000001"/>
    <n v="4684.96"/>
    <x v="0"/>
  </r>
  <r>
    <x v="0"/>
    <x v="2"/>
    <x v="0"/>
    <n v="12622"/>
    <n v="59"/>
    <n v="16883.07"/>
    <n v="7877.02"/>
    <x v="1"/>
  </r>
  <r>
    <x v="0"/>
    <x v="2"/>
    <x v="0"/>
    <n v="13527"/>
    <n v="475"/>
    <n v="81583.839999999997"/>
    <n v="16175.96"/>
    <x v="2"/>
  </r>
  <r>
    <x v="0"/>
    <x v="2"/>
    <x v="0"/>
    <n v="13618"/>
    <n v="30"/>
    <n v="13207.72"/>
    <n v="6605.36"/>
    <x v="1"/>
  </r>
  <r>
    <x v="0"/>
    <x v="2"/>
    <x v="0"/>
    <n v="16024"/>
    <n v="118"/>
    <n v="56916"/>
    <n v="17498.099999999999"/>
    <x v="3"/>
  </r>
  <r>
    <x v="0"/>
    <x v="2"/>
    <x v="0"/>
    <n v="16650"/>
    <n v="55"/>
    <n v="8651.4"/>
    <n v="4080.57"/>
    <x v="0"/>
  </r>
  <r>
    <x v="0"/>
    <x v="2"/>
    <x v="0"/>
    <n v="17892"/>
    <n v="101"/>
    <n v="14796.01"/>
    <n v="3891.46"/>
    <x v="4"/>
  </r>
  <r>
    <x v="0"/>
    <x v="2"/>
    <x v="0"/>
    <n v="18342"/>
    <n v="171"/>
    <n v="158716.96"/>
    <n v="46553.71"/>
    <x v="3"/>
  </r>
  <r>
    <x v="0"/>
    <x v="2"/>
    <x v="0"/>
    <n v="20177"/>
    <n v="129"/>
    <n v="12847.47"/>
    <n v="4224.5200000000004"/>
    <x v="5"/>
  </r>
  <r>
    <x v="0"/>
    <x v="2"/>
    <x v="0"/>
    <n v="21179"/>
    <n v="61"/>
    <n v="8329.08"/>
    <n v="4488.2700000000004"/>
    <x v="0"/>
  </r>
  <r>
    <x v="0"/>
    <x v="2"/>
    <x v="0"/>
    <n v="21260"/>
    <n v="110"/>
    <n v="21839.87"/>
    <n v="6128.3"/>
    <x v="4"/>
  </r>
  <r>
    <x v="0"/>
    <x v="2"/>
    <x v="0"/>
    <n v="22317"/>
    <n v="79"/>
    <n v="6887.13"/>
    <n v="2951.42"/>
    <x v="5"/>
  </r>
  <r>
    <x v="0"/>
    <x v="2"/>
    <x v="0"/>
    <n v="22940"/>
    <n v="844"/>
    <n v="109384.92"/>
    <n v="20909.27"/>
    <x v="2"/>
  </r>
  <r>
    <x v="0"/>
    <x v="2"/>
    <x v="0"/>
    <n v="23178"/>
    <n v="182"/>
    <n v="30692"/>
    <n v="6010.83"/>
    <x v="2"/>
  </r>
  <r>
    <x v="0"/>
    <x v="2"/>
    <x v="0"/>
    <n v="23600"/>
    <n v="528"/>
    <n v="56346.11"/>
    <n v="12551.13"/>
    <x v="2"/>
  </r>
  <r>
    <x v="0"/>
    <x v="2"/>
    <x v="0"/>
    <n v="23756"/>
    <n v="50"/>
    <n v="7696.49"/>
    <n v="3554.56"/>
    <x v="1"/>
  </r>
  <r>
    <x v="0"/>
    <x v="2"/>
    <x v="0"/>
    <n v="24326"/>
    <n v="98"/>
    <n v="14277.3"/>
    <n v="3946.22"/>
    <x v="4"/>
  </r>
  <r>
    <x v="1"/>
    <x v="2"/>
    <x v="0"/>
    <n v="12184"/>
    <n v="21"/>
    <n v="2543.06"/>
    <n v="1130.56"/>
    <x v="0"/>
  </r>
  <r>
    <x v="1"/>
    <x v="2"/>
    <x v="0"/>
    <n v="12622"/>
    <n v="12"/>
    <n v="3086.04"/>
    <n v="1194.54"/>
    <x v="1"/>
  </r>
  <r>
    <x v="1"/>
    <x v="2"/>
    <x v="0"/>
    <n v="13527"/>
    <n v="147"/>
    <n v="23686.11"/>
    <n v="3968.69"/>
    <x v="2"/>
  </r>
  <r>
    <x v="1"/>
    <x v="2"/>
    <x v="0"/>
    <n v="13618"/>
    <n v="10"/>
    <n v="4148.47"/>
    <n v="1589.35"/>
    <x v="1"/>
  </r>
  <r>
    <x v="1"/>
    <x v="2"/>
    <x v="0"/>
    <n v="16024"/>
    <n v="87"/>
    <n v="42671.24"/>
    <n v="14419.63"/>
    <x v="3"/>
  </r>
  <r>
    <x v="1"/>
    <x v="2"/>
    <x v="0"/>
    <n v="16650"/>
    <n v="32"/>
    <n v="5749.04"/>
    <n v="3885.57"/>
    <x v="0"/>
  </r>
  <r>
    <x v="1"/>
    <x v="2"/>
    <x v="0"/>
    <n v="17892"/>
    <n v="63"/>
    <n v="9346.36"/>
    <n v="2595.38"/>
    <x v="4"/>
  </r>
  <r>
    <x v="1"/>
    <x v="2"/>
    <x v="0"/>
    <n v="18342"/>
    <n v="24"/>
    <n v="21878.95"/>
    <n v="7111.04"/>
    <x v="3"/>
  </r>
  <r>
    <x v="1"/>
    <x v="2"/>
    <x v="0"/>
    <n v="20177"/>
    <n v="30"/>
    <n v="2613.4499999999998"/>
    <n v="1014.47"/>
    <x v="5"/>
  </r>
  <r>
    <x v="1"/>
    <x v="2"/>
    <x v="0"/>
    <n v="21179"/>
    <n v="20"/>
    <n v="2383"/>
    <n v="1162.48"/>
    <x v="0"/>
  </r>
  <r>
    <x v="1"/>
    <x v="2"/>
    <x v="0"/>
    <n v="21260"/>
    <n v="25"/>
    <n v="5041.4799999999996"/>
    <n v="1267.96"/>
    <x v="4"/>
  </r>
  <r>
    <x v="1"/>
    <x v="2"/>
    <x v="0"/>
    <n v="22317"/>
    <n v="13"/>
    <n v="1003.89"/>
    <n v="486.58"/>
    <x v="5"/>
  </r>
  <r>
    <x v="1"/>
    <x v="2"/>
    <x v="0"/>
    <n v="22940"/>
    <n v="231"/>
    <n v="30335.57"/>
    <n v="7413.92"/>
    <x v="2"/>
  </r>
  <r>
    <x v="1"/>
    <x v="2"/>
    <x v="0"/>
    <n v="23178"/>
    <n v="135"/>
    <n v="25532.49"/>
    <n v="7294.84"/>
    <x v="2"/>
  </r>
  <r>
    <x v="1"/>
    <x v="2"/>
    <x v="0"/>
    <n v="23600"/>
    <n v="778"/>
    <n v="82423.149999999994"/>
    <n v="22050.39"/>
    <x v="2"/>
  </r>
  <r>
    <x v="1"/>
    <x v="2"/>
    <x v="0"/>
    <n v="23756"/>
    <n v="81"/>
    <n v="12866.94"/>
    <n v="4856.2299999999996"/>
    <x v="1"/>
  </r>
  <r>
    <x v="1"/>
    <x v="2"/>
    <x v="0"/>
    <n v="24326"/>
    <n v="30"/>
    <n v="3818.93"/>
    <n v="1248.71"/>
    <x v="4"/>
  </r>
  <r>
    <x v="2"/>
    <x v="2"/>
    <x v="0"/>
    <n v="12184"/>
    <n v="99"/>
    <n v="12749.41"/>
    <n v="7783.7"/>
    <x v="0"/>
  </r>
  <r>
    <x v="2"/>
    <x v="2"/>
    <x v="0"/>
    <n v="12622"/>
    <n v="46"/>
    <n v="12621.32"/>
    <n v="8235.4699999999993"/>
    <x v="1"/>
  </r>
  <r>
    <x v="2"/>
    <x v="2"/>
    <x v="0"/>
    <n v="13527"/>
    <n v="422"/>
    <n v="62543.4"/>
    <n v="17872.259999999998"/>
    <x v="2"/>
  </r>
  <r>
    <x v="2"/>
    <x v="2"/>
    <x v="0"/>
    <n v="13618"/>
    <n v="21"/>
    <n v="8320.3700000000008"/>
    <n v="4536.67"/>
    <x v="1"/>
  </r>
  <r>
    <x v="2"/>
    <x v="2"/>
    <x v="0"/>
    <n v="16024"/>
    <n v="209"/>
    <n v="83407.42"/>
    <n v="26559.85"/>
    <x v="3"/>
  </r>
  <r>
    <x v="2"/>
    <x v="2"/>
    <x v="0"/>
    <n v="16650"/>
    <n v="38"/>
    <n v="7328.35"/>
    <n v="5166.43"/>
    <x v="0"/>
  </r>
  <r>
    <x v="2"/>
    <x v="2"/>
    <x v="0"/>
    <n v="17892"/>
    <n v="73"/>
    <n v="9297.64"/>
    <n v="2794.01"/>
    <x v="4"/>
  </r>
  <r>
    <x v="2"/>
    <x v="2"/>
    <x v="0"/>
    <n v="18342"/>
    <n v="146"/>
    <n v="123334.07"/>
    <n v="35099.74"/>
    <x v="3"/>
  </r>
  <r>
    <x v="2"/>
    <x v="2"/>
    <x v="0"/>
    <n v="20177"/>
    <n v="42"/>
    <n v="4334.8999999999996"/>
    <n v="1760.34"/>
    <x v="5"/>
  </r>
  <r>
    <x v="2"/>
    <x v="2"/>
    <x v="0"/>
    <n v="21179"/>
    <n v="71"/>
    <n v="8150.41"/>
    <n v="6250.86"/>
    <x v="0"/>
  </r>
  <r>
    <x v="2"/>
    <x v="2"/>
    <x v="0"/>
    <n v="21260"/>
    <n v="51"/>
    <n v="10250.209999999999"/>
    <n v="2782.59"/>
    <x v="4"/>
  </r>
  <r>
    <x v="2"/>
    <x v="2"/>
    <x v="0"/>
    <n v="22317"/>
    <n v="44"/>
    <n v="4362.46"/>
    <n v="2213.34"/>
    <x v="5"/>
  </r>
  <r>
    <x v="2"/>
    <x v="2"/>
    <x v="0"/>
    <n v="22940"/>
    <n v="502"/>
    <n v="70549.8"/>
    <n v="16992.09"/>
    <x v="2"/>
  </r>
  <r>
    <x v="2"/>
    <x v="2"/>
    <x v="0"/>
    <n v="23178"/>
    <n v="114"/>
    <n v="22346.42"/>
    <n v="5934.75"/>
    <x v="2"/>
  </r>
  <r>
    <x v="2"/>
    <x v="2"/>
    <x v="0"/>
    <n v="23600"/>
    <n v="1080"/>
    <n v="108103.39"/>
    <n v="34104.75"/>
    <x v="2"/>
  </r>
  <r>
    <x v="2"/>
    <x v="2"/>
    <x v="0"/>
    <n v="23756"/>
    <n v="135"/>
    <n v="21302.85"/>
    <n v="10463.4"/>
    <x v="1"/>
  </r>
  <r>
    <x v="2"/>
    <x v="2"/>
    <x v="0"/>
    <n v="24326"/>
    <n v="61"/>
    <n v="9762.1"/>
    <n v="3249.23"/>
    <x v="4"/>
  </r>
  <r>
    <x v="3"/>
    <x v="2"/>
    <x v="0"/>
    <n v="12184"/>
    <n v="85"/>
    <n v="8761.19"/>
    <n v="4559.62"/>
    <x v="0"/>
  </r>
  <r>
    <x v="3"/>
    <x v="2"/>
    <x v="0"/>
    <n v="12622"/>
    <n v="32"/>
    <n v="8189.68"/>
    <n v="3398.78"/>
    <x v="1"/>
  </r>
  <r>
    <x v="3"/>
    <x v="2"/>
    <x v="0"/>
    <n v="13527"/>
    <n v="664"/>
    <n v="104565.34"/>
    <n v="19532.77"/>
    <x v="2"/>
  </r>
  <r>
    <x v="3"/>
    <x v="2"/>
    <x v="0"/>
    <n v="13618"/>
    <n v="14"/>
    <n v="4727.9399999999996"/>
    <n v="1991.88"/>
    <x v="1"/>
  </r>
  <r>
    <x v="3"/>
    <x v="2"/>
    <x v="0"/>
    <n v="16024"/>
    <n v="140"/>
    <n v="54349.77"/>
    <n v="13803.69"/>
    <x v="3"/>
  </r>
  <r>
    <x v="3"/>
    <x v="2"/>
    <x v="0"/>
    <n v="16650"/>
    <n v="24"/>
    <n v="4276.96"/>
    <n v="2802"/>
    <x v="0"/>
  </r>
  <r>
    <x v="3"/>
    <x v="2"/>
    <x v="0"/>
    <n v="17892"/>
    <n v="77"/>
    <n v="9970.06"/>
    <n v="2713.06"/>
    <x v="4"/>
  </r>
  <r>
    <x v="3"/>
    <x v="2"/>
    <x v="0"/>
    <n v="18342"/>
    <n v="99"/>
    <n v="81523.39"/>
    <n v="20750.05"/>
    <x v="3"/>
  </r>
  <r>
    <x v="3"/>
    <x v="2"/>
    <x v="0"/>
    <n v="20177"/>
    <n v="77"/>
    <n v="7868.17"/>
    <n v="3138.61"/>
    <x v="5"/>
  </r>
  <r>
    <x v="3"/>
    <x v="2"/>
    <x v="0"/>
    <n v="21179"/>
    <n v="39"/>
    <n v="5854.33"/>
    <n v="3422.77"/>
    <x v="0"/>
  </r>
  <r>
    <x v="3"/>
    <x v="2"/>
    <x v="0"/>
    <n v="21260"/>
    <n v="45"/>
    <n v="8128.14"/>
    <n v="2078.5300000000002"/>
    <x v="4"/>
  </r>
  <r>
    <x v="3"/>
    <x v="2"/>
    <x v="0"/>
    <n v="22317"/>
    <n v="57"/>
    <n v="5318.2"/>
    <n v="2189.62"/>
    <x v="5"/>
  </r>
  <r>
    <x v="3"/>
    <x v="2"/>
    <x v="0"/>
    <n v="22940"/>
    <n v="634"/>
    <n v="81567.899999999994"/>
    <n v="18881.38"/>
    <x v="2"/>
  </r>
  <r>
    <x v="3"/>
    <x v="2"/>
    <x v="0"/>
    <n v="23178"/>
    <n v="186"/>
    <n v="34752.26"/>
    <n v="6239.89"/>
    <x v="2"/>
  </r>
  <r>
    <x v="3"/>
    <x v="2"/>
    <x v="0"/>
    <n v="23600"/>
    <n v="1031"/>
    <n v="109002.26"/>
    <n v="29535.69"/>
    <x v="2"/>
  </r>
  <r>
    <x v="3"/>
    <x v="2"/>
    <x v="0"/>
    <n v="23756"/>
    <n v="138"/>
    <n v="24617.279999999999"/>
    <n v="11229.89"/>
    <x v="1"/>
  </r>
  <r>
    <x v="3"/>
    <x v="2"/>
    <x v="0"/>
    <n v="24326"/>
    <n v="116"/>
    <n v="16947.2"/>
    <n v="3997.2"/>
    <x v="4"/>
  </r>
  <r>
    <x v="0"/>
    <x v="2"/>
    <x v="1"/>
    <n v="12184"/>
    <n v="73"/>
    <n v="9108.59"/>
    <n v="4180.45"/>
    <x v="0"/>
  </r>
  <r>
    <x v="0"/>
    <x v="2"/>
    <x v="1"/>
    <n v="12622"/>
    <n v="46"/>
    <n v="11063.4"/>
    <n v="4626.28"/>
    <x v="1"/>
  </r>
  <r>
    <x v="0"/>
    <x v="2"/>
    <x v="1"/>
    <n v="13527"/>
    <n v="620"/>
    <n v="97333.01"/>
    <n v="19781.919999999998"/>
    <x v="2"/>
  </r>
  <r>
    <x v="0"/>
    <x v="2"/>
    <x v="1"/>
    <n v="13618"/>
    <n v="21"/>
    <n v="7129.92"/>
    <n v="3579.42"/>
    <x v="1"/>
  </r>
  <r>
    <x v="0"/>
    <x v="2"/>
    <x v="1"/>
    <n v="16024"/>
    <n v="338"/>
    <n v="145568.93"/>
    <n v="43349.67"/>
    <x v="3"/>
  </r>
  <r>
    <x v="0"/>
    <x v="2"/>
    <x v="1"/>
    <n v="16650"/>
    <n v="60"/>
    <n v="8869.52"/>
    <n v="3591.55"/>
    <x v="0"/>
  </r>
  <r>
    <x v="0"/>
    <x v="2"/>
    <x v="1"/>
    <n v="17892"/>
    <n v="182"/>
    <n v="25206.73"/>
    <n v="6147.29"/>
    <x v="4"/>
  </r>
  <r>
    <x v="0"/>
    <x v="2"/>
    <x v="1"/>
    <n v="18342"/>
    <n v="198"/>
    <n v="172676.93"/>
    <n v="54538.19"/>
    <x v="3"/>
  </r>
  <r>
    <x v="0"/>
    <x v="2"/>
    <x v="1"/>
    <n v="20177"/>
    <n v="158"/>
    <n v="15286.67"/>
    <n v="6235.21"/>
    <x v="5"/>
  </r>
  <r>
    <x v="0"/>
    <x v="2"/>
    <x v="1"/>
    <n v="21179"/>
    <n v="61"/>
    <n v="8568.0300000000007"/>
    <n v="3596.95"/>
    <x v="0"/>
  </r>
  <r>
    <x v="0"/>
    <x v="2"/>
    <x v="1"/>
    <n v="21260"/>
    <n v="97"/>
    <n v="20244.39"/>
    <n v="6047.06"/>
    <x v="4"/>
  </r>
  <r>
    <x v="0"/>
    <x v="2"/>
    <x v="1"/>
    <n v="22317"/>
    <n v="114"/>
    <n v="9632.49"/>
    <n v="3724.4"/>
    <x v="5"/>
  </r>
  <r>
    <x v="0"/>
    <x v="2"/>
    <x v="1"/>
    <n v="22940"/>
    <n v="445"/>
    <n v="60097.3"/>
    <n v="10379.56"/>
    <x v="2"/>
  </r>
  <r>
    <x v="0"/>
    <x v="2"/>
    <x v="1"/>
    <n v="23178"/>
    <n v="408"/>
    <n v="74890.009999999995"/>
    <n v="15551.84"/>
    <x v="2"/>
  </r>
  <r>
    <x v="0"/>
    <x v="2"/>
    <x v="1"/>
    <n v="23600"/>
    <n v="1333"/>
    <n v="151804.01"/>
    <n v="32839.410000000003"/>
    <x v="2"/>
  </r>
  <r>
    <x v="0"/>
    <x v="2"/>
    <x v="1"/>
    <n v="23756"/>
    <n v="58"/>
    <n v="10411.91"/>
    <n v="4685.18"/>
    <x v="1"/>
  </r>
  <r>
    <x v="0"/>
    <x v="2"/>
    <x v="1"/>
    <n v="24326"/>
    <n v="179"/>
    <n v="27123.82"/>
    <n v="8420.4699999999993"/>
    <x v="4"/>
  </r>
  <r>
    <x v="1"/>
    <x v="2"/>
    <x v="1"/>
    <n v="12184"/>
    <n v="35"/>
    <n v="4351.84"/>
    <n v="2194.23"/>
    <x v="0"/>
  </r>
  <r>
    <x v="1"/>
    <x v="2"/>
    <x v="1"/>
    <n v="12622"/>
    <n v="13"/>
    <n v="3554.54"/>
    <n v="1334.28"/>
    <x v="1"/>
  </r>
  <r>
    <x v="1"/>
    <x v="2"/>
    <x v="1"/>
    <n v="13527"/>
    <n v="202"/>
    <n v="33310.54"/>
    <n v="6725.04"/>
    <x v="2"/>
  </r>
  <r>
    <x v="1"/>
    <x v="2"/>
    <x v="1"/>
    <n v="13618"/>
    <n v="6"/>
    <n v="2046.38"/>
    <n v="878.45"/>
    <x v="1"/>
  </r>
  <r>
    <x v="1"/>
    <x v="2"/>
    <x v="1"/>
    <n v="16024"/>
    <n v="181"/>
    <n v="82870.720000000001"/>
    <n v="27611.15"/>
    <x v="3"/>
  </r>
  <r>
    <x v="1"/>
    <x v="2"/>
    <x v="1"/>
    <n v="16650"/>
    <n v="14"/>
    <n v="2562.59"/>
    <n v="1603.78"/>
    <x v="0"/>
  </r>
  <r>
    <x v="1"/>
    <x v="2"/>
    <x v="1"/>
    <n v="17892"/>
    <n v="40"/>
    <n v="5472.62"/>
    <n v="1336.99"/>
    <x v="4"/>
  </r>
  <r>
    <x v="1"/>
    <x v="2"/>
    <x v="1"/>
    <n v="18342"/>
    <n v="12"/>
    <n v="9135.6200000000008"/>
    <n v="3065.19"/>
    <x v="3"/>
  </r>
  <r>
    <x v="1"/>
    <x v="2"/>
    <x v="1"/>
    <n v="20177"/>
    <n v="21"/>
    <n v="2400.17"/>
    <n v="960.54"/>
    <x v="5"/>
  </r>
  <r>
    <x v="1"/>
    <x v="2"/>
    <x v="1"/>
    <n v="21179"/>
    <n v="38"/>
    <n v="5209.09"/>
    <n v="3267.86"/>
    <x v="0"/>
  </r>
  <r>
    <x v="1"/>
    <x v="2"/>
    <x v="1"/>
    <n v="21260"/>
    <n v="33"/>
    <n v="6720.78"/>
    <n v="1868.22"/>
    <x v="4"/>
  </r>
  <r>
    <x v="1"/>
    <x v="2"/>
    <x v="1"/>
    <n v="22317"/>
    <n v="14"/>
    <n v="1459.11"/>
    <n v="599.38"/>
    <x v="5"/>
  </r>
  <r>
    <x v="1"/>
    <x v="2"/>
    <x v="1"/>
    <n v="22940"/>
    <n v="230"/>
    <n v="31582.91"/>
    <n v="9690.17"/>
    <x v="2"/>
  </r>
  <r>
    <x v="1"/>
    <x v="2"/>
    <x v="1"/>
    <n v="23178"/>
    <n v="246"/>
    <n v="47147.25"/>
    <n v="10859.48"/>
    <x v="2"/>
  </r>
  <r>
    <x v="1"/>
    <x v="2"/>
    <x v="1"/>
    <n v="23600"/>
    <n v="637"/>
    <n v="79110.03"/>
    <n v="23582.31"/>
    <x v="2"/>
  </r>
  <r>
    <x v="1"/>
    <x v="2"/>
    <x v="1"/>
    <n v="23756"/>
    <n v="76"/>
    <n v="14470.44"/>
    <n v="6662.04"/>
    <x v="1"/>
  </r>
  <r>
    <x v="1"/>
    <x v="2"/>
    <x v="1"/>
    <n v="24326"/>
    <n v="28"/>
    <n v="4412.83"/>
    <n v="1222.6099999999999"/>
    <x v="4"/>
  </r>
  <r>
    <x v="2"/>
    <x v="2"/>
    <x v="1"/>
    <n v="12184"/>
    <n v="57"/>
    <n v="7134.62"/>
    <n v="4147.8100000000004"/>
    <x v="0"/>
  </r>
  <r>
    <x v="2"/>
    <x v="2"/>
    <x v="1"/>
    <n v="12622"/>
    <n v="54"/>
    <n v="15462.55"/>
    <n v="9460.94"/>
    <x v="1"/>
  </r>
  <r>
    <x v="2"/>
    <x v="2"/>
    <x v="1"/>
    <n v="13527"/>
    <n v="456"/>
    <n v="78558.06"/>
    <n v="20915.919999999998"/>
    <x v="2"/>
  </r>
  <r>
    <x v="2"/>
    <x v="2"/>
    <x v="1"/>
    <n v="13618"/>
    <n v="18"/>
    <n v="7997.28"/>
    <n v="4944.8599999999997"/>
    <x v="1"/>
  </r>
  <r>
    <x v="2"/>
    <x v="2"/>
    <x v="1"/>
    <n v="16024"/>
    <n v="351"/>
    <n v="136218.59"/>
    <n v="43803.63"/>
    <x v="3"/>
  </r>
  <r>
    <x v="2"/>
    <x v="2"/>
    <x v="1"/>
    <n v="16650"/>
    <n v="42"/>
    <n v="7483.99"/>
    <n v="4528.42"/>
    <x v="0"/>
  </r>
  <r>
    <x v="2"/>
    <x v="2"/>
    <x v="1"/>
    <n v="17892"/>
    <n v="57"/>
    <n v="8244.83"/>
    <n v="2661.63"/>
    <x v="4"/>
  </r>
  <r>
    <x v="2"/>
    <x v="2"/>
    <x v="1"/>
    <n v="18342"/>
    <n v="90"/>
    <n v="66510.850000000006"/>
    <n v="21519.88"/>
    <x v="3"/>
  </r>
  <r>
    <x v="2"/>
    <x v="2"/>
    <x v="1"/>
    <n v="20177"/>
    <n v="92"/>
    <n v="10128.49"/>
    <n v="4582.59"/>
    <x v="5"/>
  </r>
  <r>
    <x v="2"/>
    <x v="2"/>
    <x v="1"/>
    <n v="21179"/>
    <n v="45"/>
    <n v="6590.15"/>
    <n v="4273.4799999999996"/>
    <x v="0"/>
  </r>
  <r>
    <x v="2"/>
    <x v="2"/>
    <x v="1"/>
    <n v="21260"/>
    <n v="53"/>
    <n v="10864.43"/>
    <n v="3378.47"/>
    <x v="4"/>
  </r>
  <r>
    <x v="2"/>
    <x v="2"/>
    <x v="1"/>
    <n v="22317"/>
    <n v="49"/>
    <n v="4891.3599999999997"/>
    <n v="2520.69"/>
    <x v="5"/>
  </r>
  <r>
    <x v="2"/>
    <x v="2"/>
    <x v="1"/>
    <n v="22940"/>
    <n v="638"/>
    <n v="89982.79"/>
    <n v="22132.79"/>
    <x v="2"/>
  </r>
  <r>
    <x v="2"/>
    <x v="2"/>
    <x v="1"/>
    <n v="23178"/>
    <n v="225"/>
    <n v="38410.11"/>
    <n v="9535.34"/>
    <x v="2"/>
  </r>
  <r>
    <x v="2"/>
    <x v="2"/>
    <x v="1"/>
    <n v="23600"/>
    <n v="582"/>
    <n v="61762.94"/>
    <n v="15701.05"/>
    <x v="2"/>
  </r>
  <r>
    <x v="2"/>
    <x v="2"/>
    <x v="1"/>
    <n v="23756"/>
    <n v="71"/>
    <n v="11035.73"/>
    <n v="5839.62"/>
    <x v="1"/>
  </r>
  <r>
    <x v="2"/>
    <x v="2"/>
    <x v="1"/>
    <n v="24326"/>
    <n v="151"/>
    <n v="18873"/>
    <n v="6474.18"/>
    <x v="4"/>
  </r>
  <r>
    <x v="3"/>
    <x v="2"/>
    <x v="1"/>
    <n v="12184"/>
    <n v="78"/>
    <n v="11042"/>
    <n v="6852.89"/>
    <x v="0"/>
  </r>
  <r>
    <x v="3"/>
    <x v="2"/>
    <x v="1"/>
    <n v="12622"/>
    <n v="43"/>
    <n v="12611.53"/>
    <n v="5907.35"/>
    <x v="1"/>
  </r>
  <r>
    <x v="3"/>
    <x v="2"/>
    <x v="1"/>
    <n v="13527"/>
    <n v="381"/>
    <n v="66651.67"/>
    <n v="14070.54"/>
    <x v="2"/>
  </r>
  <r>
    <x v="3"/>
    <x v="2"/>
    <x v="1"/>
    <n v="13618"/>
    <n v="15"/>
    <n v="5122.24"/>
    <n v="2226.54"/>
    <x v="1"/>
  </r>
  <r>
    <x v="3"/>
    <x v="2"/>
    <x v="1"/>
    <n v="16024"/>
    <n v="166"/>
    <n v="77609.2"/>
    <n v="21693.94"/>
    <x v="3"/>
  </r>
  <r>
    <x v="3"/>
    <x v="2"/>
    <x v="1"/>
    <n v="16650"/>
    <n v="60"/>
    <n v="9425.2000000000007"/>
    <n v="5208.91"/>
    <x v="0"/>
  </r>
  <r>
    <x v="3"/>
    <x v="2"/>
    <x v="1"/>
    <n v="17892"/>
    <n v="91"/>
    <n v="13715.32"/>
    <n v="4071.06"/>
    <x v="4"/>
  </r>
  <r>
    <x v="3"/>
    <x v="2"/>
    <x v="1"/>
    <n v="18342"/>
    <n v="161"/>
    <n v="122028.51"/>
    <n v="32464.75"/>
    <x v="3"/>
  </r>
  <r>
    <x v="3"/>
    <x v="2"/>
    <x v="1"/>
    <n v="20177"/>
    <n v="102"/>
    <n v="10146.42"/>
    <n v="4158.3999999999996"/>
    <x v="5"/>
  </r>
  <r>
    <x v="3"/>
    <x v="2"/>
    <x v="1"/>
    <n v="21179"/>
    <n v="40"/>
    <n v="4563.46"/>
    <n v="2704.03"/>
    <x v="0"/>
  </r>
  <r>
    <x v="3"/>
    <x v="2"/>
    <x v="1"/>
    <n v="21260"/>
    <n v="62"/>
    <n v="12753.1"/>
    <n v="3330.42"/>
    <x v="4"/>
  </r>
  <r>
    <x v="3"/>
    <x v="2"/>
    <x v="1"/>
    <n v="22317"/>
    <n v="45"/>
    <n v="3690.5"/>
    <n v="1313.88"/>
    <x v="5"/>
  </r>
  <r>
    <x v="3"/>
    <x v="2"/>
    <x v="1"/>
    <n v="22940"/>
    <n v="264"/>
    <n v="32082.83"/>
    <n v="6178.36"/>
    <x v="2"/>
  </r>
  <r>
    <x v="3"/>
    <x v="2"/>
    <x v="1"/>
    <n v="23178"/>
    <n v="284"/>
    <n v="50532.43"/>
    <n v="10779.01"/>
    <x v="2"/>
  </r>
  <r>
    <x v="3"/>
    <x v="2"/>
    <x v="1"/>
    <n v="23600"/>
    <n v="857"/>
    <n v="85801.919999999998"/>
    <n v="21745.91"/>
    <x v="2"/>
  </r>
  <r>
    <x v="3"/>
    <x v="2"/>
    <x v="1"/>
    <n v="23756"/>
    <n v="62"/>
    <n v="13100.17"/>
    <n v="5944.07"/>
    <x v="1"/>
  </r>
  <r>
    <x v="3"/>
    <x v="2"/>
    <x v="1"/>
    <n v="24326"/>
    <n v="147"/>
    <n v="21974.78"/>
    <n v="5400.09"/>
    <x v="4"/>
  </r>
  <r>
    <x v="0"/>
    <x v="2"/>
    <x v="2"/>
    <n v="12184"/>
    <n v="59"/>
    <n v="8434.75"/>
    <n v="3448.81"/>
    <x v="0"/>
  </r>
  <r>
    <x v="0"/>
    <x v="2"/>
    <x v="2"/>
    <n v="12622"/>
    <n v="38"/>
    <n v="10839.9"/>
    <n v="5505.4"/>
    <x v="1"/>
  </r>
  <r>
    <x v="0"/>
    <x v="2"/>
    <x v="2"/>
    <n v="13527"/>
    <n v="702"/>
    <n v="109698.13"/>
    <n v="18917.52"/>
    <x v="2"/>
  </r>
  <r>
    <x v="0"/>
    <x v="2"/>
    <x v="2"/>
    <n v="13618"/>
    <n v="24"/>
    <n v="8513.26"/>
    <n v="3664.55"/>
    <x v="1"/>
  </r>
  <r>
    <x v="0"/>
    <x v="2"/>
    <x v="2"/>
    <n v="16024"/>
    <n v="154"/>
    <n v="67505.88"/>
    <n v="16824.47"/>
    <x v="3"/>
  </r>
  <r>
    <x v="0"/>
    <x v="2"/>
    <x v="2"/>
    <n v="16650"/>
    <n v="47"/>
    <n v="5754.22"/>
    <n v="2620.87"/>
    <x v="0"/>
  </r>
  <r>
    <x v="0"/>
    <x v="2"/>
    <x v="2"/>
    <n v="17892"/>
    <n v="197"/>
    <n v="29642.93"/>
    <n v="8735.89"/>
    <x v="4"/>
  </r>
  <r>
    <x v="0"/>
    <x v="2"/>
    <x v="2"/>
    <n v="18342"/>
    <n v="201"/>
    <n v="159425.32999999999"/>
    <n v="45300.31"/>
    <x v="3"/>
  </r>
  <r>
    <x v="0"/>
    <x v="2"/>
    <x v="2"/>
    <n v="20177"/>
    <n v="89"/>
    <n v="8379.57"/>
    <n v="3368.78"/>
    <x v="5"/>
  </r>
  <r>
    <x v="0"/>
    <x v="2"/>
    <x v="2"/>
    <n v="21179"/>
    <n v="83"/>
    <n v="8692.39"/>
    <n v="4327.95"/>
    <x v="0"/>
  </r>
  <r>
    <x v="0"/>
    <x v="2"/>
    <x v="2"/>
    <n v="21260"/>
    <n v="92"/>
    <n v="18349.080000000002"/>
    <n v="5254.13"/>
    <x v="4"/>
  </r>
  <r>
    <x v="0"/>
    <x v="2"/>
    <x v="2"/>
    <n v="22317"/>
    <n v="117"/>
    <n v="9706.14"/>
    <n v="4076.09"/>
    <x v="5"/>
  </r>
  <r>
    <x v="0"/>
    <x v="2"/>
    <x v="2"/>
    <n v="22940"/>
    <n v="665"/>
    <n v="80867.22"/>
    <n v="15553.12"/>
    <x v="2"/>
  </r>
  <r>
    <x v="0"/>
    <x v="2"/>
    <x v="2"/>
    <n v="23178"/>
    <n v="309"/>
    <n v="49442.75"/>
    <n v="10205.58"/>
    <x v="2"/>
  </r>
  <r>
    <x v="0"/>
    <x v="2"/>
    <x v="2"/>
    <n v="23600"/>
    <n v="1068"/>
    <n v="108620.37"/>
    <n v="27986.6"/>
    <x v="2"/>
  </r>
  <r>
    <x v="0"/>
    <x v="2"/>
    <x v="2"/>
    <n v="23756"/>
    <n v="136"/>
    <n v="24322.14"/>
    <n v="10633.43"/>
    <x v="1"/>
  </r>
  <r>
    <x v="0"/>
    <x v="2"/>
    <x v="2"/>
    <n v="24326"/>
    <n v="164"/>
    <n v="21385.200000000001"/>
    <n v="6986.38"/>
    <x v="4"/>
  </r>
  <r>
    <x v="1"/>
    <x v="2"/>
    <x v="2"/>
    <n v="12184"/>
    <n v="15"/>
    <n v="1659.78"/>
    <n v="857.12"/>
    <x v="0"/>
  </r>
  <r>
    <x v="1"/>
    <x v="2"/>
    <x v="2"/>
    <n v="12622"/>
    <n v="20"/>
    <n v="4605.72"/>
    <n v="1893.86"/>
    <x v="1"/>
  </r>
  <r>
    <x v="1"/>
    <x v="2"/>
    <x v="2"/>
    <n v="13527"/>
    <n v="209"/>
    <n v="30875.15"/>
    <n v="6131.15"/>
    <x v="2"/>
  </r>
  <r>
    <x v="1"/>
    <x v="2"/>
    <x v="2"/>
    <n v="13618"/>
    <n v="10"/>
    <n v="4057.36"/>
    <n v="1758.68"/>
    <x v="1"/>
  </r>
  <r>
    <x v="1"/>
    <x v="2"/>
    <x v="2"/>
    <n v="16024"/>
    <n v="182"/>
    <n v="78287.38"/>
    <n v="21602.59"/>
    <x v="3"/>
  </r>
  <r>
    <x v="1"/>
    <x v="2"/>
    <x v="2"/>
    <n v="16650"/>
    <n v="26"/>
    <n v="4759.45"/>
    <n v="2997.23"/>
    <x v="0"/>
  </r>
  <r>
    <x v="1"/>
    <x v="2"/>
    <x v="2"/>
    <n v="17892"/>
    <n v="61"/>
    <n v="9094.58"/>
    <n v="2490.81"/>
    <x v="4"/>
  </r>
  <r>
    <x v="1"/>
    <x v="2"/>
    <x v="2"/>
    <n v="18342"/>
    <n v="19"/>
    <n v="17392.03"/>
    <n v="5015.2"/>
    <x v="3"/>
  </r>
  <r>
    <x v="1"/>
    <x v="2"/>
    <x v="2"/>
    <n v="20177"/>
    <n v="33"/>
    <n v="3674.34"/>
    <n v="1261.73"/>
    <x v="5"/>
  </r>
  <r>
    <x v="1"/>
    <x v="2"/>
    <x v="2"/>
    <n v="21179"/>
    <n v="35"/>
    <n v="4930.96"/>
    <n v="2929.73"/>
    <x v="0"/>
  </r>
  <r>
    <x v="1"/>
    <x v="2"/>
    <x v="2"/>
    <n v="21260"/>
    <n v="43"/>
    <n v="7457"/>
    <n v="1845.9"/>
    <x v="4"/>
  </r>
  <r>
    <x v="1"/>
    <x v="2"/>
    <x v="2"/>
    <n v="22317"/>
    <n v="12"/>
    <n v="889.88"/>
    <n v="439.51"/>
    <x v="5"/>
  </r>
  <r>
    <x v="1"/>
    <x v="2"/>
    <x v="2"/>
    <n v="22940"/>
    <n v="116"/>
    <n v="15868.36"/>
    <n v="4131.95"/>
    <x v="2"/>
  </r>
  <r>
    <x v="1"/>
    <x v="2"/>
    <x v="2"/>
    <n v="23178"/>
    <n v="285"/>
    <n v="50621.8"/>
    <n v="11719.94"/>
    <x v="2"/>
  </r>
  <r>
    <x v="1"/>
    <x v="2"/>
    <x v="2"/>
    <n v="23600"/>
    <n v="372"/>
    <n v="45080.01"/>
    <n v="12799.44"/>
    <x v="2"/>
  </r>
  <r>
    <x v="1"/>
    <x v="2"/>
    <x v="2"/>
    <n v="23756"/>
    <n v="42"/>
    <n v="8585.85"/>
    <n v="3888.03"/>
    <x v="1"/>
  </r>
  <r>
    <x v="1"/>
    <x v="2"/>
    <x v="2"/>
    <n v="24326"/>
    <n v="22"/>
    <n v="2969.88"/>
    <n v="885.18"/>
    <x v="4"/>
  </r>
  <r>
    <x v="2"/>
    <x v="2"/>
    <x v="2"/>
    <n v="12184"/>
    <n v="88"/>
    <n v="11432.61"/>
    <n v="7954.32"/>
    <x v="0"/>
  </r>
  <r>
    <x v="2"/>
    <x v="2"/>
    <x v="2"/>
    <n v="12622"/>
    <n v="41"/>
    <n v="12181.56"/>
    <n v="7018.15"/>
    <x v="1"/>
  </r>
  <r>
    <x v="2"/>
    <x v="2"/>
    <x v="2"/>
    <n v="13527"/>
    <n v="456"/>
    <n v="67748.460000000006"/>
    <n v="18449.12"/>
    <x v="2"/>
  </r>
  <r>
    <x v="2"/>
    <x v="2"/>
    <x v="2"/>
    <n v="13618"/>
    <n v="27"/>
    <n v="11623.48"/>
    <n v="6128.74"/>
    <x v="1"/>
  </r>
  <r>
    <x v="2"/>
    <x v="2"/>
    <x v="2"/>
    <n v="16024"/>
    <n v="181"/>
    <n v="78669.179999999993"/>
    <n v="23214.6"/>
    <x v="3"/>
  </r>
  <r>
    <x v="2"/>
    <x v="2"/>
    <x v="2"/>
    <n v="16650"/>
    <n v="35"/>
    <n v="6202.12"/>
    <n v="4190.51"/>
    <x v="0"/>
  </r>
  <r>
    <x v="2"/>
    <x v="2"/>
    <x v="2"/>
    <n v="17892"/>
    <n v="120"/>
    <n v="18580.900000000001"/>
    <n v="5973.05"/>
    <x v="4"/>
  </r>
  <r>
    <x v="2"/>
    <x v="2"/>
    <x v="2"/>
    <n v="18342"/>
    <n v="102"/>
    <n v="90280.97"/>
    <n v="30249.08"/>
    <x v="3"/>
  </r>
  <r>
    <x v="2"/>
    <x v="2"/>
    <x v="2"/>
    <n v="20177"/>
    <n v="49"/>
    <n v="4970.1099999999997"/>
    <n v="2597.66"/>
    <x v="5"/>
  </r>
  <r>
    <x v="2"/>
    <x v="2"/>
    <x v="2"/>
    <n v="21179"/>
    <n v="47"/>
    <n v="6050.52"/>
    <n v="3801.91"/>
    <x v="0"/>
  </r>
  <r>
    <x v="2"/>
    <x v="2"/>
    <x v="2"/>
    <n v="21260"/>
    <n v="32"/>
    <n v="5927.88"/>
    <n v="1898.74"/>
    <x v="4"/>
  </r>
  <r>
    <x v="2"/>
    <x v="2"/>
    <x v="2"/>
    <n v="22317"/>
    <n v="50"/>
    <n v="3895.17"/>
    <n v="2033.8"/>
    <x v="5"/>
  </r>
  <r>
    <x v="2"/>
    <x v="2"/>
    <x v="2"/>
    <n v="22940"/>
    <n v="681"/>
    <n v="87622.85"/>
    <n v="21814.17"/>
    <x v="2"/>
  </r>
  <r>
    <x v="2"/>
    <x v="2"/>
    <x v="2"/>
    <n v="23178"/>
    <n v="260"/>
    <n v="41493.379999999997"/>
    <n v="10777.53"/>
    <x v="2"/>
  </r>
  <r>
    <x v="2"/>
    <x v="2"/>
    <x v="2"/>
    <n v="23600"/>
    <n v="968"/>
    <n v="121785.01"/>
    <n v="39818.9"/>
    <x v="2"/>
  </r>
  <r>
    <x v="2"/>
    <x v="2"/>
    <x v="2"/>
    <n v="23756"/>
    <n v="133"/>
    <n v="26431.52"/>
    <n v="16432"/>
    <x v="1"/>
  </r>
  <r>
    <x v="2"/>
    <x v="2"/>
    <x v="2"/>
    <n v="24326"/>
    <n v="57"/>
    <n v="7785.84"/>
    <n v="2108.46"/>
    <x v="4"/>
  </r>
  <r>
    <x v="3"/>
    <x v="2"/>
    <x v="2"/>
    <n v="12184"/>
    <n v="65"/>
    <n v="9805.82"/>
    <n v="6011.25"/>
    <x v="0"/>
  </r>
  <r>
    <x v="3"/>
    <x v="2"/>
    <x v="2"/>
    <n v="12622"/>
    <n v="46"/>
    <n v="11874.67"/>
    <n v="5344.15"/>
    <x v="1"/>
  </r>
  <r>
    <x v="3"/>
    <x v="2"/>
    <x v="2"/>
    <n v="13527"/>
    <n v="676"/>
    <n v="118109.4"/>
    <n v="28445.68"/>
    <x v="2"/>
  </r>
  <r>
    <x v="3"/>
    <x v="2"/>
    <x v="2"/>
    <n v="13618"/>
    <n v="8"/>
    <n v="3467.98"/>
    <n v="1670.31"/>
    <x v="1"/>
  </r>
  <r>
    <x v="3"/>
    <x v="2"/>
    <x v="2"/>
    <n v="16024"/>
    <n v="226"/>
    <n v="98488.22"/>
    <n v="24732.73"/>
    <x v="3"/>
  </r>
  <r>
    <x v="3"/>
    <x v="2"/>
    <x v="2"/>
    <n v="16650"/>
    <n v="60"/>
    <n v="9233.24"/>
    <n v="5700.36"/>
    <x v="0"/>
  </r>
  <r>
    <x v="3"/>
    <x v="2"/>
    <x v="2"/>
    <n v="17892"/>
    <n v="82"/>
    <n v="10595.14"/>
    <n v="2411.25"/>
    <x v="4"/>
  </r>
  <r>
    <x v="3"/>
    <x v="2"/>
    <x v="2"/>
    <n v="18342"/>
    <n v="163"/>
    <n v="140539.74"/>
    <n v="39327.339999999997"/>
    <x v="3"/>
  </r>
  <r>
    <x v="3"/>
    <x v="2"/>
    <x v="2"/>
    <n v="20177"/>
    <n v="85"/>
    <n v="8517.32"/>
    <n v="3458.06"/>
    <x v="5"/>
  </r>
  <r>
    <x v="3"/>
    <x v="2"/>
    <x v="2"/>
    <n v="21179"/>
    <n v="51"/>
    <n v="6601.59"/>
    <n v="3871.49"/>
    <x v="0"/>
  </r>
  <r>
    <x v="3"/>
    <x v="2"/>
    <x v="2"/>
    <n v="21260"/>
    <n v="36"/>
    <n v="7375.45"/>
    <n v="1749.04"/>
    <x v="4"/>
  </r>
  <r>
    <x v="3"/>
    <x v="2"/>
    <x v="2"/>
    <n v="22317"/>
    <n v="29"/>
    <n v="2318.6799999999998"/>
    <n v="932.35"/>
    <x v="5"/>
  </r>
  <r>
    <x v="3"/>
    <x v="2"/>
    <x v="2"/>
    <n v="22940"/>
    <n v="523"/>
    <n v="62958.09"/>
    <n v="11658.21"/>
    <x v="2"/>
  </r>
  <r>
    <x v="3"/>
    <x v="2"/>
    <x v="2"/>
    <n v="23178"/>
    <n v="169"/>
    <n v="32158.13"/>
    <n v="6245.26"/>
    <x v="2"/>
  </r>
  <r>
    <x v="3"/>
    <x v="2"/>
    <x v="2"/>
    <n v="23600"/>
    <n v="817"/>
    <n v="91199.96"/>
    <n v="23188.03"/>
    <x v="2"/>
  </r>
  <r>
    <x v="3"/>
    <x v="2"/>
    <x v="2"/>
    <n v="23756"/>
    <n v="89"/>
    <n v="13839.31"/>
    <n v="5578.48"/>
    <x v="1"/>
  </r>
  <r>
    <x v="3"/>
    <x v="2"/>
    <x v="2"/>
    <n v="24326"/>
    <n v="58"/>
    <n v="7382.52"/>
    <n v="1824.63"/>
    <x v="4"/>
  </r>
  <r>
    <x v="0"/>
    <x v="2"/>
    <x v="3"/>
    <n v="12184"/>
    <n v="59"/>
    <n v="8186.99"/>
    <n v="4109.6099999999997"/>
    <x v="0"/>
  </r>
  <r>
    <x v="0"/>
    <x v="2"/>
    <x v="3"/>
    <n v="12622"/>
    <n v="41"/>
    <n v="12176.89"/>
    <n v="6613.45"/>
    <x v="1"/>
  </r>
  <r>
    <x v="0"/>
    <x v="2"/>
    <x v="3"/>
    <n v="13527"/>
    <n v="713"/>
    <n v="122921.78"/>
    <n v="22108.69"/>
    <x v="2"/>
  </r>
  <r>
    <x v="0"/>
    <x v="2"/>
    <x v="3"/>
    <n v="13618"/>
    <n v="18"/>
    <n v="7358.79"/>
    <n v="3836.6"/>
    <x v="1"/>
  </r>
  <r>
    <x v="0"/>
    <x v="2"/>
    <x v="3"/>
    <n v="16024"/>
    <n v="239"/>
    <n v="99753.75"/>
    <n v="31650.68"/>
    <x v="3"/>
  </r>
  <r>
    <x v="0"/>
    <x v="2"/>
    <x v="3"/>
    <n v="16650"/>
    <n v="58"/>
    <n v="7153.98"/>
    <n v="3800.7"/>
    <x v="0"/>
  </r>
  <r>
    <x v="0"/>
    <x v="2"/>
    <x v="3"/>
    <n v="17892"/>
    <n v="68"/>
    <n v="10689.78"/>
    <n v="3045.03"/>
    <x v="4"/>
  </r>
  <r>
    <x v="0"/>
    <x v="2"/>
    <x v="3"/>
    <n v="18342"/>
    <n v="130"/>
    <n v="111591.46"/>
    <n v="34643.120000000003"/>
    <x v="3"/>
  </r>
  <r>
    <x v="0"/>
    <x v="2"/>
    <x v="3"/>
    <n v="20177"/>
    <n v="127"/>
    <n v="11433.15"/>
    <n v="4008.84"/>
    <x v="5"/>
  </r>
  <r>
    <x v="0"/>
    <x v="2"/>
    <x v="3"/>
    <n v="21179"/>
    <n v="53"/>
    <n v="6541.81"/>
    <n v="3060.27"/>
    <x v="0"/>
  </r>
  <r>
    <x v="0"/>
    <x v="2"/>
    <x v="3"/>
    <n v="21260"/>
    <n v="99"/>
    <n v="20504.419999999998"/>
    <n v="6037.24"/>
    <x v="4"/>
  </r>
  <r>
    <x v="0"/>
    <x v="2"/>
    <x v="3"/>
    <n v="22317"/>
    <n v="100"/>
    <n v="8284.7999999999993"/>
    <n v="3214.82"/>
    <x v="5"/>
  </r>
  <r>
    <x v="0"/>
    <x v="2"/>
    <x v="3"/>
    <n v="22940"/>
    <n v="622"/>
    <n v="81017.31"/>
    <n v="13116.72"/>
    <x v="2"/>
  </r>
  <r>
    <x v="0"/>
    <x v="2"/>
    <x v="3"/>
    <n v="23178"/>
    <n v="436"/>
    <n v="74708.61"/>
    <n v="15720.18"/>
    <x v="2"/>
  </r>
  <r>
    <x v="0"/>
    <x v="2"/>
    <x v="3"/>
    <n v="23600"/>
    <n v="939"/>
    <n v="109775.9"/>
    <n v="24439.57"/>
    <x v="2"/>
  </r>
  <r>
    <x v="0"/>
    <x v="2"/>
    <x v="3"/>
    <n v="23756"/>
    <n v="86"/>
    <n v="13449.53"/>
    <n v="6614.83"/>
    <x v="1"/>
  </r>
  <r>
    <x v="0"/>
    <x v="2"/>
    <x v="3"/>
    <n v="24326"/>
    <n v="90"/>
    <n v="12778.19"/>
    <n v="4021.42"/>
    <x v="4"/>
  </r>
  <r>
    <x v="1"/>
    <x v="2"/>
    <x v="3"/>
    <n v="12184"/>
    <n v="19"/>
    <n v="2237.34"/>
    <n v="1262.05"/>
    <x v="0"/>
  </r>
  <r>
    <x v="1"/>
    <x v="2"/>
    <x v="3"/>
    <n v="12622"/>
    <n v="19"/>
    <n v="4909.2"/>
    <n v="2053.9"/>
    <x v="1"/>
  </r>
  <r>
    <x v="1"/>
    <x v="2"/>
    <x v="3"/>
    <n v="13527"/>
    <n v="210"/>
    <n v="33482.269999999997"/>
    <n v="6466.65"/>
    <x v="2"/>
  </r>
  <r>
    <x v="1"/>
    <x v="2"/>
    <x v="3"/>
    <n v="13618"/>
    <n v="5"/>
    <n v="1946.24"/>
    <n v="842.92"/>
    <x v="1"/>
  </r>
  <r>
    <x v="1"/>
    <x v="2"/>
    <x v="3"/>
    <n v="16024"/>
    <n v="122"/>
    <n v="47048.74"/>
    <n v="15903.76"/>
    <x v="3"/>
  </r>
  <r>
    <x v="1"/>
    <x v="2"/>
    <x v="3"/>
    <n v="16650"/>
    <n v="29"/>
    <n v="4718.7299999999996"/>
    <n v="3363.68"/>
    <x v="0"/>
  </r>
  <r>
    <x v="1"/>
    <x v="2"/>
    <x v="3"/>
    <n v="17892"/>
    <n v="102"/>
    <n v="14847.56"/>
    <n v="3649.08"/>
    <x v="4"/>
  </r>
  <r>
    <x v="1"/>
    <x v="2"/>
    <x v="3"/>
    <n v="18342"/>
    <n v="32"/>
    <n v="24278.89"/>
    <n v="7241.79"/>
    <x v="3"/>
  </r>
  <r>
    <x v="1"/>
    <x v="2"/>
    <x v="3"/>
    <n v="20177"/>
    <n v="15"/>
    <n v="1720.97"/>
    <n v="679.76"/>
    <x v="5"/>
  </r>
  <r>
    <x v="1"/>
    <x v="2"/>
    <x v="3"/>
    <n v="21179"/>
    <n v="42"/>
    <n v="5917.5"/>
    <n v="3800.25"/>
    <x v="0"/>
  </r>
  <r>
    <x v="1"/>
    <x v="2"/>
    <x v="3"/>
    <n v="21260"/>
    <n v="52"/>
    <n v="9615.7999999999993"/>
    <n v="2327.2199999999998"/>
    <x v="4"/>
  </r>
  <r>
    <x v="1"/>
    <x v="2"/>
    <x v="3"/>
    <n v="22317"/>
    <n v="18"/>
    <n v="1734.91"/>
    <n v="883.57"/>
    <x v="5"/>
  </r>
  <r>
    <x v="1"/>
    <x v="2"/>
    <x v="3"/>
    <n v="22940"/>
    <n v="169"/>
    <n v="19917.3"/>
    <n v="5614.71"/>
    <x v="2"/>
  </r>
  <r>
    <x v="1"/>
    <x v="2"/>
    <x v="3"/>
    <n v="23178"/>
    <n v="224"/>
    <n v="41973.01"/>
    <n v="11882.12"/>
    <x v="2"/>
  </r>
  <r>
    <x v="1"/>
    <x v="2"/>
    <x v="3"/>
    <n v="23600"/>
    <n v="627"/>
    <n v="67887.55"/>
    <n v="17764.689999999999"/>
    <x v="2"/>
  </r>
  <r>
    <x v="1"/>
    <x v="2"/>
    <x v="3"/>
    <n v="23756"/>
    <n v="57"/>
    <n v="9170.19"/>
    <n v="3659.6"/>
    <x v="1"/>
  </r>
  <r>
    <x v="1"/>
    <x v="2"/>
    <x v="3"/>
    <n v="24326"/>
    <n v="33"/>
    <n v="4373.5"/>
    <n v="1474.08"/>
    <x v="4"/>
  </r>
  <r>
    <x v="2"/>
    <x v="2"/>
    <x v="3"/>
    <n v="12184"/>
    <n v="92"/>
    <n v="9315.41"/>
    <n v="5555.08"/>
    <x v="0"/>
  </r>
  <r>
    <x v="2"/>
    <x v="2"/>
    <x v="3"/>
    <n v="12622"/>
    <n v="37"/>
    <n v="9230.32"/>
    <n v="5826.12"/>
    <x v="1"/>
  </r>
  <r>
    <x v="2"/>
    <x v="2"/>
    <x v="3"/>
    <n v="13527"/>
    <n v="488"/>
    <n v="72499.45"/>
    <n v="21046.82"/>
    <x v="2"/>
  </r>
  <r>
    <x v="2"/>
    <x v="2"/>
    <x v="3"/>
    <n v="13618"/>
    <n v="18"/>
    <n v="7268.77"/>
    <n v="4404.34"/>
    <x v="1"/>
  </r>
  <r>
    <x v="2"/>
    <x v="2"/>
    <x v="3"/>
    <n v="16024"/>
    <n v="175"/>
    <n v="69763.61"/>
    <n v="21414.47"/>
    <x v="3"/>
  </r>
  <r>
    <x v="2"/>
    <x v="2"/>
    <x v="3"/>
    <n v="16650"/>
    <n v="46"/>
    <n v="6929.74"/>
    <n v="4623.68"/>
    <x v="0"/>
  </r>
  <r>
    <x v="2"/>
    <x v="2"/>
    <x v="3"/>
    <n v="17892"/>
    <n v="110"/>
    <n v="15318.86"/>
    <n v="5341.46"/>
    <x v="4"/>
  </r>
  <r>
    <x v="2"/>
    <x v="2"/>
    <x v="3"/>
    <n v="18342"/>
    <n v="132"/>
    <n v="113940.01"/>
    <n v="38861.57"/>
    <x v="3"/>
  </r>
  <r>
    <x v="2"/>
    <x v="2"/>
    <x v="3"/>
    <n v="20177"/>
    <n v="88"/>
    <n v="8181.59"/>
    <n v="3316.26"/>
    <x v="5"/>
  </r>
  <r>
    <x v="2"/>
    <x v="2"/>
    <x v="3"/>
    <n v="21179"/>
    <n v="30"/>
    <n v="3748.54"/>
    <n v="2229.6"/>
    <x v="0"/>
  </r>
  <r>
    <x v="2"/>
    <x v="2"/>
    <x v="3"/>
    <n v="21260"/>
    <n v="65"/>
    <n v="11990.89"/>
    <n v="3244.4"/>
    <x v="4"/>
  </r>
  <r>
    <x v="2"/>
    <x v="2"/>
    <x v="3"/>
    <n v="22317"/>
    <n v="49"/>
    <n v="3814.77"/>
    <n v="1817.02"/>
    <x v="5"/>
  </r>
  <r>
    <x v="2"/>
    <x v="2"/>
    <x v="3"/>
    <n v="22940"/>
    <n v="575"/>
    <n v="71951.62"/>
    <n v="16376.2"/>
    <x v="2"/>
  </r>
  <r>
    <x v="2"/>
    <x v="2"/>
    <x v="3"/>
    <n v="23178"/>
    <n v="198"/>
    <n v="38134.67"/>
    <n v="8778.7999999999993"/>
    <x v="2"/>
  </r>
  <r>
    <x v="2"/>
    <x v="2"/>
    <x v="3"/>
    <n v="23600"/>
    <n v="875"/>
    <n v="103315.04"/>
    <n v="29324.15"/>
    <x v="2"/>
  </r>
  <r>
    <x v="2"/>
    <x v="2"/>
    <x v="3"/>
    <n v="23756"/>
    <n v="65"/>
    <n v="13124.67"/>
    <n v="6696.11"/>
    <x v="1"/>
  </r>
  <r>
    <x v="2"/>
    <x v="2"/>
    <x v="3"/>
    <n v="24326"/>
    <n v="64"/>
    <n v="9863.6"/>
    <n v="2883.65"/>
    <x v="4"/>
  </r>
  <r>
    <x v="3"/>
    <x v="2"/>
    <x v="3"/>
    <n v="12184"/>
    <n v="41"/>
    <n v="5781.97"/>
    <n v="3586.86"/>
    <x v="0"/>
  </r>
  <r>
    <x v="3"/>
    <x v="2"/>
    <x v="3"/>
    <n v="12622"/>
    <n v="53"/>
    <n v="14370.14"/>
    <n v="7016.88"/>
    <x v="1"/>
  </r>
  <r>
    <x v="3"/>
    <x v="2"/>
    <x v="3"/>
    <n v="13527"/>
    <n v="559"/>
    <n v="88913.73"/>
    <n v="20676.650000000001"/>
    <x v="2"/>
  </r>
  <r>
    <x v="3"/>
    <x v="2"/>
    <x v="3"/>
    <n v="13618"/>
    <n v="9"/>
    <n v="4071.65"/>
    <n v="1685.85"/>
    <x v="1"/>
  </r>
  <r>
    <x v="3"/>
    <x v="2"/>
    <x v="3"/>
    <n v="16024"/>
    <n v="201"/>
    <n v="90976.58"/>
    <n v="23763.439999999999"/>
    <x v="3"/>
  </r>
  <r>
    <x v="3"/>
    <x v="2"/>
    <x v="3"/>
    <n v="16650"/>
    <n v="60"/>
    <n v="10897.08"/>
    <n v="5655.01"/>
    <x v="0"/>
  </r>
  <r>
    <x v="3"/>
    <x v="2"/>
    <x v="3"/>
    <n v="17892"/>
    <n v="82"/>
    <n v="11819.34"/>
    <n v="2861.56"/>
    <x v="4"/>
  </r>
  <r>
    <x v="3"/>
    <x v="2"/>
    <x v="3"/>
    <n v="18342"/>
    <n v="198"/>
    <n v="148056.38"/>
    <n v="32824.81"/>
    <x v="3"/>
  </r>
  <r>
    <x v="3"/>
    <x v="2"/>
    <x v="3"/>
    <n v="20177"/>
    <n v="37"/>
    <n v="3347.93"/>
    <n v="1138.99"/>
    <x v="5"/>
  </r>
  <r>
    <x v="3"/>
    <x v="2"/>
    <x v="3"/>
    <n v="21179"/>
    <n v="60"/>
    <n v="8915.66"/>
    <n v="4466.4799999999996"/>
    <x v="0"/>
  </r>
  <r>
    <x v="3"/>
    <x v="2"/>
    <x v="3"/>
    <n v="21260"/>
    <n v="84"/>
    <n v="17772.36"/>
    <n v="5158.87"/>
    <x v="4"/>
  </r>
  <r>
    <x v="3"/>
    <x v="2"/>
    <x v="3"/>
    <n v="22317"/>
    <n v="54"/>
    <n v="4015.08"/>
    <n v="1327.96"/>
    <x v="5"/>
  </r>
  <r>
    <x v="3"/>
    <x v="2"/>
    <x v="3"/>
    <n v="22940"/>
    <n v="600"/>
    <n v="81186.649999999994"/>
    <n v="16231.79"/>
    <x v="2"/>
  </r>
  <r>
    <x v="3"/>
    <x v="2"/>
    <x v="3"/>
    <n v="23178"/>
    <n v="229"/>
    <n v="43459.31"/>
    <n v="9168.77"/>
    <x v="2"/>
  </r>
  <r>
    <x v="3"/>
    <x v="2"/>
    <x v="3"/>
    <n v="23600"/>
    <n v="1073"/>
    <n v="114693.09"/>
    <n v="27055.58"/>
    <x v="2"/>
  </r>
  <r>
    <x v="3"/>
    <x v="2"/>
    <x v="3"/>
    <n v="23756"/>
    <n v="137"/>
    <n v="27191.19"/>
    <n v="13873.35"/>
    <x v="1"/>
  </r>
  <r>
    <x v="3"/>
    <x v="2"/>
    <x v="3"/>
    <n v="24326"/>
    <n v="105"/>
    <n v="13755.85"/>
    <n v="3463.4"/>
    <x v="4"/>
  </r>
  <r>
    <x v="0"/>
    <x v="2"/>
    <x v="4"/>
    <n v="12184"/>
    <n v="44"/>
    <n v="6139.45"/>
    <n v="2854.03"/>
    <x v="0"/>
  </r>
  <r>
    <x v="0"/>
    <x v="2"/>
    <x v="4"/>
    <n v="12622"/>
    <n v="79"/>
    <n v="20525.73"/>
    <n v="8223.9699999999993"/>
    <x v="1"/>
  </r>
  <r>
    <x v="0"/>
    <x v="2"/>
    <x v="4"/>
    <n v="13527"/>
    <n v="524"/>
    <n v="78716.89"/>
    <n v="15001.16"/>
    <x v="2"/>
  </r>
  <r>
    <x v="0"/>
    <x v="2"/>
    <x v="4"/>
    <n v="13618"/>
    <n v="13"/>
    <n v="5814.74"/>
    <n v="2353.25"/>
    <x v="1"/>
  </r>
  <r>
    <x v="0"/>
    <x v="2"/>
    <x v="4"/>
    <n v="16024"/>
    <n v="224"/>
    <n v="86440.8"/>
    <n v="27663.65"/>
    <x v="3"/>
  </r>
  <r>
    <x v="0"/>
    <x v="2"/>
    <x v="4"/>
    <n v="16650"/>
    <n v="40"/>
    <n v="5019.8900000000003"/>
    <n v="2564.94"/>
    <x v="0"/>
  </r>
  <r>
    <x v="0"/>
    <x v="2"/>
    <x v="4"/>
    <n v="17892"/>
    <n v="151"/>
    <n v="20491.93"/>
    <n v="5245.05"/>
    <x v="4"/>
  </r>
  <r>
    <x v="0"/>
    <x v="2"/>
    <x v="4"/>
    <n v="18342"/>
    <n v="204"/>
    <n v="174116.14"/>
    <n v="50699.71"/>
    <x v="3"/>
  </r>
  <r>
    <x v="0"/>
    <x v="2"/>
    <x v="4"/>
    <n v="20177"/>
    <n v="105"/>
    <n v="10616.38"/>
    <n v="3611.08"/>
    <x v="5"/>
  </r>
  <r>
    <x v="0"/>
    <x v="2"/>
    <x v="4"/>
    <n v="21179"/>
    <n v="58"/>
    <n v="7808.25"/>
    <n v="4090.35"/>
    <x v="0"/>
  </r>
  <r>
    <x v="0"/>
    <x v="2"/>
    <x v="4"/>
    <n v="21260"/>
    <n v="43"/>
    <n v="8589.1200000000008"/>
    <n v="2174.0700000000002"/>
    <x v="4"/>
  </r>
  <r>
    <x v="0"/>
    <x v="2"/>
    <x v="4"/>
    <n v="22317"/>
    <n v="125"/>
    <n v="11459.54"/>
    <n v="4940.43"/>
    <x v="5"/>
  </r>
  <r>
    <x v="0"/>
    <x v="2"/>
    <x v="4"/>
    <n v="22940"/>
    <n v="656"/>
    <n v="77379.08"/>
    <n v="14042.85"/>
    <x v="2"/>
  </r>
  <r>
    <x v="0"/>
    <x v="2"/>
    <x v="4"/>
    <n v="23178"/>
    <n v="429"/>
    <n v="70810.36"/>
    <n v="13215.08"/>
    <x v="2"/>
  </r>
  <r>
    <x v="0"/>
    <x v="2"/>
    <x v="4"/>
    <n v="23600"/>
    <n v="1119"/>
    <n v="127549.17"/>
    <n v="27668.86"/>
    <x v="2"/>
  </r>
  <r>
    <x v="0"/>
    <x v="2"/>
    <x v="4"/>
    <n v="23756"/>
    <n v="56"/>
    <n v="10736.06"/>
    <n v="5176.47"/>
    <x v="1"/>
  </r>
  <r>
    <x v="0"/>
    <x v="2"/>
    <x v="4"/>
    <n v="24326"/>
    <n v="153"/>
    <n v="22448.33"/>
    <n v="5813.15"/>
    <x v="4"/>
  </r>
  <r>
    <x v="1"/>
    <x v="2"/>
    <x v="4"/>
    <n v="12184"/>
    <n v="15"/>
    <n v="1726.64"/>
    <n v="854.74"/>
    <x v="0"/>
  </r>
  <r>
    <x v="1"/>
    <x v="2"/>
    <x v="4"/>
    <n v="12622"/>
    <n v="15"/>
    <n v="3448.62"/>
    <n v="1524.64"/>
    <x v="1"/>
  </r>
  <r>
    <x v="1"/>
    <x v="2"/>
    <x v="4"/>
    <n v="13527"/>
    <n v="305"/>
    <n v="50472.05"/>
    <n v="9990.11"/>
    <x v="2"/>
  </r>
  <r>
    <x v="1"/>
    <x v="2"/>
    <x v="4"/>
    <n v="13618"/>
    <n v="6"/>
    <n v="2562.58"/>
    <n v="954.26"/>
    <x v="1"/>
  </r>
  <r>
    <x v="1"/>
    <x v="2"/>
    <x v="4"/>
    <n v="16024"/>
    <n v="209"/>
    <n v="84039.62"/>
    <n v="27701.16"/>
    <x v="3"/>
  </r>
  <r>
    <x v="1"/>
    <x v="2"/>
    <x v="4"/>
    <n v="16650"/>
    <n v="26"/>
    <n v="3542.44"/>
    <n v="1938.06"/>
    <x v="0"/>
  </r>
  <r>
    <x v="1"/>
    <x v="2"/>
    <x v="4"/>
    <n v="17892"/>
    <n v="97"/>
    <n v="14850.51"/>
    <n v="3496.39"/>
    <x v="4"/>
  </r>
  <r>
    <x v="1"/>
    <x v="2"/>
    <x v="4"/>
    <n v="18342"/>
    <n v="20"/>
    <n v="16782.04"/>
    <n v="4469.0600000000004"/>
    <x v="3"/>
  </r>
  <r>
    <x v="1"/>
    <x v="2"/>
    <x v="4"/>
    <n v="20177"/>
    <n v="21"/>
    <n v="2163.75"/>
    <n v="849.43"/>
    <x v="5"/>
  </r>
  <r>
    <x v="1"/>
    <x v="2"/>
    <x v="4"/>
    <n v="21179"/>
    <n v="46"/>
    <n v="6482.64"/>
    <n v="3262.56"/>
    <x v="0"/>
  </r>
  <r>
    <x v="1"/>
    <x v="2"/>
    <x v="4"/>
    <n v="21260"/>
    <n v="22"/>
    <n v="3917.57"/>
    <n v="1053.5"/>
    <x v="4"/>
  </r>
  <r>
    <x v="1"/>
    <x v="2"/>
    <x v="4"/>
    <n v="22317"/>
    <n v="10"/>
    <n v="799.71"/>
    <n v="420.02"/>
    <x v="5"/>
  </r>
  <r>
    <x v="1"/>
    <x v="2"/>
    <x v="4"/>
    <n v="22940"/>
    <n v="103"/>
    <n v="12128.16"/>
    <n v="2967.46"/>
    <x v="2"/>
  </r>
  <r>
    <x v="1"/>
    <x v="2"/>
    <x v="4"/>
    <n v="23178"/>
    <n v="139"/>
    <n v="26164.47"/>
    <n v="7715.67"/>
    <x v="2"/>
  </r>
  <r>
    <x v="1"/>
    <x v="2"/>
    <x v="4"/>
    <n v="23600"/>
    <n v="297"/>
    <n v="33487.629999999997"/>
    <n v="8922.8700000000008"/>
    <x v="2"/>
  </r>
  <r>
    <x v="1"/>
    <x v="2"/>
    <x v="4"/>
    <n v="23756"/>
    <n v="76"/>
    <n v="14297.97"/>
    <n v="6221.64"/>
    <x v="1"/>
  </r>
  <r>
    <x v="1"/>
    <x v="2"/>
    <x v="4"/>
    <n v="24326"/>
    <n v="24"/>
    <n v="3002.84"/>
    <n v="937.41"/>
    <x v="4"/>
  </r>
  <r>
    <x v="2"/>
    <x v="2"/>
    <x v="4"/>
    <n v="12184"/>
    <n v="92"/>
    <n v="12648.2"/>
    <n v="9094.14"/>
    <x v="0"/>
  </r>
  <r>
    <x v="2"/>
    <x v="2"/>
    <x v="4"/>
    <n v="12622"/>
    <n v="24"/>
    <n v="6978.99"/>
    <n v="4135.83"/>
    <x v="1"/>
  </r>
  <r>
    <x v="2"/>
    <x v="2"/>
    <x v="4"/>
    <n v="13527"/>
    <n v="265"/>
    <n v="42190.89"/>
    <n v="12219.45"/>
    <x v="2"/>
  </r>
  <r>
    <x v="2"/>
    <x v="2"/>
    <x v="4"/>
    <n v="13618"/>
    <n v="26"/>
    <n v="8588.15"/>
    <n v="5581.58"/>
    <x v="1"/>
  </r>
  <r>
    <x v="2"/>
    <x v="2"/>
    <x v="4"/>
    <n v="16024"/>
    <n v="135"/>
    <n v="54734.91"/>
    <n v="16643.66"/>
    <x v="3"/>
  </r>
  <r>
    <x v="2"/>
    <x v="2"/>
    <x v="4"/>
    <n v="16650"/>
    <n v="21"/>
    <n v="3401.78"/>
    <n v="2267.58"/>
    <x v="0"/>
  </r>
  <r>
    <x v="2"/>
    <x v="2"/>
    <x v="4"/>
    <n v="17892"/>
    <n v="77"/>
    <n v="10738.87"/>
    <n v="3009.57"/>
    <x v="4"/>
  </r>
  <r>
    <x v="2"/>
    <x v="2"/>
    <x v="4"/>
    <n v="18342"/>
    <n v="106"/>
    <n v="85196.44"/>
    <n v="23617.32"/>
    <x v="3"/>
  </r>
  <r>
    <x v="2"/>
    <x v="2"/>
    <x v="4"/>
    <n v="20177"/>
    <n v="41"/>
    <n v="4150.45"/>
    <n v="1913.52"/>
    <x v="5"/>
  </r>
  <r>
    <x v="2"/>
    <x v="2"/>
    <x v="4"/>
    <n v="21179"/>
    <n v="57"/>
    <n v="5862.57"/>
    <n v="3575.78"/>
    <x v="0"/>
  </r>
  <r>
    <x v="2"/>
    <x v="2"/>
    <x v="4"/>
    <n v="21260"/>
    <n v="31"/>
    <n v="5932.4"/>
    <n v="1967.02"/>
    <x v="4"/>
  </r>
  <r>
    <x v="2"/>
    <x v="2"/>
    <x v="4"/>
    <n v="22317"/>
    <n v="46"/>
    <n v="3448.86"/>
    <n v="1598.68"/>
    <x v="5"/>
  </r>
  <r>
    <x v="2"/>
    <x v="2"/>
    <x v="4"/>
    <n v="22940"/>
    <n v="422"/>
    <n v="52599.43"/>
    <n v="13082.14"/>
    <x v="2"/>
  </r>
  <r>
    <x v="2"/>
    <x v="2"/>
    <x v="4"/>
    <n v="23178"/>
    <n v="231"/>
    <n v="43997.75"/>
    <n v="11237.64"/>
    <x v="2"/>
  </r>
  <r>
    <x v="2"/>
    <x v="2"/>
    <x v="4"/>
    <n v="23600"/>
    <n v="907"/>
    <n v="95416.65"/>
    <n v="27869.21"/>
    <x v="2"/>
  </r>
  <r>
    <x v="2"/>
    <x v="2"/>
    <x v="4"/>
    <n v="23756"/>
    <n v="70"/>
    <n v="11023.59"/>
    <n v="7081.62"/>
    <x v="1"/>
  </r>
  <r>
    <x v="2"/>
    <x v="2"/>
    <x v="4"/>
    <n v="24326"/>
    <n v="120"/>
    <n v="15132.54"/>
    <n v="4952.17"/>
    <x v="4"/>
  </r>
  <r>
    <x v="3"/>
    <x v="2"/>
    <x v="4"/>
    <n v="12184"/>
    <n v="58"/>
    <n v="7984.37"/>
    <n v="4749.1400000000003"/>
    <x v="0"/>
  </r>
  <r>
    <x v="3"/>
    <x v="2"/>
    <x v="4"/>
    <n v="12622"/>
    <n v="56"/>
    <n v="15135.26"/>
    <n v="7750.15"/>
    <x v="1"/>
  </r>
  <r>
    <x v="3"/>
    <x v="2"/>
    <x v="4"/>
    <n v="13527"/>
    <n v="384"/>
    <n v="58313.01"/>
    <n v="13971.79"/>
    <x v="2"/>
  </r>
  <r>
    <x v="3"/>
    <x v="2"/>
    <x v="4"/>
    <n v="13618"/>
    <n v="19"/>
    <n v="7411.55"/>
    <n v="3874.81"/>
    <x v="1"/>
  </r>
  <r>
    <x v="3"/>
    <x v="2"/>
    <x v="4"/>
    <n v="16024"/>
    <n v="109"/>
    <n v="48009.53"/>
    <n v="12876.79"/>
    <x v="3"/>
  </r>
  <r>
    <x v="3"/>
    <x v="2"/>
    <x v="4"/>
    <n v="16650"/>
    <n v="62"/>
    <n v="8495.25"/>
    <n v="5322.89"/>
    <x v="0"/>
  </r>
  <r>
    <x v="3"/>
    <x v="2"/>
    <x v="4"/>
    <n v="17892"/>
    <n v="97"/>
    <n v="12518.42"/>
    <n v="3631.94"/>
    <x v="4"/>
  </r>
  <r>
    <x v="3"/>
    <x v="2"/>
    <x v="4"/>
    <n v="18342"/>
    <n v="165"/>
    <n v="139920.74"/>
    <n v="35143.17"/>
    <x v="3"/>
  </r>
  <r>
    <x v="3"/>
    <x v="2"/>
    <x v="4"/>
    <n v="20177"/>
    <n v="63"/>
    <n v="5669.8"/>
    <n v="2296.75"/>
    <x v="5"/>
  </r>
  <r>
    <x v="3"/>
    <x v="2"/>
    <x v="4"/>
    <n v="21179"/>
    <n v="36"/>
    <n v="4872.88"/>
    <n v="2394.35"/>
    <x v="0"/>
  </r>
  <r>
    <x v="3"/>
    <x v="2"/>
    <x v="4"/>
    <n v="21260"/>
    <n v="73"/>
    <n v="12964.89"/>
    <n v="3466.61"/>
    <x v="4"/>
  </r>
  <r>
    <x v="3"/>
    <x v="2"/>
    <x v="4"/>
    <n v="22317"/>
    <n v="49"/>
    <n v="4834.2700000000004"/>
    <n v="1751.85"/>
    <x v="5"/>
  </r>
  <r>
    <x v="3"/>
    <x v="2"/>
    <x v="4"/>
    <n v="22940"/>
    <n v="707"/>
    <n v="84966.15"/>
    <n v="16375.41"/>
    <x v="2"/>
  </r>
  <r>
    <x v="3"/>
    <x v="2"/>
    <x v="4"/>
    <n v="23178"/>
    <n v="245"/>
    <n v="42685.72"/>
    <n v="7967.88"/>
    <x v="2"/>
  </r>
  <r>
    <x v="3"/>
    <x v="2"/>
    <x v="4"/>
    <n v="23600"/>
    <n v="1247"/>
    <n v="149369.07999999999"/>
    <n v="36153.82"/>
    <x v="2"/>
  </r>
  <r>
    <x v="3"/>
    <x v="2"/>
    <x v="4"/>
    <n v="23756"/>
    <n v="103"/>
    <n v="17812.400000000001"/>
    <n v="9315.4599999999991"/>
    <x v="1"/>
  </r>
  <r>
    <x v="3"/>
    <x v="2"/>
    <x v="4"/>
    <n v="24326"/>
    <n v="120"/>
    <n v="18535.22"/>
    <n v="4802.26"/>
    <x v="4"/>
  </r>
  <r>
    <x v="0"/>
    <x v="2"/>
    <x v="5"/>
    <n v="12184"/>
    <n v="57"/>
    <n v="7934.14"/>
    <n v="4333.83"/>
    <x v="0"/>
  </r>
  <r>
    <x v="0"/>
    <x v="2"/>
    <x v="5"/>
    <n v="12622"/>
    <n v="40"/>
    <n v="9477.01"/>
    <n v="4643.8599999999997"/>
    <x v="1"/>
  </r>
  <r>
    <x v="0"/>
    <x v="2"/>
    <x v="5"/>
    <n v="13527"/>
    <n v="633"/>
    <n v="106176.21"/>
    <n v="20254.18"/>
    <x v="2"/>
  </r>
  <r>
    <x v="0"/>
    <x v="2"/>
    <x v="5"/>
    <n v="13618"/>
    <n v="22"/>
    <n v="7168.62"/>
    <n v="3272.46"/>
    <x v="1"/>
  </r>
  <r>
    <x v="0"/>
    <x v="2"/>
    <x v="5"/>
    <n v="16024"/>
    <n v="246"/>
    <n v="111005.27"/>
    <n v="32378.44"/>
    <x v="3"/>
  </r>
  <r>
    <x v="0"/>
    <x v="2"/>
    <x v="5"/>
    <n v="16650"/>
    <n v="41"/>
    <n v="7023.21"/>
    <n v="3579.92"/>
    <x v="0"/>
  </r>
  <r>
    <x v="0"/>
    <x v="2"/>
    <x v="5"/>
    <n v="17892"/>
    <n v="196"/>
    <n v="29300.58"/>
    <n v="7127.43"/>
    <x v="4"/>
  </r>
  <r>
    <x v="0"/>
    <x v="2"/>
    <x v="5"/>
    <n v="18342"/>
    <n v="175"/>
    <n v="131592.76999999999"/>
    <n v="34821.19"/>
    <x v="3"/>
  </r>
  <r>
    <x v="0"/>
    <x v="2"/>
    <x v="5"/>
    <n v="20177"/>
    <n v="64"/>
    <n v="6635.92"/>
    <n v="2341.66"/>
    <x v="5"/>
  </r>
  <r>
    <x v="0"/>
    <x v="2"/>
    <x v="5"/>
    <n v="21179"/>
    <n v="48"/>
    <n v="6818.28"/>
    <n v="3456.95"/>
    <x v="0"/>
  </r>
  <r>
    <x v="0"/>
    <x v="2"/>
    <x v="5"/>
    <n v="21260"/>
    <n v="52"/>
    <n v="9374.73"/>
    <n v="2754.11"/>
    <x v="4"/>
  </r>
  <r>
    <x v="0"/>
    <x v="2"/>
    <x v="5"/>
    <n v="22317"/>
    <n v="125"/>
    <n v="9667.2199999999993"/>
    <n v="3369.68"/>
    <x v="5"/>
  </r>
  <r>
    <x v="0"/>
    <x v="2"/>
    <x v="5"/>
    <n v="22940"/>
    <n v="747"/>
    <n v="100717.99"/>
    <n v="17660.060000000001"/>
    <x v="2"/>
  </r>
  <r>
    <x v="0"/>
    <x v="2"/>
    <x v="5"/>
    <n v="23178"/>
    <n v="163"/>
    <n v="26851.11"/>
    <n v="4531.8599999999997"/>
    <x v="2"/>
  </r>
  <r>
    <x v="0"/>
    <x v="2"/>
    <x v="5"/>
    <n v="23600"/>
    <n v="776"/>
    <n v="78587.259999999995"/>
    <n v="19771.04"/>
    <x v="2"/>
  </r>
  <r>
    <x v="0"/>
    <x v="2"/>
    <x v="5"/>
    <n v="23756"/>
    <n v="86"/>
    <n v="16459.32"/>
    <n v="6885.94"/>
    <x v="1"/>
  </r>
  <r>
    <x v="0"/>
    <x v="2"/>
    <x v="5"/>
    <n v="24326"/>
    <n v="126"/>
    <n v="17461.150000000001"/>
    <n v="4912.75"/>
    <x v="4"/>
  </r>
  <r>
    <x v="1"/>
    <x v="2"/>
    <x v="5"/>
    <n v="12184"/>
    <n v="30"/>
    <n v="3586.02"/>
    <n v="1814.92"/>
    <x v="0"/>
  </r>
  <r>
    <x v="1"/>
    <x v="2"/>
    <x v="5"/>
    <n v="12622"/>
    <n v="10"/>
    <n v="2795.69"/>
    <n v="1298.0899999999999"/>
    <x v="1"/>
  </r>
  <r>
    <x v="1"/>
    <x v="2"/>
    <x v="5"/>
    <n v="13527"/>
    <n v="250"/>
    <n v="38228.19"/>
    <n v="6665.3"/>
    <x v="2"/>
  </r>
  <r>
    <x v="1"/>
    <x v="2"/>
    <x v="5"/>
    <n v="13618"/>
    <n v="4"/>
    <n v="1500.9"/>
    <n v="558.57000000000005"/>
    <x v="1"/>
  </r>
  <r>
    <x v="1"/>
    <x v="2"/>
    <x v="5"/>
    <n v="16024"/>
    <n v="159"/>
    <n v="76766.89"/>
    <n v="23748.79"/>
    <x v="3"/>
  </r>
  <r>
    <x v="1"/>
    <x v="2"/>
    <x v="5"/>
    <n v="16650"/>
    <n v="24"/>
    <n v="3626.6"/>
    <n v="2073.38"/>
    <x v="0"/>
  </r>
  <r>
    <x v="1"/>
    <x v="2"/>
    <x v="5"/>
    <n v="17892"/>
    <n v="112"/>
    <n v="15573.35"/>
    <n v="3585.2"/>
    <x v="4"/>
  </r>
  <r>
    <x v="1"/>
    <x v="2"/>
    <x v="5"/>
    <n v="18342"/>
    <n v="18"/>
    <n v="16952.64"/>
    <n v="5192.54"/>
    <x v="3"/>
  </r>
  <r>
    <x v="1"/>
    <x v="2"/>
    <x v="5"/>
    <n v="20177"/>
    <n v="34"/>
    <n v="3418.01"/>
    <n v="1475.74"/>
    <x v="5"/>
  </r>
  <r>
    <x v="1"/>
    <x v="2"/>
    <x v="5"/>
    <n v="21179"/>
    <n v="20"/>
    <n v="2722.27"/>
    <n v="1351.38"/>
    <x v="0"/>
  </r>
  <r>
    <x v="1"/>
    <x v="2"/>
    <x v="5"/>
    <n v="21260"/>
    <n v="43"/>
    <n v="8780.3700000000008"/>
    <n v="2345.86"/>
    <x v="4"/>
  </r>
  <r>
    <x v="1"/>
    <x v="2"/>
    <x v="5"/>
    <n v="22317"/>
    <n v="15"/>
    <n v="1353.94"/>
    <n v="628.55999999999995"/>
    <x v="5"/>
  </r>
  <r>
    <x v="1"/>
    <x v="2"/>
    <x v="5"/>
    <n v="22940"/>
    <n v="137"/>
    <n v="19652.88"/>
    <n v="4679.17"/>
    <x v="2"/>
  </r>
  <r>
    <x v="1"/>
    <x v="2"/>
    <x v="5"/>
    <n v="23178"/>
    <n v="284"/>
    <n v="45371.05"/>
    <n v="13377.26"/>
    <x v="2"/>
  </r>
  <r>
    <x v="1"/>
    <x v="2"/>
    <x v="5"/>
    <n v="23600"/>
    <n v="371"/>
    <n v="36952.949999999997"/>
    <n v="10332.790000000001"/>
    <x v="2"/>
  </r>
  <r>
    <x v="1"/>
    <x v="2"/>
    <x v="5"/>
    <n v="23756"/>
    <n v="41"/>
    <n v="6157.35"/>
    <n v="2380.62"/>
    <x v="1"/>
  </r>
  <r>
    <x v="1"/>
    <x v="2"/>
    <x v="5"/>
    <n v="24326"/>
    <n v="44"/>
    <n v="5688.87"/>
    <n v="1675.04"/>
    <x v="4"/>
  </r>
  <r>
    <x v="2"/>
    <x v="2"/>
    <x v="5"/>
    <n v="12184"/>
    <n v="107"/>
    <n v="14913.42"/>
    <n v="10220.01"/>
    <x v="0"/>
  </r>
  <r>
    <x v="2"/>
    <x v="2"/>
    <x v="5"/>
    <n v="12622"/>
    <n v="38"/>
    <n v="9157.15"/>
    <n v="5168.57"/>
    <x v="1"/>
  </r>
  <r>
    <x v="2"/>
    <x v="2"/>
    <x v="5"/>
    <n v="13527"/>
    <n v="224"/>
    <n v="36124.78"/>
    <n v="9625.9500000000007"/>
    <x v="2"/>
  </r>
  <r>
    <x v="2"/>
    <x v="2"/>
    <x v="5"/>
    <n v="13618"/>
    <n v="20"/>
    <n v="7494.66"/>
    <n v="4334.01"/>
    <x v="1"/>
  </r>
  <r>
    <x v="2"/>
    <x v="2"/>
    <x v="5"/>
    <n v="16024"/>
    <n v="340"/>
    <n v="149256.95999999999"/>
    <n v="51174.720000000001"/>
    <x v="3"/>
  </r>
  <r>
    <x v="2"/>
    <x v="2"/>
    <x v="5"/>
    <n v="16650"/>
    <n v="22"/>
    <n v="4084.83"/>
    <n v="2535.42"/>
    <x v="0"/>
  </r>
  <r>
    <x v="2"/>
    <x v="2"/>
    <x v="5"/>
    <n v="17892"/>
    <n v="95"/>
    <n v="14367.68"/>
    <n v="3857.52"/>
    <x v="4"/>
  </r>
  <r>
    <x v="2"/>
    <x v="2"/>
    <x v="5"/>
    <n v="18342"/>
    <n v="92"/>
    <n v="78518.34"/>
    <n v="26045.759999999998"/>
    <x v="3"/>
  </r>
  <r>
    <x v="2"/>
    <x v="2"/>
    <x v="5"/>
    <n v="20177"/>
    <n v="35"/>
    <n v="3034.33"/>
    <n v="1457.17"/>
    <x v="5"/>
  </r>
  <r>
    <x v="2"/>
    <x v="2"/>
    <x v="5"/>
    <n v="21179"/>
    <n v="39"/>
    <n v="6115.96"/>
    <n v="4740.3500000000004"/>
    <x v="0"/>
  </r>
  <r>
    <x v="2"/>
    <x v="2"/>
    <x v="5"/>
    <n v="21260"/>
    <n v="35"/>
    <n v="6778.83"/>
    <n v="2048.73"/>
    <x v="4"/>
  </r>
  <r>
    <x v="2"/>
    <x v="2"/>
    <x v="5"/>
    <n v="22317"/>
    <n v="44"/>
    <n v="4458.8900000000003"/>
    <n v="1841.45"/>
    <x v="5"/>
  </r>
  <r>
    <x v="2"/>
    <x v="2"/>
    <x v="5"/>
    <n v="22940"/>
    <n v="572"/>
    <n v="73795.62"/>
    <n v="16782.080000000002"/>
    <x v="2"/>
  </r>
  <r>
    <x v="2"/>
    <x v="2"/>
    <x v="5"/>
    <n v="23178"/>
    <n v="126"/>
    <n v="23691.07"/>
    <n v="6064.75"/>
    <x v="2"/>
  </r>
  <r>
    <x v="2"/>
    <x v="2"/>
    <x v="5"/>
    <n v="23600"/>
    <n v="1083"/>
    <n v="120409.51"/>
    <n v="32285.279999999999"/>
    <x v="2"/>
  </r>
  <r>
    <x v="2"/>
    <x v="2"/>
    <x v="5"/>
    <n v="23756"/>
    <n v="47"/>
    <n v="8853.27"/>
    <n v="4920.24"/>
    <x v="1"/>
  </r>
  <r>
    <x v="2"/>
    <x v="2"/>
    <x v="5"/>
    <n v="24326"/>
    <n v="98"/>
    <n v="15615.25"/>
    <n v="4095.6"/>
    <x v="4"/>
  </r>
  <r>
    <x v="3"/>
    <x v="2"/>
    <x v="5"/>
    <n v="12184"/>
    <n v="63"/>
    <n v="6628.49"/>
    <n v="3827.42"/>
    <x v="0"/>
  </r>
  <r>
    <x v="3"/>
    <x v="2"/>
    <x v="5"/>
    <n v="12622"/>
    <n v="37"/>
    <n v="8745.1"/>
    <n v="4295.25"/>
    <x v="1"/>
  </r>
  <r>
    <x v="3"/>
    <x v="2"/>
    <x v="5"/>
    <n v="13527"/>
    <n v="394"/>
    <n v="59559.13"/>
    <n v="13332.84"/>
    <x v="2"/>
  </r>
  <r>
    <x v="3"/>
    <x v="2"/>
    <x v="5"/>
    <n v="13618"/>
    <n v="11"/>
    <n v="3843.61"/>
    <n v="1551.66"/>
    <x v="1"/>
  </r>
  <r>
    <x v="3"/>
    <x v="2"/>
    <x v="5"/>
    <n v="16024"/>
    <n v="227"/>
    <n v="86759.44"/>
    <n v="23254.080000000002"/>
    <x v="3"/>
  </r>
  <r>
    <x v="3"/>
    <x v="2"/>
    <x v="5"/>
    <n v="16650"/>
    <n v="36"/>
    <n v="4630.0200000000004"/>
    <n v="2489.0300000000002"/>
    <x v="0"/>
  </r>
  <r>
    <x v="3"/>
    <x v="2"/>
    <x v="5"/>
    <n v="17892"/>
    <n v="94"/>
    <n v="14002.98"/>
    <n v="3353.33"/>
    <x v="4"/>
  </r>
  <r>
    <x v="3"/>
    <x v="2"/>
    <x v="5"/>
    <n v="18342"/>
    <n v="194"/>
    <n v="153080.28"/>
    <n v="40961"/>
    <x v="3"/>
  </r>
  <r>
    <x v="3"/>
    <x v="2"/>
    <x v="5"/>
    <n v="20177"/>
    <n v="64"/>
    <n v="6129.89"/>
    <n v="2409.44"/>
    <x v="5"/>
  </r>
  <r>
    <x v="3"/>
    <x v="2"/>
    <x v="5"/>
    <n v="21179"/>
    <n v="24"/>
    <n v="2791.68"/>
    <n v="1407.2"/>
    <x v="0"/>
  </r>
  <r>
    <x v="3"/>
    <x v="2"/>
    <x v="5"/>
    <n v="21260"/>
    <n v="41"/>
    <n v="8581.2999999999993"/>
    <n v="2146.81"/>
    <x v="4"/>
  </r>
  <r>
    <x v="3"/>
    <x v="2"/>
    <x v="5"/>
    <n v="22317"/>
    <n v="83"/>
    <n v="7369.91"/>
    <n v="3072.42"/>
    <x v="5"/>
  </r>
  <r>
    <x v="3"/>
    <x v="2"/>
    <x v="5"/>
    <n v="22940"/>
    <n v="511"/>
    <n v="63338.19"/>
    <n v="11441.33"/>
    <x v="2"/>
  </r>
  <r>
    <x v="3"/>
    <x v="2"/>
    <x v="5"/>
    <n v="23178"/>
    <n v="189"/>
    <n v="32776.58"/>
    <n v="6523.75"/>
    <x v="2"/>
  </r>
  <r>
    <x v="3"/>
    <x v="2"/>
    <x v="5"/>
    <n v="23600"/>
    <n v="1328"/>
    <n v="145453.48000000001"/>
    <n v="37534.69"/>
    <x v="2"/>
  </r>
  <r>
    <x v="3"/>
    <x v="2"/>
    <x v="5"/>
    <n v="23756"/>
    <n v="52"/>
    <n v="9044.52"/>
    <n v="4811.2299999999996"/>
    <x v="1"/>
  </r>
  <r>
    <x v="3"/>
    <x v="2"/>
    <x v="5"/>
    <n v="24326"/>
    <n v="84"/>
    <n v="10961.94"/>
    <n v="3149.35"/>
    <x v="4"/>
  </r>
  <r>
    <x v="0"/>
    <x v="2"/>
    <x v="6"/>
    <n v="12184"/>
    <n v="51"/>
    <n v="5406.12"/>
    <n v="2882.58"/>
    <x v="0"/>
  </r>
  <r>
    <x v="0"/>
    <x v="2"/>
    <x v="6"/>
    <n v="12622"/>
    <n v="36"/>
    <n v="10027.58"/>
    <n v="4654.57"/>
    <x v="1"/>
  </r>
  <r>
    <x v="0"/>
    <x v="2"/>
    <x v="6"/>
    <n v="13527"/>
    <n v="440"/>
    <n v="68938.59"/>
    <n v="11332.73"/>
    <x v="2"/>
  </r>
  <r>
    <x v="0"/>
    <x v="2"/>
    <x v="6"/>
    <n v="13618"/>
    <n v="24"/>
    <n v="10181.49"/>
    <n v="4888.32"/>
    <x v="1"/>
  </r>
  <r>
    <x v="0"/>
    <x v="2"/>
    <x v="6"/>
    <n v="16024"/>
    <n v="282"/>
    <n v="109744.46"/>
    <n v="34391.040000000001"/>
    <x v="3"/>
  </r>
  <r>
    <x v="0"/>
    <x v="2"/>
    <x v="6"/>
    <n v="16650"/>
    <n v="33"/>
    <n v="5664.74"/>
    <n v="2833.93"/>
    <x v="0"/>
  </r>
  <r>
    <x v="0"/>
    <x v="2"/>
    <x v="6"/>
    <n v="17892"/>
    <n v="137"/>
    <n v="19830.09"/>
    <n v="6504.11"/>
    <x v="4"/>
  </r>
  <r>
    <x v="0"/>
    <x v="2"/>
    <x v="6"/>
    <n v="18342"/>
    <n v="123"/>
    <n v="112215.61"/>
    <n v="36863.199999999997"/>
    <x v="3"/>
  </r>
  <r>
    <x v="0"/>
    <x v="2"/>
    <x v="6"/>
    <n v="20177"/>
    <n v="159"/>
    <n v="14961.23"/>
    <n v="5635.43"/>
    <x v="5"/>
  </r>
  <r>
    <x v="0"/>
    <x v="2"/>
    <x v="6"/>
    <n v="21179"/>
    <n v="70"/>
    <n v="9171.82"/>
    <n v="4253.63"/>
    <x v="0"/>
  </r>
  <r>
    <x v="0"/>
    <x v="2"/>
    <x v="6"/>
    <n v="21260"/>
    <n v="74"/>
    <n v="15800.06"/>
    <n v="5040.82"/>
    <x v="4"/>
  </r>
  <r>
    <x v="0"/>
    <x v="2"/>
    <x v="6"/>
    <n v="22317"/>
    <n v="107"/>
    <n v="10745.93"/>
    <n v="3716.73"/>
    <x v="5"/>
  </r>
  <r>
    <x v="0"/>
    <x v="2"/>
    <x v="6"/>
    <n v="22940"/>
    <n v="988"/>
    <n v="117840.24"/>
    <n v="18994.5"/>
    <x v="2"/>
  </r>
  <r>
    <x v="0"/>
    <x v="2"/>
    <x v="6"/>
    <n v="23178"/>
    <n v="324"/>
    <n v="59350.68"/>
    <n v="10419.719999999999"/>
    <x v="2"/>
  </r>
  <r>
    <x v="0"/>
    <x v="2"/>
    <x v="6"/>
    <n v="23600"/>
    <n v="538"/>
    <n v="54474.58"/>
    <n v="11696.32"/>
    <x v="2"/>
  </r>
  <r>
    <x v="0"/>
    <x v="2"/>
    <x v="6"/>
    <n v="23756"/>
    <n v="68"/>
    <n v="13142.6"/>
    <n v="6090.72"/>
    <x v="1"/>
  </r>
  <r>
    <x v="0"/>
    <x v="2"/>
    <x v="6"/>
    <n v="24326"/>
    <n v="140"/>
    <n v="20969.05"/>
    <n v="5837.81"/>
    <x v="4"/>
  </r>
  <r>
    <x v="1"/>
    <x v="2"/>
    <x v="6"/>
    <n v="12184"/>
    <n v="39"/>
    <n v="4334.1499999999996"/>
    <n v="1923.37"/>
    <x v="0"/>
  </r>
  <r>
    <x v="1"/>
    <x v="2"/>
    <x v="6"/>
    <n v="12622"/>
    <n v="12"/>
    <n v="3055.91"/>
    <n v="1222.8699999999999"/>
    <x v="1"/>
  </r>
  <r>
    <x v="1"/>
    <x v="2"/>
    <x v="6"/>
    <n v="13527"/>
    <n v="364"/>
    <n v="55243.76"/>
    <n v="10957.44"/>
    <x v="2"/>
  </r>
  <r>
    <x v="1"/>
    <x v="2"/>
    <x v="6"/>
    <n v="13618"/>
    <n v="4"/>
    <n v="1400.53"/>
    <n v="597.24"/>
    <x v="1"/>
  </r>
  <r>
    <x v="1"/>
    <x v="2"/>
    <x v="6"/>
    <n v="16024"/>
    <n v="197"/>
    <n v="95492.21"/>
    <n v="28069.26"/>
    <x v="3"/>
  </r>
  <r>
    <x v="1"/>
    <x v="2"/>
    <x v="6"/>
    <n v="16650"/>
    <n v="13"/>
    <n v="2416.0700000000002"/>
    <n v="1697.07"/>
    <x v="0"/>
  </r>
  <r>
    <x v="1"/>
    <x v="2"/>
    <x v="6"/>
    <n v="17892"/>
    <n v="51"/>
    <n v="7525.85"/>
    <n v="1748.49"/>
    <x v="4"/>
  </r>
  <r>
    <x v="1"/>
    <x v="2"/>
    <x v="6"/>
    <n v="18342"/>
    <n v="11"/>
    <n v="8921.56"/>
    <n v="2424.9299999999998"/>
    <x v="3"/>
  </r>
  <r>
    <x v="1"/>
    <x v="2"/>
    <x v="6"/>
    <n v="20177"/>
    <n v="17"/>
    <n v="1610.43"/>
    <n v="718.01"/>
    <x v="5"/>
  </r>
  <r>
    <x v="1"/>
    <x v="2"/>
    <x v="6"/>
    <n v="21179"/>
    <n v="42"/>
    <n v="6091.17"/>
    <n v="3611.26"/>
    <x v="0"/>
  </r>
  <r>
    <x v="1"/>
    <x v="2"/>
    <x v="6"/>
    <n v="21260"/>
    <n v="60"/>
    <n v="10963.57"/>
    <n v="2298.71"/>
    <x v="4"/>
  </r>
  <r>
    <x v="1"/>
    <x v="2"/>
    <x v="6"/>
    <n v="22317"/>
    <n v="9"/>
    <n v="732.97"/>
    <n v="324.95"/>
    <x v="5"/>
  </r>
  <r>
    <x v="1"/>
    <x v="2"/>
    <x v="6"/>
    <n v="22940"/>
    <n v="112"/>
    <n v="15166.51"/>
    <n v="3576.32"/>
    <x v="2"/>
  </r>
  <r>
    <x v="1"/>
    <x v="2"/>
    <x v="6"/>
    <n v="23178"/>
    <n v="214"/>
    <n v="41716.050000000003"/>
    <n v="9248.85"/>
    <x v="2"/>
  </r>
  <r>
    <x v="1"/>
    <x v="2"/>
    <x v="6"/>
    <n v="23600"/>
    <n v="655"/>
    <n v="73708"/>
    <n v="18500.16"/>
    <x v="2"/>
  </r>
  <r>
    <x v="1"/>
    <x v="2"/>
    <x v="6"/>
    <n v="23756"/>
    <n v="48"/>
    <n v="8558.35"/>
    <n v="3578.68"/>
    <x v="1"/>
  </r>
  <r>
    <x v="1"/>
    <x v="2"/>
    <x v="6"/>
    <n v="24326"/>
    <n v="33"/>
    <n v="4726.33"/>
    <n v="1283.28"/>
    <x v="4"/>
  </r>
  <r>
    <x v="2"/>
    <x v="2"/>
    <x v="6"/>
    <n v="12184"/>
    <n v="55"/>
    <n v="6617.89"/>
    <n v="4122.16"/>
    <x v="0"/>
  </r>
  <r>
    <x v="2"/>
    <x v="2"/>
    <x v="6"/>
    <n v="12622"/>
    <n v="26"/>
    <n v="7544.81"/>
    <n v="3730"/>
    <x v="1"/>
  </r>
  <r>
    <x v="2"/>
    <x v="2"/>
    <x v="6"/>
    <n v="13527"/>
    <n v="335"/>
    <n v="57116.23"/>
    <n v="13709.32"/>
    <x v="2"/>
  </r>
  <r>
    <x v="2"/>
    <x v="2"/>
    <x v="6"/>
    <n v="13618"/>
    <n v="30"/>
    <n v="10930.61"/>
    <n v="5663.13"/>
    <x v="1"/>
  </r>
  <r>
    <x v="2"/>
    <x v="2"/>
    <x v="6"/>
    <n v="16024"/>
    <n v="242"/>
    <n v="107424.92"/>
    <n v="32140.639999999999"/>
    <x v="3"/>
  </r>
  <r>
    <x v="2"/>
    <x v="2"/>
    <x v="6"/>
    <n v="16650"/>
    <n v="46"/>
    <n v="5764.15"/>
    <n v="4484.49"/>
    <x v="0"/>
  </r>
  <r>
    <x v="2"/>
    <x v="2"/>
    <x v="6"/>
    <n v="17892"/>
    <n v="123"/>
    <n v="15646.73"/>
    <n v="4134.1000000000004"/>
    <x v="4"/>
  </r>
  <r>
    <x v="2"/>
    <x v="2"/>
    <x v="6"/>
    <n v="18342"/>
    <n v="121"/>
    <n v="110700.54"/>
    <n v="33114.800000000003"/>
    <x v="3"/>
  </r>
  <r>
    <x v="2"/>
    <x v="2"/>
    <x v="6"/>
    <n v="20177"/>
    <n v="42"/>
    <n v="3952.76"/>
    <n v="1653.79"/>
    <x v="5"/>
  </r>
  <r>
    <x v="2"/>
    <x v="2"/>
    <x v="6"/>
    <n v="21179"/>
    <n v="43"/>
    <n v="4514.04"/>
    <n v="3299.95"/>
    <x v="0"/>
  </r>
  <r>
    <x v="2"/>
    <x v="2"/>
    <x v="6"/>
    <n v="21260"/>
    <n v="57"/>
    <n v="10383.56"/>
    <n v="2788.36"/>
    <x v="4"/>
  </r>
  <r>
    <x v="2"/>
    <x v="2"/>
    <x v="6"/>
    <n v="22317"/>
    <n v="43"/>
    <n v="3253.37"/>
    <n v="1487.98"/>
    <x v="5"/>
  </r>
  <r>
    <x v="2"/>
    <x v="2"/>
    <x v="6"/>
    <n v="22940"/>
    <n v="342"/>
    <n v="43653.77"/>
    <n v="10458.36"/>
    <x v="2"/>
  </r>
  <r>
    <x v="2"/>
    <x v="2"/>
    <x v="6"/>
    <n v="23178"/>
    <n v="248"/>
    <n v="48714.27"/>
    <n v="11025.4"/>
    <x v="2"/>
  </r>
  <r>
    <x v="2"/>
    <x v="2"/>
    <x v="6"/>
    <n v="23600"/>
    <n v="479"/>
    <n v="57680.83"/>
    <n v="18838.7"/>
    <x v="2"/>
  </r>
  <r>
    <x v="2"/>
    <x v="2"/>
    <x v="6"/>
    <n v="23756"/>
    <n v="90"/>
    <n v="18177.189999999999"/>
    <n v="11302.03"/>
    <x v="1"/>
  </r>
  <r>
    <x v="2"/>
    <x v="2"/>
    <x v="6"/>
    <n v="24326"/>
    <n v="88"/>
    <n v="12753.62"/>
    <n v="3613.91"/>
    <x v="4"/>
  </r>
  <r>
    <x v="3"/>
    <x v="2"/>
    <x v="6"/>
    <n v="12184"/>
    <n v="76"/>
    <n v="10047.629999999999"/>
    <n v="6147.52"/>
    <x v="0"/>
  </r>
  <r>
    <x v="3"/>
    <x v="2"/>
    <x v="6"/>
    <n v="12622"/>
    <n v="36"/>
    <n v="9484.82"/>
    <n v="5175.57"/>
    <x v="1"/>
  </r>
  <r>
    <x v="3"/>
    <x v="2"/>
    <x v="6"/>
    <n v="13527"/>
    <n v="292"/>
    <n v="48530.19"/>
    <n v="8885.9"/>
    <x v="2"/>
  </r>
  <r>
    <x v="3"/>
    <x v="2"/>
    <x v="6"/>
    <n v="13618"/>
    <n v="15"/>
    <n v="5596.39"/>
    <n v="2276.8000000000002"/>
    <x v="1"/>
  </r>
  <r>
    <x v="3"/>
    <x v="2"/>
    <x v="6"/>
    <n v="16024"/>
    <n v="223"/>
    <n v="99678.38"/>
    <n v="22686.54"/>
    <x v="3"/>
  </r>
  <r>
    <x v="3"/>
    <x v="2"/>
    <x v="6"/>
    <n v="16650"/>
    <n v="25"/>
    <n v="4432.7299999999996"/>
    <n v="2711.48"/>
    <x v="0"/>
  </r>
  <r>
    <x v="3"/>
    <x v="2"/>
    <x v="6"/>
    <n v="17892"/>
    <n v="94"/>
    <n v="13970.92"/>
    <n v="3078.94"/>
    <x v="4"/>
  </r>
  <r>
    <x v="3"/>
    <x v="2"/>
    <x v="6"/>
    <n v="18342"/>
    <n v="134"/>
    <n v="121521.03"/>
    <n v="30728.55"/>
    <x v="3"/>
  </r>
  <r>
    <x v="3"/>
    <x v="2"/>
    <x v="6"/>
    <n v="20177"/>
    <n v="36"/>
    <n v="3818.01"/>
    <n v="1300.53"/>
    <x v="5"/>
  </r>
  <r>
    <x v="3"/>
    <x v="2"/>
    <x v="6"/>
    <n v="21179"/>
    <n v="60"/>
    <n v="6239.09"/>
    <n v="3721.64"/>
    <x v="0"/>
  </r>
  <r>
    <x v="3"/>
    <x v="2"/>
    <x v="6"/>
    <n v="21260"/>
    <n v="50"/>
    <n v="9965.43"/>
    <n v="2760.6"/>
    <x v="4"/>
  </r>
  <r>
    <x v="3"/>
    <x v="2"/>
    <x v="6"/>
    <n v="22317"/>
    <n v="69"/>
    <n v="5669.79"/>
    <n v="2157.33"/>
    <x v="5"/>
  </r>
  <r>
    <x v="3"/>
    <x v="2"/>
    <x v="6"/>
    <n v="22940"/>
    <n v="668"/>
    <n v="84170.26"/>
    <n v="19824.099999999999"/>
    <x v="2"/>
  </r>
  <r>
    <x v="3"/>
    <x v="2"/>
    <x v="6"/>
    <n v="23178"/>
    <n v="189"/>
    <n v="33476.75"/>
    <n v="7470.87"/>
    <x v="2"/>
  </r>
  <r>
    <x v="3"/>
    <x v="2"/>
    <x v="6"/>
    <n v="23600"/>
    <n v="1379"/>
    <n v="145772.5"/>
    <n v="39329.660000000003"/>
    <x v="2"/>
  </r>
  <r>
    <x v="3"/>
    <x v="2"/>
    <x v="6"/>
    <n v="23756"/>
    <n v="58"/>
    <n v="10908.26"/>
    <n v="5313.25"/>
    <x v="1"/>
  </r>
  <r>
    <x v="3"/>
    <x v="2"/>
    <x v="6"/>
    <n v="24326"/>
    <n v="98"/>
    <n v="13659.08"/>
    <n v="3333.38"/>
    <x v="4"/>
  </r>
  <r>
    <x v="0"/>
    <x v="2"/>
    <x v="7"/>
    <n v="12184"/>
    <n v="92"/>
    <n v="9471.31"/>
    <n v="4097.41"/>
    <x v="0"/>
  </r>
  <r>
    <x v="0"/>
    <x v="2"/>
    <x v="7"/>
    <n v="12622"/>
    <n v="62"/>
    <n v="17965.79"/>
    <n v="8180.14"/>
    <x v="1"/>
  </r>
  <r>
    <x v="0"/>
    <x v="2"/>
    <x v="7"/>
    <n v="13527"/>
    <n v="778"/>
    <n v="116404.09"/>
    <n v="19208.18"/>
    <x v="2"/>
  </r>
  <r>
    <x v="0"/>
    <x v="2"/>
    <x v="7"/>
    <n v="13618"/>
    <n v="17"/>
    <n v="7553.55"/>
    <n v="4091.31"/>
    <x v="1"/>
  </r>
  <r>
    <x v="0"/>
    <x v="2"/>
    <x v="7"/>
    <n v="16024"/>
    <n v="224"/>
    <n v="102645.37"/>
    <n v="25712.04"/>
    <x v="3"/>
  </r>
  <r>
    <x v="0"/>
    <x v="2"/>
    <x v="7"/>
    <n v="16650"/>
    <n v="44"/>
    <n v="6386.01"/>
    <n v="2843.64"/>
    <x v="0"/>
  </r>
  <r>
    <x v="0"/>
    <x v="2"/>
    <x v="7"/>
    <n v="17892"/>
    <n v="70"/>
    <n v="9805.69"/>
    <n v="2633.65"/>
    <x v="4"/>
  </r>
  <r>
    <x v="0"/>
    <x v="2"/>
    <x v="7"/>
    <n v="18342"/>
    <n v="199"/>
    <n v="180896.49"/>
    <n v="57870.31"/>
    <x v="3"/>
  </r>
  <r>
    <x v="0"/>
    <x v="2"/>
    <x v="7"/>
    <n v="20177"/>
    <n v="58"/>
    <n v="6683.49"/>
    <n v="2678.43"/>
    <x v="5"/>
  </r>
  <r>
    <x v="0"/>
    <x v="2"/>
    <x v="7"/>
    <n v="21179"/>
    <n v="31"/>
    <n v="3868.77"/>
    <n v="1947.62"/>
    <x v="0"/>
  </r>
  <r>
    <x v="0"/>
    <x v="2"/>
    <x v="7"/>
    <n v="21260"/>
    <n v="63"/>
    <n v="12843.49"/>
    <n v="3873.79"/>
    <x v="4"/>
  </r>
  <r>
    <x v="0"/>
    <x v="2"/>
    <x v="7"/>
    <n v="22317"/>
    <n v="112"/>
    <n v="9958.4699999999993"/>
    <n v="4269.3999999999996"/>
    <x v="5"/>
  </r>
  <r>
    <x v="0"/>
    <x v="2"/>
    <x v="7"/>
    <n v="22940"/>
    <n v="453"/>
    <n v="56443.83"/>
    <n v="11164.01"/>
    <x v="2"/>
  </r>
  <r>
    <x v="0"/>
    <x v="2"/>
    <x v="7"/>
    <n v="23178"/>
    <n v="329"/>
    <n v="53029.56"/>
    <n v="8718.42"/>
    <x v="2"/>
  </r>
  <r>
    <x v="0"/>
    <x v="2"/>
    <x v="7"/>
    <n v="23600"/>
    <n v="1252"/>
    <n v="126460.1"/>
    <n v="29354.720000000001"/>
    <x v="2"/>
  </r>
  <r>
    <x v="0"/>
    <x v="2"/>
    <x v="7"/>
    <n v="23756"/>
    <n v="125"/>
    <n v="26518.37"/>
    <n v="11648.13"/>
    <x v="1"/>
  </r>
  <r>
    <x v="0"/>
    <x v="2"/>
    <x v="7"/>
    <n v="24326"/>
    <n v="110"/>
    <n v="17383.45"/>
    <n v="5315.27"/>
    <x v="4"/>
  </r>
  <r>
    <x v="1"/>
    <x v="2"/>
    <x v="7"/>
    <n v="12184"/>
    <n v="22"/>
    <n v="2624.41"/>
    <n v="1176.22"/>
    <x v="0"/>
  </r>
  <r>
    <x v="1"/>
    <x v="2"/>
    <x v="7"/>
    <n v="12622"/>
    <n v="12"/>
    <n v="2924.97"/>
    <n v="1224.69"/>
    <x v="1"/>
  </r>
  <r>
    <x v="1"/>
    <x v="2"/>
    <x v="7"/>
    <n v="13527"/>
    <n v="179"/>
    <n v="28581.56"/>
    <n v="4935.09"/>
    <x v="2"/>
  </r>
  <r>
    <x v="1"/>
    <x v="2"/>
    <x v="7"/>
    <n v="13618"/>
    <n v="10"/>
    <n v="3568.35"/>
    <n v="1392.75"/>
    <x v="1"/>
  </r>
  <r>
    <x v="1"/>
    <x v="2"/>
    <x v="7"/>
    <n v="16024"/>
    <n v="192"/>
    <n v="80214.78"/>
    <n v="26302.5"/>
    <x v="3"/>
  </r>
  <r>
    <x v="1"/>
    <x v="2"/>
    <x v="7"/>
    <n v="16650"/>
    <n v="29"/>
    <n v="5318.14"/>
    <n v="3472.85"/>
    <x v="0"/>
  </r>
  <r>
    <x v="1"/>
    <x v="2"/>
    <x v="7"/>
    <n v="17892"/>
    <n v="42"/>
    <n v="5695.39"/>
    <n v="1195.06"/>
    <x v="4"/>
  </r>
  <r>
    <x v="1"/>
    <x v="2"/>
    <x v="7"/>
    <n v="18342"/>
    <n v="13"/>
    <n v="9823.41"/>
    <n v="2567.88"/>
    <x v="3"/>
  </r>
  <r>
    <x v="1"/>
    <x v="2"/>
    <x v="7"/>
    <n v="20177"/>
    <n v="20"/>
    <n v="1947.14"/>
    <n v="675.47"/>
    <x v="5"/>
  </r>
  <r>
    <x v="1"/>
    <x v="2"/>
    <x v="7"/>
    <n v="21179"/>
    <n v="37"/>
    <n v="4355.16"/>
    <n v="2287.2600000000002"/>
    <x v="0"/>
  </r>
  <r>
    <x v="1"/>
    <x v="2"/>
    <x v="7"/>
    <n v="21260"/>
    <n v="21"/>
    <n v="4229.1000000000004"/>
    <n v="934.32"/>
    <x v="4"/>
  </r>
  <r>
    <x v="1"/>
    <x v="2"/>
    <x v="7"/>
    <n v="22317"/>
    <n v="10"/>
    <n v="926.96"/>
    <n v="485.86"/>
    <x v="5"/>
  </r>
  <r>
    <x v="1"/>
    <x v="2"/>
    <x v="7"/>
    <n v="22940"/>
    <n v="204"/>
    <n v="26214.27"/>
    <n v="6310.88"/>
    <x v="2"/>
  </r>
  <r>
    <x v="1"/>
    <x v="2"/>
    <x v="7"/>
    <n v="23178"/>
    <n v="136"/>
    <n v="24699.16"/>
    <n v="7011.4"/>
    <x v="2"/>
  </r>
  <r>
    <x v="1"/>
    <x v="2"/>
    <x v="7"/>
    <n v="23600"/>
    <n v="546"/>
    <n v="55052.57"/>
    <n v="16505.490000000002"/>
    <x v="2"/>
  </r>
  <r>
    <x v="1"/>
    <x v="2"/>
    <x v="7"/>
    <n v="23756"/>
    <n v="44"/>
    <n v="6507.26"/>
    <n v="3167.42"/>
    <x v="1"/>
  </r>
  <r>
    <x v="1"/>
    <x v="2"/>
    <x v="7"/>
    <n v="24326"/>
    <n v="25"/>
    <n v="3506.71"/>
    <n v="1089.9100000000001"/>
    <x v="4"/>
  </r>
  <r>
    <x v="2"/>
    <x v="2"/>
    <x v="7"/>
    <n v="12184"/>
    <n v="114"/>
    <n v="16532.98"/>
    <n v="11900.84"/>
    <x v="0"/>
  </r>
  <r>
    <x v="2"/>
    <x v="2"/>
    <x v="7"/>
    <n v="12622"/>
    <n v="57"/>
    <n v="13264.5"/>
    <n v="8657.8799999999992"/>
    <x v="1"/>
  </r>
  <r>
    <x v="2"/>
    <x v="2"/>
    <x v="7"/>
    <n v="13527"/>
    <n v="406"/>
    <n v="72162.95"/>
    <n v="15278.16"/>
    <x v="2"/>
  </r>
  <r>
    <x v="2"/>
    <x v="2"/>
    <x v="7"/>
    <n v="13618"/>
    <n v="11"/>
    <n v="3689.99"/>
    <n v="1994.14"/>
    <x v="1"/>
  </r>
  <r>
    <x v="2"/>
    <x v="2"/>
    <x v="7"/>
    <n v="16024"/>
    <n v="328"/>
    <n v="131185.88"/>
    <n v="38160.14"/>
    <x v="3"/>
  </r>
  <r>
    <x v="2"/>
    <x v="2"/>
    <x v="7"/>
    <n v="16650"/>
    <n v="49"/>
    <n v="6808.95"/>
    <n v="5269.26"/>
    <x v="0"/>
  </r>
  <r>
    <x v="2"/>
    <x v="2"/>
    <x v="7"/>
    <n v="17892"/>
    <n v="57"/>
    <n v="8603.44"/>
    <n v="2453.9"/>
    <x v="4"/>
  </r>
  <r>
    <x v="2"/>
    <x v="2"/>
    <x v="7"/>
    <n v="18342"/>
    <n v="119"/>
    <n v="96129.06"/>
    <n v="25003.86"/>
    <x v="3"/>
  </r>
  <r>
    <x v="2"/>
    <x v="2"/>
    <x v="7"/>
    <n v="20177"/>
    <n v="45"/>
    <n v="5301.18"/>
    <n v="2434.4"/>
    <x v="5"/>
  </r>
  <r>
    <x v="2"/>
    <x v="2"/>
    <x v="7"/>
    <n v="21179"/>
    <n v="25"/>
    <n v="3448"/>
    <n v="2015.25"/>
    <x v="0"/>
  </r>
  <r>
    <x v="2"/>
    <x v="2"/>
    <x v="7"/>
    <n v="21260"/>
    <n v="71"/>
    <n v="12220.46"/>
    <n v="4324.53"/>
    <x v="4"/>
  </r>
  <r>
    <x v="2"/>
    <x v="2"/>
    <x v="7"/>
    <n v="22317"/>
    <n v="49"/>
    <n v="5073.32"/>
    <n v="2163.29"/>
    <x v="5"/>
  </r>
  <r>
    <x v="2"/>
    <x v="2"/>
    <x v="7"/>
    <n v="22940"/>
    <n v="418"/>
    <n v="53486.04"/>
    <n v="12320.08"/>
    <x v="2"/>
  </r>
  <r>
    <x v="2"/>
    <x v="2"/>
    <x v="7"/>
    <n v="23178"/>
    <n v="238"/>
    <n v="46029.78"/>
    <n v="10726.17"/>
    <x v="2"/>
  </r>
  <r>
    <x v="2"/>
    <x v="2"/>
    <x v="7"/>
    <n v="23600"/>
    <n v="1199"/>
    <n v="131591.75"/>
    <n v="43054.239999999998"/>
    <x v="2"/>
  </r>
  <r>
    <x v="2"/>
    <x v="2"/>
    <x v="7"/>
    <n v="23756"/>
    <n v="105"/>
    <n v="20390.39"/>
    <n v="12603.68"/>
    <x v="1"/>
  </r>
  <r>
    <x v="2"/>
    <x v="2"/>
    <x v="7"/>
    <n v="24326"/>
    <n v="99"/>
    <n v="12723.37"/>
    <n v="4470.21"/>
    <x v="4"/>
  </r>
  <r>
    <x v="3"/>
    <x v="2"/>
    <x v="7"/>
    <n v="12184"/>
    <n v="44"/>
    <n v="6280.94"/>
    <n v="3144"/>
    <x v="0"/>
  </r>
  <r>
    <x v="3"/>
    <x v="2"/>
    <x v="7"/>
    <n v="12622"/>
    <n v="54"/>
    <n v="12759.19"/>
    <n v="5819.93"/>
    <x v="1"/>
  </r>
  <r>
    <x v="3"/>
    <x v="2"/>
    <x v="7"/>
    <n v="13527"/>
    <n v="310"/>
    <n v="51899.32"/>
    <n v="9763.5300000000007"/>
    <x v="2"/>
  </r>
  <r>
    <x v="3"/>
    <x v="2"/>
    <x v="7"/>
    <n v="13618"/>
    <n v="18"/>
    <n v="6291.8"/>
    <n v="2982.07"/>
    <x v="1"/>
  </r>
  <r>
    <x v="3"/>
    <x v="2"/>
    <x v="7"/>
    <n v="16024"/>
    <n v="169"/>
    <n v="78781.67"/>
    <n v="19717"/>
    <x v="3"/>
  </r>
  <r>
    <x v="3"/>
    <x v="2"/>
    <x v="7"/>
    <n v="16650"/>
    <n v="45"/>
    <n v="5632.41"/>
    <n v="3003.17"/>
    <x v="0"/>
  </r>
  <r>
    <x v="3"/>
    <x v="2"/>
    <x v="7"/>
    <n v="17892"/>
    <n v="41"/>
    <n v="5524.49"/>
    <n v="1235.21"/>
    <x v="4"/>
  </r>
  <r>
    <x v="3"/>
    <x v="2"/>
    <x v="7"/>
    <n v="18342"/>
    <n v="193"/>
    <n v="175581.92"/>
    <n v="42136.86"/>
    <x v="3"/>
  </r>
  <r>
    <x v="3"/>
    <x v="2"/>
    <x v="7"/>
    <n v="20177"/>
    <n v="95"/>
    <n v="8594.18"/>
    <n v="3543.9"/>
    <x v="5"/>
  </r>
  <r>
    <x v="3"/>
    <x v="2"/>
    <x v="7"/>
    <n v="21179"/>
    <n v="55"/>
    <n v="7486.95"/>
    <n v="4618.92"/>
    <x v="0"/>
  </r>
  <r>
    <x v="3"/>
    <x v="2"/>
    <x v="7"/>
    <n v="21260"/>
    <n v="51"/>
    <n v="10398.66"/>
    <n v="2570.66"/>
    <x v="4"/>
  </r>
  <r>
    <x v="3"/>
    <x v="2"/>
    <x v="7"/>
    <n v="22317"/>
    <n v="45"/>
    <n v="3869.72"/>
    <n v="1634.62"/>
    <x v="5"/>
  </r>
  <r>
    <x v="3"/>
    <x v="2"/>
    <x v="7"/>
    <n v="22940"/>
    <n v="555"/>
    <n v="71805.62"/>
    <n v="15971.5"/>
    <x v="2"/>
  </r>
  <r>
    <x v="3"/>
    <x v="2"/>
    <x v="7"/>
    <n v="23178"/>
    <n v="218"/>
    <n v="36757.21"/>
    <n v="7766.67"/>
    <x v="2"/>
  </r>
  <r>
    <x v="3"/>
    <x v="2"/>
    <x v="7"/>
    <n v="23600"/>
    <n v="602"/>
    <n v="62812.21"/>
    <n v="15068.57"/>
    <x v="2"/>
  </r>
  <r>
    <x v="3"/>
    <x v="2"/>
    <x v="7"/>
    <n v="23756"/>
    <n v="109"/>
    <n v="21002.04"/>
    <n v="9821.61"/>
    <x v="1"/>
  </r>
  <r>
    <x v="3"/>
    <x v="2"/>
    <x v="7"/>
    <n v="24326"/>
    <n v="83"/>
    <n v="12634.38"/>
    <n v="3104.08"/>
    <x v="4"/>
  </r>
  <r>
    <x v="0"/>
    <x v="2"/>
    <x v="8"/>
    <n v="12184"/>
    <n v="52"/>
    <n v="5384.34"/>
    <n v="2821.64"/>
    <x v="0"/>
  </r>
  <r>
    <x v="0"/>
    <x v="2"/>
    <x v="8"/>
    <n v="12622"/>
    <n v="64"/>
    <n v="15004.75"/>
    <n v="6522.7"/>
    <x v="1"/>
  </r>
  <r>
    <x v="0"/>
    <x v="2"/>
    <x v="8"/>
    <n v="13527"/>
    <n v="694"/>
    <n v="109778.11"/>
    <n v="22733.78"/>
    <x v="2"/>
  </r>
  <r>
    <x v="0"/>
    <x v="2"/>
    <x v="8"/>
    <n v="13618"/>
    <n v="25"/>
    <n v="8284.58"/>
    <n v="3701.22"/>
    <x v="1"/>
  </r>
  <r>
    <x v="0"/>
    <x v="2"/>
    <x v="8"/>
    <n v="16024"/>
    <n v="197"/>
    <n v="90835.12"/>
    <n v="28481.35"/>
    <x v="3"/>
  </r>
  <r>
    <x v="0"/>
    <x v="2"/>
    <x v="8"/>
    <n v="16650"/>
    <n v="72"/>
    <n v="11795.61"/>
    <n v="6248.67"/>
    <x v="0"/>
  </r>
  <r>
    <x v="0"/>
    <x v="2"/>
    <x v="8"/>
    <n v="17892"/>
    <n v="128"/>
    <n v="17463.060000000001"/>
    <n v="4581.41"/>
    <x v="4"/>
  </r>
  <r>
    <x v="0"/>
    <x v="2"/>
    <x v="8"/>
    <n v="18342"/>
    <n v="111"/>
    <n v="82133.789999999994"/>
    <n v="20718.509999999998"/>
    <x v="3"/>
  </r>
  <r>
    <x v="0"/>
    <x v="2"/>
    <x v="8"/>
    <n v="20177"/>
    <n v="119"/>
    <n v="13441.11"/>
    <n v="5355.54"/>
    <x v="5"/>
  </r>
  <r>
    <x v="0"/>
    <x v="2"/>
    <x v="8"/>
    <n v="21179"/>
    <n v="35"/>
    <n v="3857.95"/>
    <n v="1661.24"/>
    <x v="0"/>
  </r>
  <r>
    <x v="0"/>
    <x v="2"/>
    <x v="8"/>
    <n v="21260"/>
    <n v="51"/>
    <n v="9120.39"/>
    <n v="2225.1"/>
    <x v="4"/>
  </r>
  <r>
    <x v="0"/>
    <x v="2"/>
    <x v="8"/>
    <n v="22317"/>
    <n v="101"/>
    <n v="7546.84"/>
    <n v="3073.87"/>
    <x v="5"/>
  </r>
  <r>
    <x v="0"/>
    <x v="2"/>
    <x v="8"/>
    <n v="22940"/>
    <n v="673"/>
    <n v="82883.67"/>
    <n v="13723.52"/>
    <x v="2"/>
  </r>
  <r>
    <x v="0"/>
    <x v="2"/>
    <x v="8"/>
    <n v="23178"/>
    <n v="216"/>
    <n v="37937.22"/>
    <n v="6539.78"/>
    <x v="2"/>
  </r>
  <r>
    <x v="0"/>
    <x v="2"/>
    <x v="8"/>
    <n v="23600"/>
    <n v="514"/>
    <n v="57109.79"/>
    <n v="11553.63"/>
    <x v="2"/>
  </r>
  <r>
    <x v="0"/>
    <x v="2"/>
    <x v="8"/>
    <n v="23756"/>
    <n v="108"/>
    <n v="19528.97"/>
    <n v="9170.18"/>
    <x v="1"/>
  </r>
  <r>
    <x v="0"/>
    <x v="2"/>
    <x v="8"/>
    <n v="24326"/>
    <n v="121"/>
    <n v="18329.759999999998"/>
    <n v="5267.82"/>
    <x v="4"/>
  </r>
  <r>
    <x v="1"/>
    <x v="2"/>
    <x v="8"/>
    <n v="12184"/>
    <n v="15"/>
    <n v="1523.68"/>
    <n v="782.79"/>
    <x v="0"/>
  </r>
  <r>
    <x v="1"/>
    <x v="2"/>
    <x v="8"/>
    <n v="12622"/>
    <n v="10"/>
    <n v="2434.92"/>
    <n v="993.28"/>
    <x v="1"/>
  </r>
  <r>
    <x v="1"/>
    <x v="2"/>
    <x v="8"/>
    <n v="13527"/>
    <n v="273"/>
    <n v="43161.99"/>
    <n v="8526.24"/>
    <x v="2"/>
  </r>
  <r>
    <x v="1"/>
    <x v="2"/>
    <x v="8"/>
    <n v="13618"/>
    <n v="6"/>
    <n v="2259.08"/>
    <n v="883.45"/>
    <x v="1"/>
  </r>
  <r>
    <x v="1"/>
    <x v="2"/>
    <x v="8"/>
    <n v="16024"/>
    <n v="88"/>
    <n v="34337.64"/>
    <n v="9718.69"/>
    <x v="3"/>
  </r>
  <r>
    <x v="1"/>
    <x v="2"/>
    <x v="8"/>
    <n v="16650"/>
    <n v="33"/>
    <n v="4341.75"/>
    <n v="2291.25"/>
    <x v="0"/>
  </r>
  <r>
    <x v="1"/>
    <x v="2"/>
    <x v="8"/>
    <n v="17892"/>
    <n v="74"/>
    <n v="11155.48"/>
    <n v="2329.4499999999998"/>
    <x v="4"/>
  </r>
  <r>
    <x v="1"/>
    <x v="2"/>
    <x v="8"/>
    <n v="18342"/>
    <n v="31"/>
    <n v="27796.48"/>
    <n v="7957.2"/>
    <x v="3"/>
  </r>
  <r>
    <x v="1"/>
    <x v="2"/>
    <x v="8"/>
    <n v="20177"/>
    <n v="22"/>
    <n v="2423.67"/>
    <n v="943.5"/>
    <x v="5"/>
  </r>
  <r>
    <x v="1"/>
    <x v="2"/>
    <x v="8"/>
    <n v="21179"/>
    <n v="36"/>
    <n v="3933.14"/>
    <n v="2408.7399999999998"/>
    <x v="0"/>
  </r>
  <r>
    <x v="1"/>
    <x v="2"/>
    <x v="8"/>
    <n v="21260"/>
    <n v="42"/>
    <n v="7909.03"/>
    <n v="2095.2199999999998"/>
    <x v="4"/>
  </r>
  <r>
    <x v="1"/>
    <x v="2"/>
    <x v="8"/>
    <n v="22317"/>
    <n v="18"/>
    <n v="1653.71"/>
    <n v="817.6"/>
    <x v="5"/>
  </r>
  <r>
    <x v="1"/>
    <x v="2"/>
    <x v="8"/>
    <n v="22940"/>
    <n v="139"/>
    <n v="18266.310000000001"/>
    <n v="5513.91"/>
    <x v="2"/>
  </r>
  <r>
    <x v="1"/>
    <x v="2"/>
    <x v="8"/>
    <n v="23178"/>
    <n v="235"/>
    <n v="37729.89"/>
    <n v="8840.48"/>
    <x v="2"/>
  </r>
  <r>
    <x v="1"/>
    <x v="2"/>
    <x v="8"/>
    <n v="23600"/>
    <n v="269"/>
    <n v="33064.49"/>
    <n v="8192.9500000000007"/>
    <x v="2"/>
  </r>
  <r>
    <x v="1"/>
    <x v="2"/>
    <x v="8"/>
    <n v="23756"/>
    <n v="34"/>
    <n v="5789.21"/>
    <n v="2838.97"/>
    <x v="1"/>
  </r>
  <r>
    <x v="1"/>
    <x v="2"/>
    <x v="8"/>
    <n v="24326"/>
    <n v="32"/>
    <n v="4088.04"/>
    <n v="1157.05"/>
    <x v="4"/>
  </r>
  <r>
    <x v="2"/>
    <x v="2"/>
    <x v="8"/>
    <n v="12184"/>
    <n v="89"/>
    <n v="12358.11"/>
    <n v="9066.49"/>
    <x v="0"/>
  </r>
  <r>
    <x v="2"/>
    <x v="2"/>
    <x v="8"/>
    <n v="12622"/>
    <n v="39"/>
    <n v="9640.44"/>
    <n v="5743.56"/>
    <x v="1"/>
  </r>
  <r>
    <x v="2"/>
    <x v="2"/>
    <x v="8"/>
    <n v="13527"/>
    <n v="474"/>
    <n v="73080.86"/>
    <n v="16722.02"/>
    <x v="2"/>
  </r>
  <r>
    <x v="2"/>
    <x v="2"/>
    <x v="8"/>
    <n v="13618"/>
    <n v="10"/>
    <n v="3930.47"/>
    <n v="2437.3000000000002"/>
    <x v="1"/>
  </r>
  <r>
    <x v="2"/>
    <x v="2"/>
    <x v="8"/>
    <n v="16024"/>
    <n v="353"/>
    <n v="150277.87"/>
    <n v="41128.129999999997"/>
    <x v="3"/>
  </r>
  <r>
    <x v="2"/>
    <x v="2"/>
    <x v="8"/>
    <n v="16650"/>
    <n v="20"/>
    <n v="2763.03"/>
    <n v="1930.74"/>
    <x v="0"/>
  </r>
  <r>
    <x v="2"/>
    <x v="2"/>
    <x v="8"/>
    <n v="17892"/>
    <n v="72"/>
    <n v="11112.12"/>
    <n v="3862.56"/>
    <x v="4"/>
  </r>
  <r>
    <x v="2"/>
    <x v="2"/>
    <x v="8"/>
    <n v="18342"/>
    <n v="140"/>
    <n v="130358.41"/>
    <n v="34075.18"/>
    <x v="3"/>
  </r>
  <r>
    <x v="2"/>
    <x v="2"/>
    <x v="8"/>
    <n v="20177"/>
    <n v="86"/>
    <n v="7747.34"/>
    <n v="3396.64"/>
    <x v="5"/>
  </r>
  <r>
    <x v="2"/>
    <x v="2"/>
    <x v="8"/>
    <n v="21179"/>
    <n v="28"/>
    <n v="2927.1"/>
    <n v="1803.35"/>
    <x v="0"/>
  </r>
  <r>
    <x v="2"/>
    <x v="2"/>
    <x v="8"/>
    <n v="21260"/>
    <n v="66"/>
    <n v="12150.69"/>
    <n v="3381.68"/>
    <x v="4"/>
  </r>
  <r>
    <x v="2"/>
    <x v="2"/>
    <x v="8"/>
    <n v="22317"/>
    <n v="44"/>
    <n v="4346.1000000000004"/>
    <n v="2099.06"/>
    <x v="5"/>
  </r>
  <r>
    <x v="2"/>
    <x v="2"/>
    <x v="8"/>
    <n v="22940"/>
    <n v="358"/>
    <n v="46353.56"/>
    <n v="10416.469999999999"/>
    <x v="2"/>
  </r>
  <r>
    <x v="2"/>
    <x v="2"/>
    <x v="8"/>
    <n v="23178"/>
    <n v="93"/>
    <n v="16911.95"/>
    <n v="4863.2299999999996"/>
    <x v="2"/>
  </r>
  <r>
    <x v="2"/>
    <x v="2"/>
    <x v="8"/>
    <n v="23600"/>
    <n v="1082"/>
    <n v="109383.13"/>
    <n v="27387.14"/>
    <x v="2"/>
  </r>
  <r>
    <x v="2"/>
    <x v="2"/>
    <x v="8"/>
    <n v="23756"/>
    <n v="54"/>
    <n v="8421.49"/>
    <n v="4429.03"/>
    <x v="1"/>
  </r>
  <r>
    <x v="2"/>
    <x v="2"/>
    <x v="8"/>
    <n v="24326"/>
    <n v="71"/>
    <n v="10980.08"/>
    <n v="3266.19"/>
    <x v="4"/>
  </r>
  <r>
    <x v="3"/>
    <x v="2"/>
    <x v="8"/>
    <n v="12184"/>
    <n v="72"/>
    <n v="9781.59"/>
    <n v="5261.54"/>
    <x v="0"/>
  </r>
  <r>
    <x v="3"/>
    <x v="2"/>
    <x v="8"/>
    <n v="12622"/>
    <n v="57"/>
    <n v="16750.86"/>
    <n v="8054.59"/>
    <x v="1"/>
  </r>
  <r>
    <x v="3"/>
    <x v="2"/>
    <x v="8"/>
    <n v="13527"/>
    <n v="299"/>
    <n v="47471.21"/>
    <n v="10695.5"/>
    <x v="2"/>
  </r>
  <r>
    <x v="3"/>
    <x v="2"/>
    <x v="8"/>
    <n v="13618"/>
    <n v="8"/>
    <n v="3626.7"/>
    <n v="1545.19"/>
    <x v="1"/>
  </r>
  <r>
    <x v="3"/>
    <x v="2"/>
    <x v="8"/>
    <n v="16024"/>
    <n v="190"/>
    <n v="80860.820000000007"/>
    <n v="20519.34"/>
    <x v="3"/>
  </r>
  <r>
    <x v="3"/>
    <x v="2"/>
    <x v="8"/>
    <n v="16650"/>
    <n v="35"/>
    <n v="5808.56"/>
    <n v="3036.71"/>
    <x v="0"/>
  </r>
  <r>
    <x v="3"/>
    <x v="2"/>
    <x v="8"/>
    <n v="17892"/>
    <n v="88"/>
    <n v="12251.57"/>
    <n v="3275.87"/>
    <x v="4"/>
  </r>
  <r>
    <x v="3"/>
    <x v="2"/>
    <x v="8"/>
    <n v="18342"/>
    <n v="114"/>
    <n v="97746.34"/>
    <n v="27840.79"/>
    <x v="3"/>
  </r>
  <r>
    <x v="3"/>
    <x v="2"/>
    <x v="8"/>
    <n v="20177"/>
    <n v="63"/>
    <n v="6176.75"/>
    <n v="2474.86"/>
    <x v="5"/>
  </r>
  <r>
    <x v="3"/>
    <x v="2"/>
    <x v="8"/>
    <n v="21179"/>
    <n v="60"/>
    <n v="8636.77"/>
    <n v="5581.35"/>
    <x v="0"/>
  </r>
  <r>
    <x v="3"/>
    <x v="2"/>
    <x v="8"/>
    <n v="21260"/>
    <n v="53"/>
    <n v="10811.53"/>
    <n v="2732.42"/>
    <x v="4"/>
  </r>
  <r>
    <x v="3"/>
    <x v="2"/>
    <x v="8"/>
    <n v="22317"/>
    <n v="56"/>
    <n v="4988.24"/>
    <n v="2133.0300000000002"/>
    <x v="5"/>
  </r>
  <r>
    <x v="3"/>
    <x v="2"/>
    <x v="8"/>
    <n v="22940"/>
    <n v="509"/>
    <n v="66307.399999999994"/>
    <n v="12408.42"/>
    <x v="2"/>
  </r>
  <r>
    <x v="3"/>
    <x v="2"/>
    <x v="8"/>
    <n v="23178"/>
    <n v="142"/>
    <n v="25032.55"/>
    <n v="4593.42"/>
    <x v="2"/>
  </r>
  <r>
    <x v="3"/>
    <x v="2"/>
    <x v="8"/>
    <n v="23600"/>
    <n v="736"/>
    <n v="80119.09"/>
    <n v="19632.22"/>
    <x v="2"/>
  </r>
  <r>
    <x v="3"/>
    <x v="2"/>
    <x v="8"/>
    <n v="23756"/>
    <n v="92"/>
    <n v="13579.63"/>
    <n v="6508.57"/>
    <x v="1"/>
  </r>
  <r>
    <x v="3"/>
    <x v="2"/>
    <x v="8"/>
    <n v="24326"/>
    <n v="146"/>
    <n v="18552.669999999998"/>
    <n v="4093.34"/>
    <x v="4"/>
  </r>
  <r>
    <x v="0"/>
    <x v="2"/>
    <x v="9"/>
    <n v="12184"/>
    <n v="69"/>
    <n v="8296.89"/>
    <n v="3755.05"/>
    <x v="0"/>
  </r>
  <r>
    <x v="0"/>
    <x v="2"/>
    <x v="9"/>
    <n v="12622"/>
    <n v="67"/>
    <n v="15393.8"/>
    <n v="8240.7999999999993"/>
    <x v="1"/>
  </r>
  <r>
    <x v="0"/>
    <x v="2"/>
    <x v="9"/>
    <n v="13527"/>
    <n v="846"/>
    <n v="131503.29999999999"/>
    <n v="24631.97"/>
    <x v="2"/>
  </r>
  <r>
    <x v="0"/>
    <x v="2"/>
    <x v="9"/>
    <n v="13618"/>
    <n v="32"/>
    <n v="12136.97"/>
    <n v="6405.25"/>
    <x v="1"/>
  </r>
  <r>
    <x v="0"/>
    <x v="2"/>
    <x v="9"/>
    <n v="16024"/>
    <n v="309"/>
    <n v="146314.21"/>
    <n v="47232.42"/>
    <x v="3"/>
  </r>
  <r>
    <x v="0"/>
    <x v="2"/>
    <x v="9"/>
    <n v="16650"/>
    <n v="53"/>
    <n v="9137.56"/>
    <n v="4257.55"/>
    <x v="0"/>
  </r>
  <r>
    <x v="0"/>
    <x v="2"/>
    <x v="9"/>
    <n v="17892"/>
    <n v="73"/>
    <n v="11130.33"/>
    <n v="2843.27"/>
    <x v="4"/>
  </r>
  <r>
    <x v="0"/>
    <x v="2"/>
    <x v="9"/>
    <n v="18342"/>
    <n v="110"/>
    <n v="86080.81"/>
    <n v="21054.02"/>
    <x v="3"/>
  </r>
  <r>
    <x v="0"/>
    <x v="2"/>
    <x v="9"/>
    <n v="20177"/>
    <n v="120"/>
    <n v="12444.24"/>
    <n v="4308.21"/>
    <x v="5"/>
  </r>
  <r>
    <x v="0"/>
    <x v="2"/>
    <x v="9"/>
    <n v="21179"/>
    <n v="43"/>
    <n v="4969.0600000000004"/>
    <n v="2468.08"/>
    <x v="0"/>
  </r>
  <r>
    <x v="0"/>
    <x v="2"/>
    <x v="9"/>
    <n v="21260"/>
    <n v="56"/>
    <n v="11122.63"/>
    <n v="2911.15"/>
    <x v="4"/>
  </r>
  <r>
    <x v="0"/>
    <x v="2"/>
    <x v="9"/>
    <n v="22317"/>
    <n v="85"/>
    <n v="6971.16"/>
    <n v="2994.88"/>
    <x v="5"/>
  </r>
  <r>
    <x v="0"/>
    <x v="2"/>
    <x v="9"/>
    <n v="22940"/>
    <n v="699"/>
    <n v="94475.49"/>
    <n v="17212.740000000002"/>
    <x v="2"/>
  </r>
  <r>
    <x v="0"/>
    <x v="2"/>
    <x v="9"/>
    <n v="23178"/>
    <n v="415"/>
    <n v="74554.66"/>
    <n v="15586.04"/>
    <x v="2"/>
  </r>
  <r>
    <x v="0"/>
    <x v="2"/>
    <x v="9"/>
    <n v="23600"/>
    <n v="1331"/>
    <n v="152212.32999999999"/>
    <n v="31007.14"/>
    <x v="2"/>
  </r>
  <r>
    <x v="0"/>
    <x v="2"/>
    <x v="9"/>
    <n v="23756"/>
    <n v="112"/>
    <n v="16898.23"/>
    <n v="9054.73"/>
    <x v="1"/>
  </r>
  <r>
    <x v="0"/>
    <x v="2"/>
    <x v="9"/>
    <n v="24326"/>
    <n v="102"/>
    <n v="15037.1"/>
    <n v="4702.58"/>
    <x v="4"/>
  </r>
  <r>
    <x v="1"/>
    <x v="2"/>
    <x v="9"/>
    <n v="12184"/>
    <n v="40"/>
    <n v="4026.39"/>
    <n v="2270.38"/>
    <x v="0"/>
  </r>
  <r>
    <x v="1"/>
    <x v="2"/>
    <x v="9"/>
    <n v="12622"/>
    <n v="10"/>
    <n v="2693.82"/>
    <n v="1103.26"/>
    <x v="1"/>
  </r>
  <r>
    <x v="1"/>
    <x v="2"/>
    <x v="9"/>
    <n v="13527"/>
    <n v="135"/>
    <n v="21076.11"/>
    <n v="3566.31"/>
    <x v="2"/>
  </r>
  <r>
    <x v="1"/>
    <x v="2"/>
    <x v="9"/>
    <n v="13618"/>
    <n v="6"/>
    <n v="2282.36"/>
    <n v="1055.1099999999999"/>
    <x v="1"/>
  </r>
  <r>
    <x v="1"/>
    <x v="2"/>
    <x v="9"/>
    <n v="16024"/>
    <n v="89"/>
    <n v="43452.49"/>
    <n v="11813.46"/>
    <x v="3"/>
  </r>
  <r>
    <x v="1"/>
    <x v="2"/>
    <x v="9"/>
    <n v="16650"/>
    <n v="36"/>
    <n v="5456.75"/>
    <n v="3669.27"/>
    <x v="0"/>
  </r>
  <r>
    <x v="1"/>
    <x v="2"/>
    <x v="9"/>
    <n v="17892"/>
    <n v="70"/>
    <n v="10033.84"/>
    <n v="2355.4699999999998"/>
    <x v="4"/>
  </r>
  <r>
    <x v="1"/>
    <x v="2"/>
    <x v="9"/>
    <n v="18342"/>
    <n v="14"/>
    <n v="11593.3"/>
    <n v="3152.58"/>
    <x v="3"/>
  </r>
  <r>
    <x v="1"/>
    <x v="2"/>
    <x v="9"/>
    <n v="20177"/>
    <n v="29"/>
    <n v="3353.02"/>
    <n v="1375.3"/>
    <x v="5"/>
  </r>
  <r>
    <x v="1"/>
    <x v="2"/>
    <x v="9"/>
    <n v="21179"/>
    <n v="29"/>
    <n v="3292.38"/>
    <n v="1617.94"/>
    <x v="0"/>
  </r>
  <r>
    <x v="1"/>
    <x v="2"/>
    <x v="9"/>
    <n v="21260"/>
    <n v="45"/>
    <n v="8027.19"/>
    <n v="2030.66"/>
    <x v="4"/>
  </r>
  <r>
    <x v="1"/>
    <x v="2"/>
    <x v="9"/>
    <n v="22317"/>
    <n v="12"/>
    <n v="1124.68"/>
    <n v="598.95000000000005"/>
    <x v="5"/>
  </r>
  <r>
    <x v="1"/>
    <x v="2"/>
    <x v="9"/>
    <n v="22940"/>
    <n v="184"/>
    <n v="24231.34"/>
    <n v="7382.32"/>
    <x v="2"/>
  </r>
  <r>
    <x v="1"/>
    <x v="2"/>
    <x v="9"/>
    <n v="23178"/>
    <n v="219"/>
    <n v="40120.660000000003"/>
    <n v="10178.74"/>
    <x v="2"/>
  </r>
  <r>
    <x v="1"/>
    <x v="2"/>
    <x v="9"/>
    <n v="23600"/>
    <n v="414"/>
    <n v="47024.73"/>
    <n v="11144.77"/>
    <x v="2"/>
  </r>
  <r>
    <x v="1"/>
    <x v="2"/>
    <x v="9"/>
    <n v="23756"/>
    <n v="57"/>
    <n v="9013.61"/>
    <n v="3610.1"/>
    <x v="1"/>
  </r>
  <r>
    <x v="1"/>
    <x v="2"/>
    <x v="9"/>
    <n v="24326"/>
    <n v="39"/>
    <n v="5180.01"/>
    <n v="1762.09"/>
    <x v="4"/>
  </r>
  <r>
    <x v="2"/>
    <x v="2"/>
    <x v="9"/>
    <n v="12184"/>
    <n v="109"/>
    <n v="12698.84"/>
    <n v="8757.3700000000008"/>
    <x v="0"/>
  </r>
  <r>
    <x v="2"/>
    <x v="2"/>
    <x v="9"/>
    <n v="12622"/>
    <n v="56"/>
    <n v="16498.57"/>
    <n v="9988.81"/>
    <x v="1"/>
  </r>
  <r>
    <x v="2"/>
    <x v="2"/>
    <x v="9"/>
    <n v="13527"/>
    <n v="391"/>
    <n v="65417.81"/>
    <n v="15923.44"/>
    <x v="2"/>
  </r>
  <r>
    <x v="2"/>
    <x v="2"/>
    <x v="9"/>
    <n v="13618"/>
    <n v="14"/>
    <n v="5813.19"/>
    <n v="3792.62"/>
    <x v="1"/>
  </r>
  <r>
    <x v="2"/>
    <x v="2"/>
    <x v="9"/>
    <n v="16024"/>
    <n v="327"/>
    <n v="149798.20000000001"/>
    <n v="43131.18"/>
    <x v="3"/>
  </r>
  <r>
    <x v="2"/>
    <x v="2"/>
    <x v="9"/>
    <n v="16650"/>
    <n v="20"/>
    <n v="3036.11"/>
    <n v="1932.89"/>
    <x v="0"/>
  </r>
  <r>
    <x v="2"/>
    <x v="2"/>
    <x v="9"/>
    <n v="17892"/>
    <n v="137"/>
    <n v="20111.91"/>
    <n v="5513.98"/>
    <x v="4"/>
  </r>
  <r>
    <x v="2"/>
    <x v="2"/>
    <x v="9"/>
    <n v="18342"/>
    <n v="124"/>
    <n v="99830.56"/>
    <n v="25880.89"/>
    <x v="3"/>
  </r>
  <r>
    <x v="2"/>
    <x v="2"/>
    <x v="9"/>
    <n v="20177"/>
    <n v="33"/>
    <n v="3814.75"/>
    <n v="1972.89"/>
    <x v="5"/>
  </r>
  <r>
    <x v="2"/>
    <x v="2"/>
    <x v="9"/>
    <n v="21179"/>
    <n v="27"/>
    <n v="4244.33"/>
    <n v="2735.76"/>
    <x v="0"/>
  </r>
  <r>
    <x v="2"/>
    <x v="2"/>
    <x v="9"/>
    <n v="21260"/>
    <n v="37"/>
    <n v="6670.49"/>
    <n v="2358.35"/>
    <x v="4"/>
  </r>
  <r>
    <x v="2"/>
    <x v="2"/>
    <x v="9"/>
    <n v="22317"/>
    <n v="20"/>
    <n v="1873.39"/>
    <n v="750.89"/>
    <x v="5"/>
  </r>
  <r>
    <x v="2"/>
    <x v="2"/>
    <x v="9"/>
    <n v="22940"/>
    <n v="437"/>
    <n v="60853.94"/>
    <n v="15102.91"/>
    <x v="2"/>
  </r>
  <r>
    <x v="2"/>
    <x v="2"/>
    <x v="9"/>
    <n v="23178"/>
    <n v="129"/>
    <n v="20868.07"/>
    <n v="5896.22"/>
    <x v="2"/>
  </r>
  <r>
    <x v="2"/>
    <x v="2"/>
    <x v="9"/>
    <n v="23600"/>
    <n v="659"/>
    <n v="74625.039999999994"/>
    <n v="24579.83"/>
    <x v="2"/>
  </r>
  <r>
    <x v="2"/>
    <x v="2"/>
    <x v="9"/>
    <n v="23756"/>
    <n v="59"/>
    <n v="12205.24"/>
    <n v="6980.72"/>
    <x v="1"/>
  </r>
  <r>
    <x v="2"/>
    <x v="2"/>
    <x v="9"/>
    <n v="24326"/>
    <n v="92"/>
    <n v="13600.93"/>
    <n v="4660.1400000000003"/>
    <x v="4"/>
  </r>
  <r>
    <x v="3"/>
    <x v="2"/>
    <x v="9"/>
    <n v="12184"/>
    <n v="36"/>
    <n v="4842.2"/>
    <n v="2658.33"/>
    <x v="0"/>
  </r>
  <r>
    <x v="3"/>
    <x v="2"/>
    <x v="9"/>
    <n v="12622"/>
    <n v="67"/>
    <n v="15986.72"/>
    <n v="7712.01"/>
    <x v="1"/>
  </r>
  <r>
    <x v="3"/>
    <x v="2"/>
    <x v="9"/>
    <n v="13527"/>
    <n v="513"/>
    <n v="87949.440000000002"/>
    <n v="16922.490000000002"/>
    <x v="2"/>
  </r>
  <r>
    <x v="3"/>
    <x v="2"/>
    <x v="9"/>
    <n v="13618"/>
    <n v="16"/>
    <n v="6622.27"/>
    <n v="2963.22"/>
    <x v="1"/>
  </r>
  <r>
    <x v="3"/>
    <x v="2"/>
    <x v="9"/>
    <n v="16024"/>
    <n v="175"/>
    <n v="72598.55"/>
    <n v="20503.77"/>
    <x v="3"/>
  </r>
  <r>
    <x v="3"/>
    <x v="2"/>
    <x v="9"/>
    <n v="16650"/>
    <n v="47"/>
    <n v="6786.91"/>
    <n v="3930.43"/>
    <x v="0"/>
  </r>
  <r>
    <x v="3"/>
    <x v="2"/>
    <x v="9"/>
    <n v="17892"/>
    <n v="77"/>
    <n v="9729.4"/>
    <n v="2454.5100000000002"/>
    <x v="4"/>
  </r>
  <r>
    <x v="3"/>
    <x v="2"/>
    <x v="9"/>
    <n v="18342"/>
    <n v="221"/>
    <n v="170840.24"/>
    <n v="41791.43"/>
    <x v="3"/>
  </r>
  <r>
    <x v="3"/>
    <x v="2"/>
    <x v="9"/>
    <n v="20177"/>
    <n v="75"/>
    <n v="7597.77"/>
    <n v="3084.77"/>
    <x v="5"/>
  </r>
  <r>
    <x v="3"/>
    <x v="2"/>
    <x v="9"/>
    <n v="21179"/>
    <n v="32"/>
    <n v="3732.39"/>
    <n v="1960.02"/>
    <x v="0"/>
  </r>
  <r>
    <x v="3"/>
    <x v="2"/>
    <x v="9"/>
    <n v="21260"/>
    <n v="86"/>
    <n v="17486.72"/>
    <n v="3785.26"/>
    <x v="4"/>
  </r>
  <r>
    <x v="3"/>
    <x v="2"/>
    <x v="9"/>
    <n v="22317"/>
    <n v="85"/>
    <n v="6779.9"/>
    <n v="2236.66"/>
    <x v="5"/>
  </r>
  <r>
    <x v="3"/>
    <x v="2"/>
    <x v="9"/>
    <n v="22940"/>
    <n v="277"/>
    <n v="38316.080000000002"/>
    <n v="7361.06"/>
    <x v="2"/>
  </r>
  <r>
    <x v="3"/>
    <x v="2"/>
    <x v="9"/>
    <n v="23178"/>
    <n v="290"/>
    <n v="47606.06"/>
    <n v="11156.42"/>
    <x v="2"/>
  </r>
  <r>
    <x v="3"/>
    <x v="2"/>
    <x v="9"/>
    <n v="23600"/>
    <n v="676"/>
    <n v="79193.899999999994"/>
    <n v="16104.25"/>
    <x v="2"/>
  </r>
  <r>
    <x v="3"/>
    <x v="2"/>
    <x v="9"/>
    <n v="23756"/>
    <n v="122"/>
    <n v="24049.66"/>
    <n v="12206.35"/>
    <x v="1"/>
  </r>
  <r>
    <x v="3"/>
    <x v="2"/>
    <x v="9"/>
    <n v="24326"/>
    <n v="131"/>
    <n v="19335.650000000001"/>
    <n v="4876.57"/>
    <x v="4"/>
  </r>
  <r>
    <x v="0"/>
    <x v="2"/>
    <x v="10"/>
    <n v="12184"/>
    <n v="111"/>
    <n v="14344"/>
    <n v="5790.74"/>
    <x v="0"/>
  </r>
  <r>
    <x v="0"/>
    <x v="2"/>
    <x v="10"/>
    <n v="12622"/>
    <n v="60"/>
    <n v="13463.98"/>
    <n v="6105.5"/>
    <x v="1"/>
  </r>
  <r>
    <x v="0"/>
    <x v="2"/>
    <x v="10"/>
    <n v="13527"/>
    <n v="528"/>
    <n v="80810.210000000006"/>
    <n v="16344.02"/>
    <x v="2"/>
  </r>
  <r>
    <x v="0"/>
    <x v="2"/>
    <x v="10"/>
    <n v="13618"/>
    <n v="11"/>
    <n v="3925.99"/>
    <n v="1578.98"/>
    <x v="1"/>
  </r>
  <r>
    <x v="0"/>
    <x v="2"/>
    <x v="10"/>
    <n v="16024"/>
    <n v="324"/>
    <n v="130039.57"/>
    <n v="40003.22"/>
    <x v="3"/>
  </r>
  <r>
    <x v="0"/>
    <x v="2"/>
    <x v="10"/>
    <n v="16650"/>
    <n v="33"/>
    <n v="4540.45"/>
    <n v="2381.6999999999998"/>
    <x v="0"/>
  </r>
  <r>
    <x v="0"/>
    <x v="2"/>
    <x v="10"/>
    <n v="17892"/>
    <n v="81"/>
    <n v="10940.4"/>
    <n v="3284.47"/>
    <x v="4"/>
  </r>
  <r>
    <x v="0"/>
    <x v="2"/>
    <x v="10"/>
    <n v="18342"/>
    <n v="159"/>
    <n v="148390.91"/>
    <n v="48660.13"/>
    <x v="3"/>
  </r>
  <r>
    <x v="0"/>
    <x v="2"/>
    <x v="10"/>
    <n v="20177"/>
    <n v="104"/>
    <n v="11886.13"/>
    <n v="4222.25"/>
    <x v="5"/>
  </r>
  <r>
    <x v="0"/>
    <x v="2"/>
    <x v="10"/>
    <n v="21179"/>
    <n v="58"/>
    <n v="6956.94"/>
    <n v="3627.74"/>
    <x v="0"/>
  </r>
  <r>
    <x v="0"/>
    <x v="2"/>
    <x v="10"/>
    <n v="21260"/>
    <n v="110"/>
    <n v="23586.79"/>
    <n v="6410.19"/>
    <x v="4"/>
  </r>
  <r>
    <x v="0"/>
    <x v="2"/>
    <x v="10"/>
    <n v="22317"/>
    <n v="123"/>
    <n v="10638.51"/>
    <n v="4108.3"/>
    <x v="5"/>
  </r>
  <r>
    <x v="0"/>
    <x v="2"/>
    <x v="10"/>
    <n v="22940"/>
    <n v="768"/>
    <n v="100904.33"/>
    <n v="17801.61"/>
    <x v="2"/>
  </r>
  <r>
    <x v="0"/>
    <x v="2"/>
    <x v="10"/>
    <n v="23178"/>
    <n v="200"/>
    <n v="37184.559999999998"/>
    <n v="6010.96"/>
    <x v="2"/>
  </r>
  <r>
    <x v="0"/>
    <x v="2"/>
    <x v="10"/>
    <n v="23600"/>
    <n v="1252"/>
    <n v="144542.82"/>
    <n v="29628.5"/>
    <x v="2"/>
  </r>
  <r>
    <x v="0"/>
    <x v="2"/>
    <x v="10"/>
    <n v="23756"/>
    <n v="142"/>
    <n v="27912.51"/>
    <n v="14898.38"/>
    <x v="1"/>
  </r>
  <r>
    <x v="0"/>
    <x v="2"/>
    <x v="10"/>
    <n v="24326"/>
    <n v="101"/>
    <n v="13503.65"/>
    <n v="3955.34"/>
    <x v="4"/>
  </r>
  <r>
    <x v="1"/>
    <x v="2"/>
    <x v="10"/>
    <n v="12184"/>
    <n v="32"/>
    <n v="4016.68"/>
    <n v="1733.69"/>
    <x v="0"/>
  </r>
  <r>
    <x v="1"/>
    <x v="2"/>
    <x v="10"/>
    <n v="12622"/>
    <n v="22"/>
    <n v="5933.49"/>
    <n v="2107.67"/>
    <x v="1"/>
  </r>
  <r>
    <x v="1"/>
    <x v="2"/>
    <x v="10"/>
    <n v="13527"/>
    <n v="139"/>
    <n v="21105.67"/>
    <n v="4191.3599999999997"/>
    <x v="2"/>
  </r>
  <r>
    <x v="1"/>
    <x v="2"/>
    <x v="10"/>
    <n v="13618"/>
    <n v="8"/>
    <n v="3028.47"/>
    <n v="1143.93"/>
    <x v="1"/>
  </r>
  <r>
    <x v="1"/>
    <x v="2"/>
    <x v="10"/>
    <n v="16024"/>
    <n v="129"/>
    <n v="55016.94"/>
    <n v="15636.38"/>
    <x v="3"/>
  </r>
  <r>
    <x v="1"/>
    <x v="2"/>
    <x v="10"/>
    <n v="16650"/>
    <n v="36"/>
    <n v="4938.3900000000003"/>
    <n v="2691.2"/>
    <x v="0"/>
  </r>
  <r>
    <x v="1"/>
    <x v="2"/>
    <x v="10"/>
    <n v="17892"/>
    <n v="63"/>
    <n v="9108.7099999999991"/>
    <n v="2259.6"/>
    <x v="4"/>
  </r>
  <r>
    <x v="1"/>
    <x v="2"/>
    <x v="10"/>
    <n v="18342"/>
    <n v="19"/>
    <n v="16102.88"/>
    <n v="5334.03"/>
    <x v="3"/>
  </r>
  <r>
    <x v="1"/>
    <x v="2"/>
    <x v="10"/>
    <n v="20177"/>
    <n v="26"/>
    <n v="2523.62"/>
    <n v="942.13"/>
    <x v="5"/>
  </r>
  <r>
    <x v="1"/>
    <x v="2"/>
    <x v="10"/>
    <n v="21179"/>
    <n v="42"/>
    <n v="6015.69"/>
    <n v="3755.23"/>
    <x v="0"/>
  </r>
  <r>
    <x v="1"/>
    <x v="2"/>
    <x v="10"/>
    <n v="21260"/>
    <n v="34"/>
    <n v="6392.12"/>
    <n v="1527.96"/>
    <x v="4"/>
  </r>
  <r>
    <x v="1"/>
    <x v="2"/>
    <x v="10"/>
    <n v="22317"/>
    <n v="15"/>
    <n v="1122.45"/>
    <n v="472.33"/>
    <x v="5"/>
  </r>
  <r>
    <x v="1"/>
    <x v="2"/>
    <x v="10"/>
    <n v="22940"/>
    <n v="202"/>
    <n v="24046"/>
    <n v="6686.72"/>
    <x v="2"/>
  </r>
  <r>
    <x v="1"/>
    <x v="2"/>
    <x v="10"/>
    <n v="23178"/>
    <n v="322"/>
    <n v="57727.5"/>
    <n v="14729.76"/>
    <x v="2"/>
  </r>
  <r>
    <x v="1"/>
    <x v="2"/>
    <x v="10"/>
    <n v="23600"/>
    <n v="607"/>
    <n v="66025.14"/>
    <n v="17695.68"/>
    <x v="2"/>
  </r>
  <r>
    <x v="1"/>
    <x v="2"/>
    <x v="10"/>
    <n v="23756"/>
    <n v="48"/>
    <n v="7868.33"/>
    <n v="3633.34"/>
    <x v="1"/>
  </r>
  <r>
    <x v="1"/>
    <x v="2"/>
    <x v="10"/>
    <n v="24326"/>
    <n v="33"/>
    <n v="5110.46"/>
    <n v="1365.65"/>
    <x v="4"/>
  </r>
  <r>
    <x v="2"/>
    <x v="2"/>
    <x v="10"/>
    <n v="12184"/>
    <n v="109"/>
    <n v="16574.240000000002"/>
    <n v="10970.96"/>
    <x v="0"/>
  </r>
  <r>
    <x v="2"/>
    <x v="2"/>
    <x v="10"/>
    <n v="12622"/>
    <n v="57"/>
    <n v="15134.03"/>
    <n v="8284.6200000000008"/>
    <x v="1"/>
  </r>
  <r>
    <x v="2"/>
    <x v="2"/>
    <x v="10"/>
    <n v="13527"/>
    <n v="496"/>
    <n v="75249.570000000007"/>
    <n v="20796.78"/>
    <x v="2"/>
  </r>
  <r>
    <x v="2"/>
    <x v="2"/>
    <x v="10"/>
    <n v="13618"/>
    <n v="12"/>
    <n v="5537.72"/>
    <n v="3333.13"/>
    <x v="1"/>
  </r>
  <r>
    <x v="2"/>
    <x v="2"/>
    <x v="10"/>
    <n v="16024"/>
    <n v="128"/>
    <n v="59579.45"/>
    <n v="16752.62"/>
    <x v="3"/>
  </r>
  <r>
    <x v="2"/>
    <x v="2"/>
    <x v="10"/>
    <n v="16650"/>
    <n v="34"/>
    <n v="5242.82"/>
    <n v="4061.45"/>
    <x v="0"/>
  </r>
  <r>
    <x v="2"/>
    <x v="2"/>
    <x v="10"/>
    <n v="17892"/>
    <n v="82"/>
    <n v="10595.3"/>
    <n v="3450.38"/>
    <x v="4"/>
  </r>
  <r>
    <x v="2"/>
    <x v="2"/>
    <x v="10"/>
    <n v="18342"/>
    <n v="133"/>
    <n v="117640.76"/>
    <n v="32879.660000000003"/>
    <x v="3"/>
  </r>
  <r>
    <x v="2"/>
    <x v="2"/>
    <x v="10"/>
    <n v="20177"/>
    <n v="79"/>
    <n v="7429.23"/>
    <n v="3580.62"/>
    <x v="5"/>
  </r>
  <r>
    <x v="2"/>
    <x v="2"/>
    <x v="10"/>
    <n v="21179"/>
    <n v="66"/>
    <n v="7327.91"/>
    <n v="4497.9799999999996"/>
    <x v="0"/>
  </r>
  <r>
    <x v="2"/>
    <x v="2"/>
    <x v="10"/>
    <n v="21260"/>
    <n v="57"/>
    <n v="11939.5"/>
    <n v="3812.84"/>
    <x v="4"/>
  </r>
  <r>
    <x v="2"/>
    <x v="2"/>
    <x v="10"/>
    <n v="22317"/>
    <n v="49"/>
    <n v="4632.9399999999996"/>
    <n v="2323.27"/>
    <x v="5"/>
  </r>
  <r>
    <x v="2"/>
    <x v="2"/>
    <x v="10"/>
    <n v="22940"/>
    <n v="354"/>
    <n v="49926.33"/>
    <n v="14158.06"/>
    <x v="2"/>
  </r>
  <r>
    <x v="2"/>
    <x v="2"/>
    <x v="10"/>
    <n v="23178"/>
    <n v="244"/>
    <n v="48220.18"/>
    <n v="10294.31"/>
    <x v="2"/>
  </r>
  <r>
    <x v="2"/>
    <x v="2"/>
    <x v="10"/>
    <n v="23600"/>
    <n v="944"/>
    <n v="103028.59"/>
    <n v="25413.279999999999"/>
    <x v="2"/>
  </r>
  <r>
    <x v="2"/>
    <x v="2"/>
    <x v="10"/>
    <n v="23756"/>
    <n v="54"/>
    <n v="9541.84"/>
    <n v="5665.17"/>
    <x v="1"/>
  </r>
  <r>
    <x v="2"/>
    <x v="2"/>
    <x v="10"/>
    <n v="24326"/>
    <n v="149"/>
    <n v="20999.38"/>
    <n v="5960.61"/>
    <x v="4"/>
  </r>
  <r>
    <x v="3"/>
    <x v="2"/>
    <x v="10"/>
    <n v="12184"/>
    <n v="52"/>
    <n v="7358.19"/>
    <n v="4805.7"/>
    <x v="0"/>
  </r>
  <r>
    <x v="3"/>
    <x v="2"/>
    <x v="10"/>
    <n v="12622"/>
    <n v="23"/>
    <n v="6915.92"/>
    <n v="3650.17"/>
    <x v="1"/>
  </r>
  <r>
    <x v="3"/>
    <x v="2"/>
    <x v="10"/>
    <n v="13527"/>
    <n v="631"/>
    <n v="105179.57"/>
    <n v="19069.990000000002"/>
    <x v="2"/>
  </r>
  <r>
    <x v="3"/>
    <x v="2"/>
    <x v="10"/>
    <n v="13618"/>
    <n v="16"/>
    <n v="6223.37"/>
    <n v="3249.98"/>
    <x v="1"/>
  </r>
  <r>
    <x v="3"/>
    <x v="2"/>
    <x v="10"/>
    <n v="16024"/>
    <n v="205"/>
    <n v="92363.07"/>
    <n v="21129.75"/>
    <x v="3"/>
  </r>
  <r>
    <x v="3"/>
    <x v="2"/>
    <x v="10"/>
    <n v="16650"/>
    <n v="31"/>
    <n v="4356"/>
    <n v="2410.6999999999998"/>
    <x v="0"/>
  </r>
  <r>
    <x v="3"/>
    <x v="2"/>
    <x v="10"/>
    <n v="17892"/>
    <n v="85"/>
    <n v="11344.57"/>
    <n v="2490.9299999999998"/>
    <x v="4"/>
  </r>
  <r>
    <x v="3"/>
    <x v="2"/>
    <x v="10"/>
    <n v="18342"/>
    <n v="162"/>
    <n v="142982.65"/>
    <n v="30151.96"/>
    <x v="3"/>
  </r>
  <r>
    <x v="3"/>
    <x v="2"/>
    <x v="10"/>
    <n v="20177"/>
    <n v="83"/>
    <n v="7252.86"/>
    <n v="2927.49"/>
    <x v="5"/>
  </r>
  <r>
    <x v="3"/>
    <x v="2"/>
    <x v="10"/>
    <n v="21179"/>
    <n v="42"/>
    <n v="4966.4799999999996"/>
    <n v="2464.16"/>
    <x v="0"/>
  </r>
  <r>
    <x v="3"/>
    <x v="2"/>
    <x v="10"/>
    <n v="21260"/>
    <n v="37"/>
    <n v="6318.22"/>
    <n v="1680.94"/>
    <x v="4"/>
  </r>
  <r>
    <x v="3"/>
    <x v="2"/>
    <x v="10"/>
    <n v="22317"/>
    <n v="62"/>
    <n v="5251.25"/>
    <n v="1932.8"/>
    <x v="5"/>
  </r>
  <r>
    <x v="3"/>
    <x v="2"/>
    <x v="10"/>
    <n v="22940"/>
    <n v="597"/>
    <n v="81892.78"/>
    <n v="14440.34"/>
    <x v="2"/>
  </r>
  <r>
    <x v="3"/>
    <x v="2"/>
    <x v="10"/>
    <n v="23178"/>
    <n v="220"/>
    <n v="38044.54"/>
    <n v="7432.9"/>
    <x v="2"/>
  </r>
  <r>
    <x v="3"/>
    <x v="2"/>
    <x v="10"/>
    <n v="23600"/>
    <n v="619"/>
    <n v="65091.91"/>
    <n v="17818.46"/>
    <x v="2"/>
  </r>
  <r>
    <x v="3"/>
    <x v="2"/>
    <x v="10"/>
    <n v="23756"/>
    <n v="146"/>
    <n v="26651.53"/>
    <n v="10750.25"/>
    <x v="1"/>
  </r>
  <r>
    <x v="3"/>
    <x v="2"/>
    <x v="10"/>
    <n v="24326"/>
    <n v="69"/>
    <n v="10333.799999999999"/>
    <n v="2314.9499999999998"/>
    <x v="4"/>
  </r>
  <r>
    <x v="0"/>
    <x v="2"/>
    <x v="11"/>
    <n v="12184"/>
    <n v="50"/>
    <n v="6970.82"/>
    <n v="3661.54"/>
    <x v="0"/>
  </r>
  <r>
    <x v="0"/>
    <x v="2"/>
    <x v="11"/>
    <n v="12622"/>
    <n v="55"/>
    <n v="12402.37"/>
    <n v="6175.51"/>
    <x v="1"/>
  </r>
  <r>
    <x v="0"/>
    <x v="2"/>
    <x v="11"/>
    <n v="13527"/>
    <n v="782"/>
    <n v="131579.91"/>
    <n v="26766.67"/>
    <x v="2"/>
  </r>
  <r>
    <x v="0"/>
    <x v="2"/>
    <x v="11"/>
    <n v="13618"/>
    <n v="32"/>
    <n v="12406.94"/>
    <n v="5726.08"/>
    <x v="1"/>
  </r>
  <r>
    <x v="0"/>
    <x v="2"/>
    <x v="11"/>
    <n v="16024"/>
    <n v="242"/>
    <n v="100210.86"/>
    <n v="25913.51"/>
    <x v="3"/>
  </r>
  <r>
    <x v="0"/>
    <x v="2"/>
    <x v="11"/>
    <n v="16650"/>
    <n v="71"/>
    <n v="10341.19"/>
    <n v="5281.51"/>
    <x v="0"/>
  </r>
  <r>
    <x v="0"/>
    <x v="2"/>
    <x v="11"/>
    <n v="17892"/>
    <n v="197"/>
    <n v="27296.71"/>
    <n v="8864.6299999999992"/>
    <x v="4"/>
  </r>
  <r>
    <x v="0"/>
    <x v="2"/>
    <x v="11"/>
    <n v="18342"/>
    <n v="106"/>
    <n v="90556.65"/>
    <n v="26623.21"/>
    <x v="3"/>
  </r>
  <r>
    <x v="0"/>
    <x v="2"/>
    <x v="11"/>
    <n v="20177"/>
    <n v="162"/>
    <n v="16397.099999999999"/>
    <n v="5825.3"/>
    <x v="5"/>
  </r>
  <r>
    <x v="0"/>
    <x v="2"/>
    <x v="11"/>
    <n v="21179"/>
    <n v="73"/>
    <n v="8696.7099999999991"/>
    <n v="3845.89"/>
    <x v="0"/>
  </r>
  <r>
    <x v="0"/>
    <x v="2"/>
    <x v="11"/>
    <n v="21260"/>
    <n v="81"/>
    <n v="15173.08"/>
    <n v="3907.69"/>
    <x v="4"/>
  </r>
  <r>
    <x v="0"/>
    <x v="2"/>
    <x v="11"/>
    <n v="22317"/>
    <n v="76"/>
    <n v="6435.01"/>
    <n v="2362"/>
    <x v="5"/>
  </r>
  <r>
    <x v="0"/>
    <x v="2"/>
    <x v="11"/>
    <n v="22940"/>
    <n v="369"/>
    <n v="48290.37"/>
    <n v="9338.19"/>
    <x v="2"/>
  </r>
  <r>
    <x v="0"/>
    <x v="2"/>
    <x v="11"/>
    <n v="23178"/>
    <n v="195"/>
    <n v="31793.23"/>
    <n v="5730.88"/>
    <x v="2"/>
  </r>
  <r>
    <x v="0"/>
    <x v="2"/>
    <x v="11"/>
    <n v="23600"/>
    <n v="526"/>
    <n v="58242.49"/>
    <n v="11944.12"/>
    <x v="2"/>
  </r>
  <r>
    <x v="0"/>
    <x v="2"/>
    <x v="11"/>
    <n v="23756"/>
    <n v="151"/>
    <n v="28489.24"/>
    <n v="12404.3"/>
    <x v="1"/>
  </r>
  <r>
    <x v="0"/>
    <x v="2"/>
    <x v="11"/>
    <n v="24326"/>
    <n v="81"/>
    <n v="12096.55"/>
    <n v="2905.41"/>
    <x v="4"/>
  </r>
  <r>
    <x v="1"/>
    <x v="2"/>
    <x v="11"/>
    <n v="12184"/>
    <n v="34"/>
    <n v="4659.51"/>
    <n v="2473.1999999999998"/>
    <x v="0"/>
  </r>
  <r>
    <x v="1"/>
    <x v="2"/>
    <x v="11"/>
    <n v="12622"/>
    <n v="13"/>
    <n v="3873.38"/>
    <n v="1661.19"/>
    <x v="1"/>
  </r>
  <r>
    <x v="1"/>
    <x v="2"/>
    <x v="11"/>
    <n v="13527"/>
    <n v="184"/>
    <n v="31458.639999999999"/>
    <n v="5446.06"/>
    <x v="2"/>
  </r>
  <r>
    <x v="1"/>
    <x v="2"/>
    <x v="11"/>
    <n v="13618"/>
    <n v="5"/>
    <n v="2140.63"/>
    <n v="870.17"/>
    <x v="1"/>
  </r>
  <r>
    <x v="1"/>
    <x v="2"/>
    <x v="11"/>
    <n v="16024"/>
    <n v="135"/>
    <n v="56798.94"/>
    <n v="19953.78"/>
    <x v="3"/>
  </r>
  <r>
    <x v="1"/>
    <x v="2"/>
    <x v="11"/>
    <n v="16650"/>
    <n v="21"/>
    <n v="3189.43"/>
    <n v="1953.67"/>
    <x v="0"/>
  </r>
  <r>
    <x v="1"/>
    <x v="2"/>
    <x v="11"/>
    <n v="17892"/>
    <n v="97"/>
    <n v="14872.74"/>
    <n v="4007.93"/>
    <x v="4"/>
  </r>
  <r>
    <x v="1"/>
    <x v="2"/>
    <x v="11"/>
    <n v="18342"/>
    <n v="16"/>
    <n v="12037.06"/>
    <n v="3289.85"/>
    <x v="3"/>
  </r>
  <r>
    <x v="1"/>
    <x v="2"/>
    <x v="11"/>
    <n v="20177"/>
    <n v="25"/>
    <n v="2401.36"/>
    <n v="952.61"/>
    <x v="5"/>
  </r>
  <r>
    <x v="1"/>
    <x v="2"/>
    <x v="11"/>
    <n v="21179"/>
    <n v="23"/>
    <n v="2923.41"/>
    <n v="1579.68"/>
    <x v="0"/>
  </r>
  <r>
    <x v="1"/>
    <x v="2"/>
    <x v="11"/>
    <n v="21260"/>
    <n v="45"/>
    <n v="8794.44"/>
    <n v="2032.2"/>
    <x v="4"/>
  </r>
  <r>
    <x v="1"/>
    <x v="2"/>
    <x v="11"/>
    <n v="22317"/>
    <n v="7"/>
    <n v="584.61"/>
    <n v="287.67"/>
    <x v="5"/>
  </r>
  <r>
    <x v="1"/>
    <x v="2"/>
    <x v="11"/>
    <n v="22940"/>
    <n v="154"/>
    <n v="19852.57"/>
    <n v="5680.72"/>
    <x v="2"/>
  </r>
  <r>
    <x v="1"/>
    <x v="2"/>
    <x v="11"/>
    <n v="23178"/>
    <n v="349"/>
    <n v="67467.95"/>
    <n v="19516.8"/>
    <x v="2"/>
  </r>
  <r>
    <x v="1"/>
    <x v="2"/>
    <x v="11"/>
    <n v="23600"/>
    <n v="713"/>
    <n v="86260.78"/>
    <n v="22859.69"/>
    <x v="2"/>
  </r>
  <r>
    <x v="1"/>
    <x v="2"/>
    <x v="11"/>
    <n v="23756"/>
    <n v="74"/>
    <n v="12507.77"/>
    <n v="5820.28"/>
    <x v="1"/>
  </r>
  <r>
    <x v="1"/>
    <x v="2"/>
    <x v="11"/>
    <n v="24326"/>
    <n v="32"/>
    <n v="4112.6400000000003"/>
    <n v="1120.49"/>
    <x v="4"/>
  </r>
  <r>
    <x v="2"/>
    <x v="2"/>
    <x v="11"/>
    <n v="12184"/>
    <n v="90"/>
    <n v="13983.72"/>
    <n v="11000.96"/>
    <x v="0"/>
  </r>
  <r>
    <x v="2"/>
    <x v="2"/>
    <x v="11"/>
    <n v="12622"/>
    <n v="60"/>
    <n v="18186.71"/>
    <n v="10420.540000000001"/>
    <x v="1"/>
  </r>
  <r>
    <x v="2"/>
    <x v="2"/>
    <x v="11"/>
    <n v="13527"/>
    <n v="395"/>
    <n v="65559.899999999994"/>
    <n v="15808.9"/>
    <x v="2"/>
  </r>
  <r>
    <x v="2"/>
    <x v="2"/>
    <x v="11"/>
    <n v="13618"/>
    <n v="22"/>
    <n v="7326.74"/>
    <n v="3523.94"/>
    <x v="1"/>
  </r>
  <r>
    <x v="2"/>
    <x v="2"/>
    <x v="11"/>
    <n v="16024"/>
    <n v="244"/>
    <n v="118710.69"/>
    <n v="40222.9"/>
    <x v="3"/>
  </r>
  <r>
    <x v="2"/>
    <x v="2"/>
    <x v="11"/>
    <n v="16650"/>
    <n v="48"/>
    <n v="7488.23"/>
    <n v="5368.1"/>
    <x v="0"/>
  </r>
  <r>
    <x v="2"/>
    <x v="2"/>
    <x v="11"/>
    <n v="17892"/>
    <n v="90"/>
    <n v="11631.93"/>
    <n v="3432.41"/>
    <x v="4"/>
  </r>
  <r>
    <x v="2"/>
    <x v="2"/>
    <x v="11"/>
    <n v="18342"/>
    <n v="175"/>
    <n v="158055.35999999999"/>
    <n v="52880.83"/>
    <x v="3"/>
  </r>
  <r>
    <x v="2"/>
    <x v="2"/>
    <x v="11"/>
    <n v="20177"/>
    <n v="61"/>
    <n v="6144.1"/>
    <n v="2776.92"/>
    <x v="5"/>
  </r>
  <r>
    <x v="2"/>
    <x v="2"/>
    <x v="11"/>
    <n v="21179"/>
    <n v="52"/>
    <n v="5750.89"/>
    <n v="4552.96"/>
    <x v="0"/>
  </r>
  <r>
    <x v="2"/>
    <x v="2"/>
    <x v="11"/>
    <n v="21260"/>
    <n v="53"/>
    <n v="11358.05"/>
    <n v="3198.2"/>
    <x v="4"/>
  </r>
  <r>
    <x v="2"/>
    <x v="2"/>
    <x v="11"/>
    <n v="22317"/>
    <n v="43"/>
    <n v="3978.69"/>
    <n v="1880.98"/>
    <x v="5"/>
  </r>
  <r>
    <x v="2"/>
    <x v="2"/>
    <x v="11"/>
    <n v="22940"/>
    <n v="435"/>
    <n v="58745.55"/>
    <n v="16122.61"/>
    <x v="2"/>
  </r>
  <r>
    <x v="2"/>
    <x v="2"/>
    <x v="11"/>
    <n v="23178"/>
    <n v="132"/>
    <n v="21993.53"/>
    <n v="5146.42"/>
    <x v="2"/>
  </r>
  <r>
    <x v="2"/>
    <x v="2"/>
    <x v="11"/>
    <n v="23600"/>
    <n v="700"/>
    <n v="69972.44"/>
    <n v="21619.88"/>
    <x v="2"/>
  </r>
  <r>
    <x v="2"/>
    <x v="2"/>
    <x v="11"/>
    <n v="23756"/>
    <n v="117"/>
    <n v="22000.639999999999"/>
    <n v="14073"/>
    <x v="1"/>
  </r>
  <r>
    <x v="2"/>
    <x v="2"/>
    <x v="11"/>
    <n v="24326"/>
    <n v="73"/>
    <n v="11217.26"/>
    <n v="3375.78"/>
    <x v="4"/>
  </r>
  <r>
    <x v="3"/>
    <x v="2"/>
    <x v="11"/>
    <n v="12184"/>
    <n v="50"/>
    <n v="5959.94"/>
    <n v="3158.25"/>
    <x v="0"/>
  </r>
  <r>
    <x v="3"/>
    <x v="2"/>
    <x v="11"/>
    <n v="12622"/>
    <n v="31"/>
    <n v="9321.7900000000009"/>
    <n v="4887.03"/>
    <x v="1"/>
  </r>
  <r>
    <x v="3"/>
    <x v="2"/>
    <x v="11"/>
    <n v="13527"/>
    <n v="511"/>
    <n v="77785.789999999994"/>
    <n v="14771.28"/>
    <x v="2"/>
  </r>
  <r>
    <x v="3"/>
    <x v="2"/>
    <x v="11"/>
    <n v="13618"/>
    <n v="12"/>
    <n v="4701.21"/>
    <n v="2504.17"/>
    <x v="1"/>
  </r>
  <r>
    <x v="3"/>
    <x v="2"/>
    <x v="11"/>
    <n v="16024"/>
    <n v="217"/>
    <n v="86065.3"/>
    <n v="23871"/>
    <x v="3"/>
  </r>
  <r>
    <x v="3"/>
    <x v="2"/>
    <x v="11"/>
    <n v="16650"/>
    <n v="53"/>
    <n v="7013.14"/>
    <n v="3684.56"/>
    <x v="0"/>
  </r>
  <r>
    <x v="3"/>
    <x v="2"/>
    <x v="11"/>
    <n v="17892"/>
    <n v="114"/>
    <n v="14830.05"/>
    <n v="4186.8999999999996"/>
    <x v="4"/>
  </r>
  <r>
    <x v="3"/>
    <x v="2"/>
    <x v="11"/>
    <n v="18342"/>
    <n v="112"/>
    <n v="101584.36"/>
    <n v="23022.39"/>
    <x v="3"/>
  </r>
  <r>
    <x v="3"/>
    <x v="2"/>
    <x v="11"/>
    <n v="20177"/>
    <n v="62"/>
    <n v="6870.5"/>
    <n v="2461.7199999999998"/>
    <x v="5"/>
  </r>
  <r>
    <x v="3"/>
    <x v="2"/>
    <x v="11"/>
    <n v="21179"/>
    <n v="51"/>
    <n v="5659.87"/>
    <n v="3546.5"/>
    <x v="0"/>
  </r>
  <r>
    <x v="3"/>
    <x v="2"/>
    <x v="11"/>
    <n v="21260"/>
    <n v="38"/>
    <n v="7121.19"/>
    <n v="1559.38"/>
    <x v="4"/>
  </r>
  <r>
    <x v="3"/>
    <x v="2"/>
    <x v="11"/>
    <n v="22317"/>
    <n v="50"/>
    <n v="4966.75"/>
    <n v="1941.74"/>
    <x v="5"/>
  </r>
  <r>
    <x v="3"/>
    <x v="2"/>
    <x v="11"/>
    <n v="22940"/>
    <n v="286"/>
    <n v="33696.050000000003"/>
    <n v="8037.2"/>
    <x v="2"/>
  </r>
  <r>
    <x v="3"/>
    <x v="2"/>
    <x v="11"/>
    <n v="23178"/>
    <n v="105"/>
    <n v="20053.96"/>
    <n v="4405.07"/>
    <x v="2"/>
  </r>
  <r>
    <x v="3"/>
    <x v="2"/>
    <x v="11"/>
    <n v="23600"/>
    <n v="508"/>
    <n v="51461.51"/>
    <n v="11822.32"/>
    <x v="2"/>
  </r>
  <r>
    <x v="3"/>
    <x v="2"/>
    <x v="11"/>
    <n v="23756"/>
    <n v="69"/>
    <n v="13175.06"/>
    <n v="5967.09"/>
    <x v="1"/>
  </r>
  <r>
    <x v="3"/>
    <x v="2"/>
    <x v="11"/>
    <n v="24326"/>
    <n v="122"/>
    <n v="18390.95"/>
    <n v="5259.93"/>
    <x v="4"/>
  </r>
  <r>
    <x v="0"/>
    <x v="3"/>
    <x v="0"/>
    <n v="12184"/>
    <n v="110"/>
    <n v="11585.98"/>
    <n v="5089.09"/>
    <x v="0"/>
  </r>
  <r>
    <x v="0"/>
    <x v="3"/>
    <x v="0"/>
    <n v="12622"/>
    <n v="80"/>
    <n v="19622"/>
    <n v="10367.700000000001"/>
    <x v="1"/>
  </r>
  <r>
    <x v="0"/>
    <x v="3"/>
    <x v="0"/>
    <n v="13527"/>
    <n v="809"/>
    <n v="134128.23000000001"/>
    <n v="21586.22"/>
    <x v="2"/>
  </r>
  <r>
    <x v="0"/>
    <x v="3"/>
    <x v="0"/>
    <n v="13618"/>
    <n v="12"/>
    <n v="3975.3"/>
    <n v="2093.73"/>
    <x v="1"/>
  </r>
  <r>
    <x v="0"/>
    <x v="3"/>
    <x v="0"/>
    <n v="16024"/>
    <n v="144"/>
    <n v="58442.62"/>
    <n v="19036.5"/>
    <x v="3"/>
  </r>
  <r>
    <x v="0"/>
    <x v="3"/>
    <x v="0"/>
    <n v="16650"/>
    <n v="29"/>
    <n v="4881.01"/>
    <n v="2021.04"/>
    <x v="0"/>
  </r>
  <r>
    <x v="0"/>
    <x v="3"/>
    <x v="0"/>
    <n v="17892"/>
    <n v="120"/>
    <n v="17326.810000000001"/>
    <n v="4666.9799999999996"/>
    <x v="4"/>
  </r>
  <r>
    <x v="0"/>
    <x v="3"/>
    <x v="0"/>
    <n v="18342"/>
    <n v="185"/>
    <n v="165294.92000000001"/>
    <n v="51000.44"/>
    <x v="3"/>
  </r>
  <r>
    <x v="0"/>
    <x v="3"/>
    <x v="0"/>
    <n v="20177"/>
    <n v="133"/>
    <n v="13123.49"/>
    <n v="4244.08"/>
    <x v="5"/>
  </r>
  <r>
    <x v="0"/>
    <x v="3"/>
    <x v="0"/>
    <n v="21179"/>
    <n v="42"/>
    <n v="5538.21"/>
    <n v="2633.37"/>
    <x v="0"/>
  </r>
  <r>
    <x v="0"/>
    <x v="3"/>
    <x v="0"/>
    <n v="21260"/>
    <n v="102"/>
    <n v="19859.05"/>
    <n v="5273.05"/>
    <x v="4"/>
  </r>
  <r>
    <x v="0"/>
    <x v="3"/>
    <x v="0"/>
    <n v="22317"/>
    <n v="65"/>
    <n v="6304.14"/>
    <n v="2400.59"/>
    <x v="5"/>
  </r>
  <r>
    <x v="0"/>
    <x v="3"/>
    <x v="0"/>
    <n v="22940"/>
    <n v="562"/>
    <n v="71675.899999999994"/>
    <n v="13511.12"/>
    <x v="2"/>
  </r>
  <r>
    <x v="0"/>
    <x v="3"/>
    <x v="0"/>
    <n v="23178"/>
    <n v="426"/>
    <n v="73075.8"/>
    <n v="13059.53"/>
    <x v="2"/>
  </r>
  <r>
    <x v="0"/>
    <x v="3"/>
    <x v="0"/>
    <n v="23600"/>
    <n v="1266"/>
    <n v="153342.07999999999"/>
    <n v="37135.019999999997"/>
    <x v="2"/>
  </r>
  <r>
    <x v="0"/>
    <x v="3"/>
    <x v="0"/>
    <n v="23756"/>
    <n v="136"/>
    <n v="27687.72"/>
    <n v="12804.28"/>
    <x v="1"/>
  </r>
  <r>
    <x v="0"/>
    <x v="3"/>
    <x v="0"/>
    <n v="24326"/>
    <n v="205"/>
    <n v="26918.1"/>
    <n v="6504.7"/>
    <x v="4"/>
  </r>
  <r>
    <x v="1"/>
    <x v="3"/>
    <x v="0"/>
    <n v="12184"/>
    <n v="19"/>
    <n v="2651.47"/>
    <n v="1515.06"/>
    <x v="0"/>
  </r>
  <r>
    <x v="1"/>
    <x v="3"/>
    <x v="0"/>
    <n v="12622"/>
    <n v="10"/>
    <n v="2729.6"/>
    <n v="1124.6199999999999"/>
    <x v="1"/>
  </r>
  <r>
    <x v="1"/>
    <x v="3"/>
    <x v="0"/>
    <n v="13527"/>
    <n v="195"/>
    <n v="31279.52"/>
    <n v="4741.71"/>
    <x v="2"/>
  </r>
  <r>
    <x v="1"/>
    <x v="3"/>
    <x v="0"/>
    <n v="13618"/>
    <n v="10"/>
    <n v="3623.59"/>
    <n v="1626.24"/>
    <x v="1"/>
  </r>
  <r>
    <x v="1"/>
    <x v="3"/>
    <x v="0"/>
    <n v="16024"/>
    <n v="167"/>
    <n v="65272.02"/>
    <n v="18249.669999999998"/>
    <x v="3"/>
  </r>
  <r>
    <x v="1"/>
    <x v="3"/>
    <x v="0"/>
    <n v="16650"/>
    <n v="34"/>
    <n v="5274.21"/>
    <n v="3498.34"/>
    <x v="0"/>
  </r>
  <r>
    <x v="1"/>
    <x v="3"/>
    <x v="0"/>
    <n v="17892"/>
    <n v="52"/>
    <n v="6889.64"/>
    <n v="1638.63"/>
    <x v="4"/>
  </r>
  <r>
    <x v="1"/>
    <x v="3"/>
    <x v="0"/>
    <n v="18342"/>
    <n v="16"/>
    <n v="14167.2"/>
    <n v="3738.23"/>
    <x v="3"/>
  </r>
  <r>
    <x v="1"/>
    <x v="3"/>
    <x v="0"/>
    <n v="20177"/>
    <n v="30"/>
    <n v="2622.81"/>
    <n v="922.01"/>
    <x v="5"/>
  </r>
  <r>
    <x v="1"/>
    <x v="3"/>
    <x v="0"/>
    <n v="21179"/>
    <n v="26"/>
    <n v="3734.3"/>
    <n v="2165.08"/>
    <x v="0"/>
  </r>
  <r>
    <x v="1"/>
    <x v="3"/>
    <x v="0"/>
    <n v="21260"/>
    <n v="59"/>
    <n v="10605.78"/>
    <n v="2557.9499999999998"/>
    <x v="4"/>
  </r>
  <r>
    <x v="1"/>
    <x v="3"/>
    <x v="0"/>
    <n v="22317"/>
    <n v="8"/>
    <n v="774.6"/>
    <n v="308.52999999999997"/>
    <x v="5"/>
  </r>
  <r>
    <x v="1"/>
    <x v="3"/>
    <x v="0"/>
    <n v="22940"/>
    <n v="132"/>
    <n v="18780.61"/>
    <n v="5024.37"/>
    <x v="2"/>
  </r>
  <r>
    <x v="1"/>
    <x v="3"/>
    <x v="0"/>
    <n v="23178"/>
    <n v="269"/>
    <n v="48285.49"/>
    <n v="10834.56"/>
    <x v="2"/>
  </r>
  <r>
    <x v="1"/>
    <x v="3"/>
    <x v="0"/>
    <n v="23600"/>
    <n v="744"/>
    <n v="92564.28"/>
    <n v="23528.79"/>
    <x v="2"/>
  </r>
  <r>
    <x v="1"/>
    <x v="3"/>
    <x v="0"/>
    <n v="23756"/>
    <n v="64"/>
    <n v="11455.46"/>
    <n v="5380.22"/>
    <x v="1"/>
  </r>
  <r>
    <x v="1"/>
    <x v="3"/>
    <x v="0"/>
    <n v="24326"/>
    <n v="41"/>
    <n v="5305.23"/>
    <n v="1688.08"/>
    <x v="4"/>
  </r>
  <r>
    <x v="2"/>
    <x v="3"/>
    <x v="0"/>
    <n v="12184"/>
    <n v="57"/>
    <n v="5894.64"/>
    <n v="3632.12"/>
    <x v="0"/>
  </r>
  <r>
    <x v="2"/>
    <x v="3"/>
    <x v="0"/>
    <n v="12622"/>
    <n v="52"/>
    <n v="15719.37"/>
    <n v="8986.7900000000009"/>
    <x v="1"/>
  </r>
  <r>
    <x v="2"/>
    <x v="3"/>
    <x v="0"/>
    <n v="13527"/>
    <n v="324"/>
    <n v="53698.51"/>
    <n v="11787.93"/>
    <x v="2"/>
  </r>
  <r>
    <x v="2"/>
    <x v="3"/>
    <x v="0"/>
    <n v="13618"/>
    <n v="15"/>
    <n v="7055.64"/>
    <n v="4278.74"/>
    <x v="1"/>
  </r>
  <r>
    <x v="2"/>
    <x v="3"/>
    <x v="0"/>
    <n v="16024"/>
    <n v="125"/>
    <n v="58212.79"/>
    <n v="19642.21"/>
    <x v="3"/>
  </r>
  <r>
    <x v="2"/>
    <x v="3"/>
    <x v="0"/>
    <n v="16650"/>
    <n v="23"/>
    <n v="3779.92"/>
    <n v="2582.7399999999998"/>
    <x v="0"/>
  </r>
  <r>
    <x v="2"/>
    <x v="3"/>
    <x v="0"/>
    <n v="17892"/>
    <n v="89"/>
    <n v="11811.47"/>
    <n v="3670.39"/>
    <x v="4"/>
  </r>
  <r>
    <x v="2"/>
    <x v="3"/>
    <x v="0"/>
    <n v="18342"/>
    <n v="187"/>
    <n v="155559.71"/>
    <n v="52196.35"/>
    <x v="3"/>
  </r>
  <r>
    <x v="2"/>
    <x v="3"/>
    <x v="0"/>
    <n v="20177"/>
    <n v="86"/>
    <n v="9576.4599999999991"/>
    <n v="5000.8500000000004"/>
    <x v="5"/>
  </r>
  <r>
    <x v="2"/>
    <x v="3"/>
    <x v="0"/>
    <n v="21179"/>
    <n v="70"/>
    <n v="9216.77"/>
    <n v="5722.29"/>
    <x v="0"/>
  </r>
  <r>
    <x v="2"/>
    <x v="3"/>
    <x v="0"/>
    <n v="21260"/>
    <n v="70"/>
    <n v="12315.68"/>
    <n v="3316.2"/>
    <x v="4"/>
  </r>
  <r>
    <x v="2"/>
    <x v="3"/>
    <x v="0"/>
    <n v="22317"/>
    <n v="44"/>
    <n v="4303.97"/>
    <n v="1789.48"/>
    <x v="5"/>
  </r>
  <r>
    <x v="2"/>
    <x v="3"/>
    <x v="0"/>
    <n v="22940"/>
    <n v="412"/>
    <n v="48262.62"/>
    <n v="10817.39"/>
    <x v="2"/>
  </r>
  <r>
    <x v="2"/>
    <x v="3"/>
    <x v="0"/>
    <n v="23178"/>
    <n v="132"/>
    <n v="23541.29"/>
    <n v="6698.41"/>
    <x v="2"/>
  </r>
  <r>
    <x v="2"/>
    <x v="3"/>
    <x v="0"/>
    <n v="23600"/>
    <n v="532"/>
    <n v="61605.65"/>
    <n v="17444.07"/>
    <x v="2"/>
  </r>
  <r>
    <x v="2"/>
    <x v="3"/>
    <x v="0"/>
    <n v="23756"/>
    <n v="120"/>
    <n v="22069.02"/>
    <n v="13535.47"/>
    <x v="1"/>
  </r>
  <r>
    <x v="2"/>
    <x v="3"/>
    <x v="0"/>
    <n v="24326"/>
    <n v="106"/>
    <n v="13301.12"/>
    <n v="4383.62"/>
    <x v="4"/>
  </r>
  <r>
    <x v="3"/>
    <x v="3"/>
    <x v="0"/>
    <n v="12184"/>
    <n v="52"/>
    <n v="5830.66"/>
    <n v="3064.32"/>
    <x v="0"/>
  </r>
  <r>
    <x v="3"/>
    <x v="3"/>
    <x v="0"/>
    <n v="12622"/>
    <n v="28"/>
    <n v="6795.72"/>
    <n v="3148.38"/>
    <x v="1"/>
  </r>
  <r>
    <x v="3"/>
    <x v="3"/>
    <x v="0"/>
    <n v="13527"/>
    <n v="651"/>
    <n v="105823.09"/>
    <n v="23362.63"/>
    <x v="2"/>
  </r>
  <r>
    <x v="3"/>
    <x v="3"/>
    <x v="0"/>
    <n v="13618"/>
    <n v="16"/>
    <n v="5449.12"/>
    <n v="2289.3200000000002"/>
    <x v="1"/>
  </r>
  <r>
    <x v="3"/>
    <x v="3"/>
    <x v="0"/>
    <n v="16024"/>
    <n v="143"/>
    <n v="57471.47"/>
    <n v="14339.58"/>
    <x v="3"/>
  </r>
  <r>
    <x v="3"/>
    <x v="3"/>
    <x v="0"/>
    <n v="16650"/>
    <n v="46"/>
    <n v="6807.38"/>
    <n v="3856.73"/>
    <x v="0"/>
  </r>
  <r>
    <x v="3"/>
    <x v="3"/>
    <x v="0"/>
    <n v="17892"/>
    <n v="86"/>
    <n v="10842.77"/>
    <n v="2690.23"/>
    <x v="4"/>
  </r>
  <r>
    <x v="3"/>
    <x v="3"/>
    <x v="0"/>
    <n v="18342"/>
    <n v="144"/>
    <n v="107222.69"/>
    <n v="29519.71"/>
    <x v="3"/>
  </r>
  <r>
    <x v="3"/>
    <x v="3"/>
    <x v="0"/>
    <n v="20177"/>
    <n v="62"/>
    <n v="5538.91"/>
    <n v="2291.09"/>
    <x v="5"/>
  </r>
  <r>
    <x v="3"/>
    <x v="3"/>
    <x v="0"/>
    <n v="21179"/>
    <n v="57"/>
    <n v="7269.58"/>
    <n v="4317.4799999999996"/>
    <x v="0"/>
  </r>
  <r>
    <x v="3"/>
    <x v="3"/>
    <x v="0"/>
    <n v="21260"/>
    <n v="35"/>
    <n v="6107.76"/>
    <n v="1776.36"/>
    <x v="4"/>
  </r>
  <r>
    <x v="3"/>
    <x v="3"/>
    <x v="0"/>
    <n v="22317"/>
    <n v="39"/>
    <n v="3882.84"/>
    <n v="1417.05"/>
    <x v="5"/>
  </r>
  <r>
    <x v="3"/>
    <x v="3"/>
    <x v="0"/>
    <n v="22940"/>
    <n v="685"/>
    <n v="81237.56"/>
    <n v="14420.83"/>
    <x v="2"/>
  </r>
  <r>
    <x v="3"/>
    <x v="3"/>
    <x v="0"/>
    <n v="23178"/>
    <n v="156"/>
    <n v="26276.86"/>
    <n v="5312.55"/>
    <x v="2"/>
  </r>
  <r>
    <x v="3"/>
    <x v="3"/>
    <x v="0"/>
    <n v="23600"/>
    <n v="1261"/>
    <n v="141376.31"/>
    <n v="37312.6"/>
    <x v="2"/>
  </r>
  <r>
    <x v="3"/>
    <x v="3"/>
    <x v="0"/>
    <n v="23756"/>
    <n v="92"/>
    <n v="15811.74"/>
    <n v="6964.35"/>
    <x v="1"/>
  </r>
  <r>
    <x v="3"/>
    <x v="3"/>
    <x v="0"/>
    <n v="24326"/>
    <n v="57"/>
    <n v="7634.46"/>
    <n v="2162.79"/>
    <x v="4"/>
  </r>
  <r>
    <x v="0"/>
    <x v="3"/>
    <x v="1"/>
    <n v="12184"/>
    <n v="73"/>
    <n v="8134.78"/>
    <n v="3451.2"/>
    <x v="0"/>
  </r>
  <r>
    <x v="0"/>
    <x v="3"/>
    <x v="1"/>
    <n v="12622"/>
    <n v="43"/>
    <n v="10154.19"/>
    <n v="4775.87"/>
    <x v="1"/>
  </r>
  <r>
    <x v="0"/>
    <x v="3"/>
    <x v="1"/>
    <n v="13527"/>
    <n v="554"/>
    <n v="91566.75"/>
    <n v="15277.81"/>
    <x v="2"/>
  </r>
  <r>
    <x v="0"/>
    <x v="3"/>
    <x v="1"/>
    <n v="13618"/>
    <n v="22"/>
    <n v="7552.69"/>
    <n v="3865.17"/>
    <x v="1"/>
  </r>
  <r>
    <x v="0"/>
    <x v="3"/>
    <x v="1"/>
    <n v="16024"/>
    <n v="345"/>
    <n v="166090.16"/>
    <n v="48071.7"/>
    <x v="3"/>
  </r>
  <r>
    <x v="0"/>
    <x v="3"/>
    <x v="1"/>
    <n v="16650"/>
    <n v="80"/>
    <n v="12317.71"/>
    <n v="5948.73"/>
    <x v="0"/>
  </r>
  <r>
    <x v="0"/>
    <x v="3"/>
    <x v="1"/>
    <n v="17892"/>
    <n v="86"/>
    <n v="11527.61"/>
    <n v="2905.46"/>
    <x v="4"/>
  </r>
  <r>
    <x v="0"/>
    <x v="3"/>
    <x v="1"/>
    <n v="18342"/>
    <n v="261"/>
    <n v="216543.57"/>
    <n v="57839.81"/>
    <x v="3"/>
  </r>
  <r>
    <x v="0"/>
    <x v="3"/>
    <x v="1"/>
    <n v="20177"/>
    <n v="71"/>
    <n v="7154.31"/>
    <n v="2856.26"/>
    <x v="5"/>
  </r>
  <r>
    <x v="0"/>
    <x v="3"/>
    <x v="1"/>
    <n v="21179"/>
    <n v="47"/>
    <n v="4942.92"/>
    <n v="2494.8000000000002"/>
    <x v="0"/>
  </r>
  <r>
    <x v="0"/>
    <x v="3"/>
    <x v="1"/>
    <n v="21260"/>
    <n v="94"/>
    <n v="16379.05"/>
    <n v="5099.53"/>
    <x v="4"/>
  </r>
  <r>
    <x v="0"/>
    <x v="3"/>
    <x v="1"/>
    <n v="22317"/>
    <n v="91"/>
    <n v="8088.47"/>
    <n v="2981.14"/>
    <x v="5"/>
  </r>
  <r>
    <x v="0"/>
    <x v="3"/>
    <x v="1"/>
    <n v="22940"/>
    <n v="457"/>
    <n v="59351"/>
    <n v="12076.11"/>
    <x v="2"/>
  </r>
  <r>
    <x v="0"/>
    <x v="3"/>
    <x v="1"/>
    <n v="23178"/>
    <n v="410"/>
    <n v="76108.84"/>
    <n v="15722.61"/>
    <x v="2"/>
  </r>
  <r>
    <x v="0"/>
    <x v="3"/>
    <x v="1"/>
    <n v="23600"/>
    <n v="1380"/>
    <n v="166940.39000000001"/>
    <n v="41149.040000000001"/>
    <x v="2"/>
  </r>
  <r>
    <x v="0"/>
    <x v="3"/>
    <x v="1"/>
    <n v="23756"/>
    <n v="138"/>
    <n v="23883.87"/>
    <n v="10731.23"/>
    <x v="1"/>
  </r>
  <r>
    <x v="0"/>
    <x v="3"/>
    <x v="1"/>
    <n v="24326"/>
    <n v="110"/>
    <n v="15294.15"/>
    <n v="3903.42"/>
    <x v="4"/>
  </r>
  <r>
    <x v="1"/>
    <x v="3"/>
    <x v="1"/>
    <n v="12184"/>
    <n v="24"/>
    <n v="2838.23"/>
    <n v="1488.73"/>
    <x v="0"/>
  </r>
  <r>
    <x v="1"/>
    <x v="3"/>
    <x v="1"/>
    <n v="12622"/>
    <n v="13"/>
    <n v="3148.67"/>
    <n v="1118.73"/>
    <x v="1"/>
  </r>
  <r>
    <x v="1"/>
    <x v="3"/>
    <x v="1"/>
    <n v="13527"/>
    <n v="187"/>
    <n v="30577.42"/>
    <n v="5856.46"/>
    <x v="2"/>
  </r>
  <r>
    <x v="1"/>
    <x v="3"/>
    <x v="1"/>
    <n v="13618"/>
    <n v="7"/>
    <n v="2783.4"/>
    <n v="1352.12"/>
    <x v="1"/>
  </r>
  <r>
    <x v="1"/>
    <x v="3"/>
    <x v="1"/>
    <n v="16024"/>
    <n v="168"/>
    <n v="64007.98"/>
    <n v="20301.310000000001"/>
    <x v="3"/>
  </r>
  <r>
    <x v="1"/>
    <x v="3"/>
    <x v="1"/>
    <n v="16650"/>
    <n v="28"/>
    <n v="3911.36"/>
    <n v="2129.02"/>
    <x v="0"/>
  </r>
  <r>
    <x v="1"/>
    <x v="3"/>
    <x v="1"/>
    <n v="17892"/>
    <n v="90"/>
    <n v="12951.96"/>
    <n v="3320.5"/>
    <x v="4"/>
  </r>
  <r>
    <x v="1"/>
    <x v="3"/>
    <x v="1"/>
    <n v="18342"/>
    <n v="25"/>
    <n v="19433.18"/>
    <n v="5014.5"/>
    <x v="3"/>
  </r>
  <r>
    <x v="1"/>
    <x v="3"/>
    <x v="1"/>
    <n v="20177"/>
    <n v="16"/>
    <n v="1674"/>
    <n v="710.18"/>
    <x v="5"/>
  </r>
  <r>
    <x v="1"/>
    <x v="3"/>
    <x v="1"/>
    <n v="21179"/>
    <n v="44"/>
    <n v="4997.72"/>
    <n v="2505.4299999999998"/>
    <x v="0"/>
  </r>
  <r>
    <x v="1"/>
    <x v="3"/>
    <x v="1"/>
    <n v="21260"/>
    <n v="22"/>
    <n v="3859.53"/>
    <n v="996.89"/>
    <x v="4"/>
  </r>
  <r>
    <x v="1"/>
    <x v="3"/>
    <x v="1"/>
    <n v="22317"/>
    <n v="8"/>
    <n v="846.03"/>
    <n v="347.96"/>
    <x v="5"/>
  </r>
  <r>
    <x v="1"/>
    <x v="3"/>
    <x v="1"/>
    <n v="22940"/>
    <n v="136"/>
    <n v="16772.18"/>
    <n v="4873.17"/>
    <x v="2"/>
  </r>
  <r>
    <x v="1"/>
    <x v="3"/>
    <x v="1"/>
    <n v="23178"/>
    <n v="164"/>
    <n v="32242.63"/>
    <n v="8601.2900000000009"/>
    <x v="2"/>
  </r>
  <r>
    <x v="1"/>
    <x v="3"/>
    <x v="1"/>
    <n v="23600"/>
    <n v="513"/>
    <n v="52039.63"/>
    <n v="14225.23"/>
    <x v="2"/>
  </r>
  <r>
    <x v="1"/>
    <x v="3"/>
    <x v="1"/>
    <n v="23756"/>
    <n v="53"/>
    <n v="9541.1"/>
    <n v="4380.63"/>
    <x v="1"/>
  </r>
  <r>
    <x v="1"/>
    <x v="3"/>
    <x v="1"/>
    <n v="24326"/>
    <n v="25"/>
    <n v="3153.6"/>
    <n v="845.24"/>
    <x v="4"/>
  </r>
  <r>
    <x v="2"/>
    <x v="3"/>
    <x v="1"/>
    <n v="12184"/>
    <n v="47"/>
    <n v="6535.22"/>
    <n v="4412.1899999999996"/>
    <x v="0"/>
  </r>
  <r>
    <x v="2"/>
    <x v="3"/>
    <x v="1"/>
    <n v="12622"/>
    <n v="37"/>
    <n v="11196.31"/>
    <n v="6784.19"/>
    <x v="1"/>
  </r>
  <r>
    <x v="2"/>
    <x v="3"/>
    <x v="1"/>
    <n v="13527"/>
    <n v="444"/>
    <n v="79400.160000000003"/>
    <n v="22284.41"/>
    <x v="2"/>
  </r>
  <r>
    <x v="2"/>
    <x v="3"/>
    <x v="1"/>
    <n v="13618"/>
    <n v="25"/>
    <n v="11560.14"/>
    <n v="7312.98"/>
    <x v="1"/>
  </r>
  <r>
    <x v="2"/>
    <x v="3"/>
    <x v="1"/>
    <n v="16024"/>
    <n v="339"/>
    <n v="146955.99"/>
    <n v="50105.03"/>
    <x v="3"/>
  </r>
  <r>
    <x v="2"/>
    <x v="3"/>
    <x v="1"/>
    <n v="16650"/>
    <n v="48"/>
    <n v="8000.09"/>
    <n v="4679.6400000000003"/>
    <x v="0"/>
  </r>
  <r>
    <x v="2"/>
    <x v="3"/>
    <x v="1"/>
    <n v="17892"/>
    <n v="87"/>
    <n v="11967.52"/>
    <n v="3838.67"/>
    <x v="4"/>
  </r>
  <r>
    <x v="2"/>
    <x v="3"/>
    <x v="1"/>
    <n v="18342"/>
    <n v="121"/>
    <n v="108126.51"/>
    <n v="27222.41"/>
    <x v="3"/>
  </r>
  <r>
    <x v="2"/>
    <x v="3"/>
    <x v="1"/>
    <n v="20177"/>
    <n v="62"/>
    <n v="6243.05"/>
    <n v="3175"/>
    <x v="5"/>
  </r>
  <r>
    <x v="2"/>
    <x v="3"/>
    <x v="1"/>
    <n v="21179"/>
    <n v="45"/>
    <n v="7109.39"/>
    <n v="4143.1000000000004"/>
    <x v="0"/>
  </r>
  <r>
    <x v="2"/>
    <x v="3"/>
    <x v="1"/>
    <n v="21260"/>
    <n v="29"/>
    <n v="5508.88"/>
    <n v="1909.81"/>
    <x v="4"/>
  </r>
  <r>
    <x v="2"/>
    <x v="3"/>
    <x v="1"/>
    <n v="22317"/>
    <n v="52"/>
    <n v="4187.68"/>
    <n v="2165.52"/>
    <x v="5"/>
  </r>
  <r>
    <x v="2"/>
    <x v="3"/>
    <x v="1"/>
    <n v="22940"/>
    <n v="624"/>
    <n v="78666.27"/>
    <n v="16823.77"/>
    <x v="2"/>
  </r>
  <r>
    <x v="2"/>
    <x v="3"/>
    <x v="1"/>
    <n v="23178"/>
    <n v="235"/>
    <n v="41986.99"/>
    <n v="9198.07"/>
    <x v="2"/>
  </r>
  <r>
    <x v="2"/>
    <x v="3"/>
    <x v="1"/>
    <n v="23600"/>
    <n v="457"/>
    <n v="47454.17"/>
    <n v="11865.45"/>
    <x v="2"/>
  </r>
  <r>
    <x v="2"/>
    <x v="3"/>
    <x v="1"/>
    <n v="23756"/>
    <n v="89"/>
    <n v="18702.05"/>
    <n v="11506.91"/>
    <x v="1"/>
  </r>
  <r>
    <x v="2"/>
    <x v="3"/>
    <x v="1"/>
    <n v="24326"/>
    <n v="62"/>
    <n v="9189.7800000000007"/>
    <n v="2467.17"/>
    <x v="4"/>
  </r>
  <r>
    <x v="3"/>
    <x v="3"/>
    <x v="1"/>
    <n v="12184"/>
    <n v="48"/>
    <n v="7241.57"/>
    <n v="4381.16"/>
    <x v="0"/>
  </r>
  <r>
    <x v="3"/>
    <x v="3"/>
    <x v="1"/>
    <n v="12622"/>
    <n v="54"/>
    <n v="13590.03"/>
    <n v="6633.16"/>
    <x v="1"/>
  </r>
  <r>
    <x v="3"/>
    <x v="3"/>
    <x v="1"/>
    <n v="13527"/>
    <n v="674"/>
    <n v="111559.35"/>
    <n v="23246.34"/>
    <x v="2"/>
  </r>
  <r>
    <x v="3"/>
    <x v="3"/>
    <x v="1"/>
    <n v="13618"/>
    <n v="14"/>
    <n v="5335.72"/>
    <n v="2773.38"/>
    <x v="1"/>
  </r>
  <r>
    <x v="3"/>
    <x v="3"/>
    <x v="1"/>
    <n v="16024"/>
    <n v="122"/>
    <n v="51125.4"/>
    <n v="12944.87"/>
    <x v="3"/>
  </r>
  <r>
    <x v="3"/>
    <x v="3"/>
    <x v="1"/>
    <n v="16650"/>
    <n v="48"/>
    <n v="6314.83"/>
    <n v="3155.84"/>
    <x v="0"/>
  </r>
  <r>
    <x v="3"/>
    <x v="3"/>
    <x v="1"/>
    <n v="17892"/>
    <n v="77"/>
    <n v="11513.82"/>
    <n v="3389.7"/>
    <x v="4"/>
  </r>
  <r>
    <x v="3"/>
    <x v="3"/>
    <x v="1"/>
    <n v="18342"/>
    <n v="107"/>
    <n v="81587.05"/>
    <n v="17625.38"/>
    <x v="3"/>
  </r>
  <r>
    <x v="3"/>
    <x v="3"/>
    <x v="1"/>
    <n v="20177"/>
    <n v="60"/>
    <n v="6277.48"/>
    <n v="2087.7199999999998"/>
    <x v="5"/>
  </r>
  <r>
    <x v="3"/>
    <x v="3"/>
    <x v="1"/>
    <n v="21179"/>
    <n v="24"/>
    <n v="2648.24"/>
    <n v="1585.75"/>
    <x v="0"/>
  </r>
  <r>
    <x v="3"/>
    <x v="3"/>
    <x v="1"/>
    <n v="21260"/>
    <n v="41"/>
    <n v="7760.43"/>
    <n v="2030.18"/>
    <x v="4"/>
  </r>
  <r>
    <x v="3"/>
    <x v="3"/>
    <x v="1"/>
    <n v="22317"/>
    <n v="67"/>
    <n v="5225.88"/>
    <n v="2280.83"/>
    <x v="5"/>
  </r>
  <r>
    <x v="3"/>
    <x v="3"/>
    <x v="1"/>
    <n v="22940"/>
    <n v="602"/>
    <n v="81358.67"/>
    <n v="15825.77"/>
    <x v="2"/>
  </r>
  <r>
    <x v="3"/>
    <x v="3"/>
    <x v="1"/>
    <n v="23178"/>
    <n v="138"/>
    <n v="25858.87"/>
    <n v="5654.85"/>
    <x v="2"/>
  </r>
  <r>
    <x v="3"/>
    <x v="3"/>
    <x v="1"/>
    <n v="23600"/>
    <n v="677"/>
    <n v="77978"/>
    <n v="18384.75"/>
    <x v="2"/>
  </r>
  <r>
    <x v="3"/>
    <x v="3"/>
    <x v="1"/>
    <n v="23756"/>
    <n v="50"/>
    <n v="7419.9"/>
    <n v="3178.79"/>
    <x v="1"/>
  </r>
  <r>
    <x v="3"/>
    <x v="3"/>
    <x v="1"/>
    <n v="24326"/>
    <n v="92"/>
    <n v="13203.39"/>
    <n v="3376.96"/>
    <x v="4"/>
  </r>
  <r>
    <x v="0"/>
    <x v="3"/>
    <x v="2"/>
    <n v="12184"/>
    <n v="70"/>
    <n v="8238.5300000000007"/>
    <n v="3661.83"/>
    <x v="0"/>
  </r>
  <r>
    <x v="0"/>
    <x v="3"/>
    <x v="2"/>
    <n v="12622"/>
    <n v="60"/>
    <n v="18763.3"/>
    <n v="7673.06"/>
    <x v="1"/>
  </r>
  <r>
    <x v="0"/>
    <x v="3"/>
    <x v="2"/>
    <n v="13527"/>
    <n v="492"/>
    <n v="72870.87"/>
    <n v="14143.17"/>
    <x v="2"/>
  </r>
  <r>
    <x v="0"/>
    <x v="3"/>
    <x v="2"/>
    <n v="13618"/>
    <n v="16"/>
    <n v="6569.46"/>
    <n v="3018.15"/>
    <x v="1"/>
  </r>
  <r>
    <x v="0"/>
    <x v="3"/>
    <x v="2"/>
    <n v="16024"/>
    <n v="322"/>
    <n v="144773.62"/>
    <n v="40648.31"/>
    <x v="3"/>
  </r>
  <r>
    <x v="0"/>
    <x v="3"/>
    <x v="2"/>
    <n v="16650"/>
    <n v="64"/>
    <n v="10032.74"/>
    <n v="5420.28"/>
    <x v="0"/>
  </r>
  <r>
    <x v="0"/>
    <x v="3"/>
    <x v="2"/>
    <n v="17892"/>
    <n v="127"/>
    <n v="18568.169999999998"/>
    <n v="5735.77"/>
    <x v="4"/>
  </r>
  <r>
    <x v="0"/>
    <x v="3"/>
    <x v="2"/>
    <n v="18342"/>
    <n v="179"/>
    <n v="159482.89000000001"/>
    <n v="48173.96"/>
    <x v="3"/>
  </r>
  <r>
    <x v="0"/>
    <x v="3"/>
    <x v="2"/>
    <n v="20177"/>
    <n v="104"/>
    <n v="9418.74"/>
    <n v="4086.61"/>
    <x v="5"/>
  </r>
  <r>
    <x v="0"/>
    <x v="3"/>
    <x v="2"/>
    <n v="21179"/>
    <n v="74"/>
    <n v="7485.99"/>
    <n v="3848.83"/>
    <x v="0"/>
  </r>
  <r>
    <x v="0"/>
    <x v="3"/>
    <x v="2"/>
    <n v="21260"/>
    <n v="46"/>
    <n v="8817.2900000000009"/>
    <n v="2588.7800000000002"/>
    <x v="4"/>
  </r>
  <r>
    <x v="0"/>
    <x v="3"/>
    <x v="2"/>
    <n v="22317"/>
    <n v="88"/>
    <n v="8748.3799999999992"/>
    <n v="3453"/>
    <x v="5"/>
  </r>
  <r>
    <x v="0"/>
    <x v="3"/>
    <x v="2"/>
    <n v="22940"/>
    <n v="366"/>
    <n v="43400.98"/>
    <n v="9204.2999999999993"/>
    <x v="2"/>
  </r>
  <r>
    <x v="0"/>
    <x v="3"/>
    <x v="2"/>
    <n v="23178"/>
    <n v="353"/>
    <n v="61649.02"/>
    <n v="12791.18"/>
    <x v="2"/>
  </r>
  <r>
    <x v="0"/>
    <x v="3"/>
    <x v="2"/>
    <n v="23600"/>
    <n v="1188"/>
    <n v="137079.88"/>
    <n v="30628.34"/>
    <x v="2"/>
  </r>
  <r>
    <x v="0"/>
    <x v="3"/>
    <x v="2"/>
    <n v="23756"/>
    <n v="133"/>
    <n v="23349.39"/>
    <n v="12041.37"/>
    <x v="1"/>
  </r>
  <r>
    <x v="0"/>
    <x v="3"/>
    <x v="2"/>
    <n v="24326"/>
    <n v="118"/>
    <n v="16523.259999999998"/>
    <n v="4179.95"/>
    <x v="4"/>
  </r>
  <r>
    <x v="1"/>
    <x v="3"/>
    <x v="2"/>
    <n v="12184"/>
    <n v="41"/>
    <n v="4417.8500000000004"/>
    <n v="2451.9699999999998"/>
    <x v="0"/>
  </r>
  <r>
    <x v="1"/>
    <x v="3"/>
    <x v="2"/>
    <n v="12622"/>
    <n v="15"/>
    <n v="3971.92"/>
    <n v="1454.54"/>
    <x v="1"/>
  </r>
  <r>
    <x v="1"/>
    <x v="3"/>
    <x v="2"/>
    <n v="13527"/>
    <n v="205"/>
    <n v="34056.080000000002"/>
    <n v="6575.23"/>
    <x v="2"/>
  </r>
  <r>
    <x v="1"/>
    <x v="3"/>
    <x v="2"/>
    <n v="13618"/>
    <n v="8"/>
    <n v="3238.8"/>
    <n v="1410.3"/>
    <x v="1"/>
  </r>
  <r>
    <x v="1"/>
    <x v="3"/>
    <x v="2"/>
    <n v="16024"/>
    <n v="121"/>
    <n v="49948.49"/>
    <n v="13656.36"/>
    <x v="3"/>
  </r>
  <r>
    <x v="1"/>
    <x v="3"/>
    <x v="2"/>
    <n v="16650"/>
    <n v="36"/>
    <n v="4701.5"/>
    <n v="3172.3"/>
    <x v="0"/>
  </r>
  <r>
    <x v="1"/>
    <x v="3"/>
    <x v="2"/>
    <n v="17892"/>
    <n v="112"/>
    <n v="15282.72"/>
    <n v="3479.2"/>
    <x v="4"/>
  </r>
  <r>
    <x v="1"/>
    <x v="3"/>
    <x v="2"/>
    <n v="18342"/>
    <n v="15"/>
    <n v="14036.17"/>
    <n v="4250.2299999999996"/>
    <x v="3"/>
  </r>
  <r>
    <x v="1"/>
    <x v="3"/>
    <x v="2"/>
    <n v="20177"/>
    <n v="13"/>
    <n v="1373.5"/>
    <n v="565.5"/>
    <x v="5"/>
  </r>
  <r>
    <x v="1"/>
    <x v="3"/>
    <x v="2"/>
    <n v="21179"/>
    <n v="36"/>
    <n v="5104.87"/>
    <n v="3276.03"/>
    <x v="0"/>
  </r>
  <r>
    <x v="1"/>
    <x v="3"/>
    <x v="2"/>
    <n v="21260"/>
    <n v="60"/>
    <n v="10788"/>
    <n v="2790.06"/>
    <x v="4"/>
  </r>
  <r>
    <x v="1"/>
    <x v="3"/>
    <x v="2"/>
    <n v="22317"/>
    <n v="15"/>
    <n v="1165.01"/>
    <n v="580.45000000000005"/>
    <x v="5"/>
  </r>
  <r>
    <x v="1"/>
    <x v="3"/>
    <x v="2"/>
    <n v="22940"/>
    <n v="131"/>
    <n v="16897.16"/>
    <n v="3929.29"/>
    <x v="2"/>
  </r>
  <r>
    <x v="1"/>
    <x v="3"/>
    <x v="2"/>
    <n v="23178"/>
    <n v="352"/>
    <n v="66907.02"/>
    <n v="17433.97"/>
    <x v="2"/>
  </r>
  <r>
    <x v="1"/>
    <x v="3"/>
    <x v="2"/>
    <n v="23600"/>
    <n v="458"/>
    <n v="52020.73"/>
    <n v="14747.2"/>
    <x v="2"/>
  </r>
  <r>
    <x v="1"/>
    <x v="3"/>
    <x v="2"/>
    <n v="23756"/>
    <n v="65"/>
    <n v="11356.9"/>
    <n v="4312.29"/>
    <x v="1"/>
  </r>
  <r>
    <x v="1"/>
    <x v="3"/>
    <x v="2"/>
    <n v="24326"/>
    <n v="44"/>
    <n v="6746.62"/>
    <n v="1779.21"/>
    <x v="4"/>
  </r>
  <r>
    <x v="2"/>
    <x v="3"/>
    <x v="2"/>
    <n v="12184"/>
    <n v="61"/>
    <n v="9748.58"/>
    <n v="7593.46"/>
    <x v="0"/>
  </r>
  <r>
    <x v="2"/>
    <x v="3"/>
    <x v="2"/>
    <n v="12622"/>
    <n v="50"/>
    <n v="13223.07"/>
    <n v="7389.16"/>
    <x v="1"/>
  </r>
  <r>
    <x v="2"/>
    <x v="3"/>
    <x v="2"/>
    <n v="13527"/>
    <n v="303"/>
    <n v="52535.82"/>
    <n v="12818.48"/>
    <x v="2"/>
  </r>
  <r>
    <x v="2"/>
    <x v="3"/>
    <x v="2"/>
    <n v="13618"/>
    <n v="11"/>
    <n v="3946.36"/>
    <n v="2002.36"/>
    <x v="1"/>
  </r>
  <r>
    <x v="2"/>
    <x v="3"/>
    <x v="2"/>
    <n v="16024"/>
    <n v="144"/>
    <n v="69737.19"/>
    <n v="21866.17"/>
    <x v="3"/>
  </r>
  <r>
    <x v="2"/>
    <x v="3"/>
    <x v="2"/>
    <n v="16650"/>
    <n v="25"/>
    <n v="3543.76"/>
    <n v="2256.0300000000002"/>
    <x v="0"/>
  </r>
  <r>
    <x v="2"/>
    <x v="3"/>
    <x v="2"/>
    <n v="17892"/>
    <n v="135"/>
    <n v="20632.45"/>
    <n v="7144.87"/>
    <x v="4"/>
  </r>
  <r>
    <x v="2"/>
    <x v="3"/>
    <x v="2"/>
    <n v="18342"/>
    <n v="133"/>
    <n v="123058.64"/>
    <n v="39846.339999999997"/>
    <x v="3"/>
  </r>
  <r>
    <x v="2"/>
    <x v="3"/>
    <x v="2"/>
    <n v="20177"/>
    <n v="48"/>
    <n v="5308.56"/>
    <n v="2355.88"/>
    <x v="5"/>
  </r>
  <r>
    <x v="2"/>
    <x v="3"/>
    <x v="2"/>
    <n v="21179"/>
    <n v="37"/>
    <n v="4031.16"/>
    <n v="2886.08"/>
    <x v="0"/>
  </r>
  <r>
    <x v="2"/>
    <x v="3"/>
    <x v="2"/>
    <n v="21260"/>
    <n v="63"/>
    <n v="11129.58"/>
    <n v="3112.24"/>
    <x v="4"/>
  </r>
  <r>
    <x v="2"/>
    <x v="3"/>
    <x v="2"/>
    <n v="22317"/>
    <n v="54"/>
    <n v="4125.9799999999996"/>
    <n v="1683.08"/>
    <x v="5"/>
  </r>
  <r>
    <x v="2"/>
    <x v="3"/>
    <x v="2"/>
    <n v="22940"/>
    <n v="539"/>
    <n v="68405.320000000007"/>
    <n v="15527.92"/>
    <x v="2"/>
  </r>
  <r>
    <x v="2"/>
    <x v="3"/>
    <x v="2"/>
    <n v="23178"/>
    <n v="132"/>
    <n v="23056.52"/>
    <n v="6539.25"/>
    <x v="2"/>
  </r>
  <r>
    <x v="2"/>
    <x v="3"/>
    <x v="2"/>
    <n v="23600"/>
    <n v="796"/>
    <n v="99188.19"/>
    <n v="31180.7"/>
    <x v="2"/>
  </r>
  <r>
    <x v="2"/>
    <x v="3"/>
    <x v="2"/>
    <n v="23756"/>
    <n v="124"/>
    <n v="22009.56"/>
    <n v="11047.42"/>
    <x v="1"/>
  </r>
  <r>
    <x v="2"/>
    <x v="3"/>
    <x v="2"/>
    <n v="24326"/>
    <n v="156"/>
    <n v="19561.32"/>
    <n v="6320.41"/>
    <x v="4"/>
  </r>
  <r>
    <x v="3"/>
    <x v="3"/>
    <x v="2"/>
    <n v="12184"/>
    <n v="80"/>
    <n v="11377.07"/>
    <n v="7425.26"/>
    <x v="0"/>
  </r>
  <r>
    <x v="3"/>
    <x v="3"/>
    <x v="2"/>
    <n v="12622"/>
    <n v="23"/>
    <n v="5498.45"/>
    <n v="2279.75"/>
    <x v="1"/>
  </r>
  <r>
    <x v="3"/>
    <x v="3"/>
    <x v="2"/>
    <n v="13527"/>
    <n v="535"/>
    <n v="80307.88"/>
    <n v="16673.419999999998"/>
    <x v="2"/>
  </r>
  <r>
    <x v="3"/>
    <x v="3"/>
    <x v="2"/>
    <n v="13618"/>
    <n v="6"/>
    <n v="2645.03"/>
    <n v="1414.24"/>
    <x v="1"/>
  </r>
  <r>
    <x v="3"/>
    <x v="3"/>
    <x v="2"/>
    <n v="16024"/>
    <n v="232"/>
    <n v="95138.84"/>
    <n v="24520.25"/>
    <x v="3"/>
  </r>
  <r>
    <x v="3"/>
    <x v="3"/>
    <x v="2"/>
    <n v="16650"/>
    <n v="60"/>
    <n v="10665.22"/>
    <n v="6276.72"/>
    <x v="0"/>
  </r>
  <r>
    <x v="3"/>
    <x v="3"/>
    <x v="2"/>
    <n v="17892"/>
    <n v="67"/>
    <n v="9028.24"/>
    <n v="2024.97"/>
    <x v="4"/>
  </r>
  <r>
    <x v="3"/>
    <x v="3"/>
    <x v="2"/>
    <n v="18342"/>
    <n v="168"/>
    <n v="127131.52"/>
    <n v="30794.21"/>
    <x v="3"/>
  </r>
  <r>
    <x v="3"/>
    <x v="3"/>
    <x v="2"/>
    <n v="20177"/>
    <n v="90"/>
    <n v="8394.83"/>
    <n v="2929.31"/>
    <x v="5"/>
  </r>
  <r>
    <x v="3"/>
    <x v="3"/>
    <x v="2"/>
    <n v="21179"/>
    <n v="27"/>
    <n v="3823.32"/>
    <n v="2126.13"/>
    <x v="0"/>
  </r>
  <r>
    <x v="3"/>
    <x v="3"/>
    <x v="2"/>
    <n v="21260"/>
    <n v="81"/>
    <n v="16708.03"/>
    <n v="4106.3599999999997"/>
    <x v="4"/>
  </r>
  <r>
    <x v="3"/>
    <x v="3"/>
    <x v="2"/>
    <n v="22317"/>
    <n v="84"/>
    <n v="7722.9"/>
    <n v="3030.58"/>
    <x v="5"/>
  </r>
  <r>
    <x v="3"/>
    <x v="3"/>
    <x v="2"/>
    <n v="22940"/>
    <n v="664"/>
    <n v="82593.820000000007"/>
    <n v="18310.16"/>
    <x v="2"/>
  </r>
  <r>
    <x v="3"/>
    <x v="3"/>
    <x v="2"/>
    <n v="23178"/>
    <n v="235"/>
    <n v="38283.269999999997"/>
    <n v="8572.2199999999993"/>
    <x v="2"/>
  </r>
  <r>
    <x v="3"/>
    <x v="3"/>
    <x v="2"/>
    <n v="23600"/>
    <n v="924"/>
    <n v="100380.08"/>
    <n v="25294.91"/>
    <x v="2"/>
  </r>
  <r>
    <x v="3"/>
    <x v="3"/>
    <x v="2"/>
    <n v="23756"/>
    <n v="129"/>
    <n v="22543.26"/>
    <n v="10579"/>
    <x v="1"/>
  </r>
  <r>
    <x v="3"/>
    <x v="3"/>
    <x v="2"/>
    <n v="24326"/>
    <n v="61"/>
    <n v="8174.44"/>
    <n v="2064.29"/>
    <x v="4"/>
  </r>
  <r>
    <x v="0"/>
    <x v="3"/>
    <x v="3"/>
    <n v="12184"/>
    <n v="65"/>
    <n v="8845.75"/>
    <n v="3950.1"/>
    <x v="0"/>
  </r>
  <r>
    <x v="0"/>
    <x v="3"/>
    <x v="3"/>
    <n v="12622"/>
    <n v="71"/>
    <n v="21009.77"/>
    <n v="9889.24"/>
    <x v="1"/>
  </r>
  <r>
    <x v="0"/>
    <x v="3"/>
    <x v="3"/>
    <n v="13527"/>
    <n v="557"/>
    <n v="82167.490000000005"/>
    <n v="15773.65"/>
    <x v="2"/>
  </r>
  <r>
    <x v="0"/>
    <x v="3"/>
    <x v="3"/>
    <n v="13618"/>
    <n v="13"/>
    <n v="5066.25"/>
    <n v="2256.41"/>
    <x v="1"/>
  </r>
  <r>
    <x v="0"/>
    <x v="3"/>
    <x v="3"/>
    <n v="16024"/>
    <n v="336"/>
    <n v="136474.09"/>
    <n v="35651.370000000003"/>
    <x v="3"/>
  </r>
  <r>
    <x v="0"/>
    <x v="3"/>
    <x v="3"/>
    <n v="16650"/>
    <n v="29"/>
    <n v="4198.9399999999996"/>
    <n v="1679.64"/>
    <x v="0"/>
  </r>
  <r>
    <x v="0"/>
    <x v="3"/>
    <x v="3"/>
    <n v="17892"/>
    <n v="105"/>
    <n v="13154.57"/>
    <n v="3256.89"/>
    <x v="4"/>
  </r>
  <r>
    <x v="0"/>
    <x v="3"/>
    <x v="3"/>
    <n v="18342"/>
    <n v="241"/>
    <n v="195488.62"/>
    <n v="52904.07"/>
    <x v="3"/>
  </r>
  <r>
    <x v="0"/>
    <x v="3"/>
    <x v="3"/>
    <n v="20177"/>
    <n v="138"/>
    <n v="15545.11"/>
    <n v="5938.31"/>
    <x v="5"/>
  </r>
  <r>
    <x v="0"/>
    <x v="3"/>
    <x v="3"/>
    <n v="21179"/>
    <n v="78"/>
    <n v="7893.13"/>
    <n v="4306.32"/>
    <x v="0"/>
  </r>
  <r>
    <x v="0"/>
    <x v="3"/>
    <x v="3"/>
    <n v="21260"/>
    <n v="80"/>
    <n v="14172.94"/>
    <n v="4578.22"/>
    <x v="4"/>
  </r>
  <r>
    <x v="0"/>
    <x v="3"/>
    <x v="3"/>
    <n v="22317"/>
    <n v="112"/>
    <n v="9654.6"/>
    <n v="3141.69"/>
    <x v="5"/>
  </r>
  <r>
    <x v="0"/>
    <x v="3"/>
    <x v="3"/>
    <n v="22940"/>
    <n v="564"/>
    <n v="77711.649999999994"/>
    <n v="14631.78"/>
    <x v="2"/>
  </r>
  <r>
    <x v="0"/>
    <x v="3"/>
    <x v="3"/>
    <n v="23178"/>
    <n v="393"/>
    <n v="69095.72"/>
    <n v="14800.33"/>
    <x v="2"/>
  </r>
  <r>
    <x v="0"/>
    <x v="3"/>
    <x v="3"/>
    <n v="23600"/>
    <n v="982"/>
    <n v="110857.22"/>
    <n v="30211.15"/>
    <x v="2"/>
  </r>
  <r>
    <x v="0"/>
    <x v="3"/>
    <x v="3"/>
    <n v="23756"/>
    <n v="66"/>
    <n v="11006.74"/>
    <n v="5705.23"/>
    <x v="1"/>
  </r>
  <r>
    <x v="0"/>
    <x v="3"/>
    <x v="3"/>
    <n v="24326"/>
    <n v="185"/>
    <n v="24603.96"/>
    <n v="6261.97"/>
    <x v="4"/>
  </r>
  <r>
    <x v="1"/>
    <x v="3"/>
    <x v="3"/>
    <n v="12184"/>
    <n v="21"/>
    <n v="2323.34"/>
    <n v="989.05"/>
    <x v="0"/>
  </r>
  <r>
    <x v="1"/>
    <x v="3"/>
    <x v="3"/>
    <n v="12622"/>
    <n v="10"/>
    <n v="2567.9699999999998"/>
    <n v="1225.5999999999999"/>
    <x v="1"/>
  </r>
  <r>
    <x v="1"/>
    <x v="3"/>
    <x v="3"/>
    <n v="13527"/>
    <n v="204"/>
    <n v="34533.620000000003"/>
    <n v="5938.49"/>
    <x v="2"/>
  </r>
  <r>
    <x v="1"/>
    <x v="3"/>
    <x v="3"/>
    <n v="13618"/>
    <n v="8"/>
    <n v="3148.37"/>
    <n v="1434.74"/>
    <x v="1"/>
  </r>
  <r>
    <x v="1"/>
    <x v="3"/>
    <x v="3"/>
    <n v="16024"/>
    <n v="106"/>
    <n v="42399.16"/>
    <n v="12819.88"/>
    <x v="3"/>
  </r>
  <r>
    <x v="1"/>
    <x v="3"/>
    <x v="3"/>
    <n v="16650"/>
    <n v="35"/>
    <n v="4768.3500000000004"/>
    <n v="3157.74"/>
    <x v="0"/>
  </r>
  <r>
    <x v="1"/>
    <x v="3"/>
    <x v="3"/>
    <n v="17892"/>
    <n v="113"/>
    <n v="16599.77"/>
    <n v="4616.66"/>
    <x v="4"/>
  </r>
  <r>
    <x v="1"/>
    <x v="3"/>
    <x v="3"/>
    <n v="18342"/>
    <n v="14"/>
    <n v="10468.59"/>
    <n v="2896.04"/>
    <x v="3"/>
  </r>
  <r>
    <x v="1"/>
    <x v="3"/>
    <x v="3"/>
    <n v="20177"/>
    <n v="18"/>
    <n v="1666.65"/>
    <n v="677.99"/>
    <x v="5"/>
  </r>
  <r>
    <x v="1"/>
    <x v="3"/>
    <x v="3"/>
    <n v="21179"/>
    <n v="31"/>
    <n v="4212.76"/>
    <n v="2733.77"/>
    <x v="0"/>
  </r>
  <r>
    <x v="1"/>
    <x v="3"/>
    <x v="3"/>
    <n v="21260"/>
    <n v="48"/>
    <n v="8484.5499999999993"/>
    <n v="2004.56"/>
    <x v="4"/>
  </r>
  <r>
    <x v="1"/>
    <x v="3"/>
    <x v="3"/>
    <n v="22317"/>
    <n v="7"/>
    <n v="744.6"/>
    <n v="339.71"/>
    <x v="5"/>
  </r>
  <r>
    <x v="1"/>
    <x v="3"/>
    <x v="3"/>
    <n v="22940"/>
    <n v="110"/>
    <n v="14339.69"/>
    <n v="4279.7299999999996"/>
    <x v="2"/>
  </r>
  <r>
    <x v="1"/>
    <x v="3"/>
    <x v="3"/>
    <n v="23178"/>
    <n v="231"/>
    <n v="41616.32"/>
    <n v="11847.84"/>
    <x v="2"/>
  </r>
  <r>
    <x v="1"/>
    <x v="3"/>
    <x v="3"/>
    <n v="23600"/>
    <n v="643"/>
    <n v="75019.210000000006"/>
    <n v="22807.919999999998"/>
    <x v="2"/>
  </r>
  <r>
    <x v="1"/>
    <x v="3"/>
    <x v="3"/>
    <n v="23756"/>
    <n v="88"/>
    <n v="14324.14"/>
    <n v="7026.68"/>
    <x v="1"/>
  </r>
  <r>
    <x v="1"/>
    <x v="3"/>
    <x v="3"/>
    <n v="24326"/>
    <n v="18"/>
    <n v="2458.52"/>
    <n v="692.26"/>
    <x v="4"/>
  </r>
  <r>
    <x v="2"/>
    <x v="3"/>
    <x v="3"/>
    <n v="12184"/>
    <n v="101"/>
    <n v="16120.31"/>
    <n v="10131.68"/>
    <x v="0"/>
  </r>
  <r>
    <x v="2"/>
    <x v="3"/>
    <x v="3"/>
    <n v="12622"/>
    <n v="27"/>
    <n v="7419.05"/>
    <n v="4567.13"/>
    <x v="1"/>
  </r>
  <r>
    <x v="2"/>
    <x v="3"/>
    <x v="3"/>
    <n v="13527"/>
    <n v="339"/>
    <n v="56977"/>
    <n v="13308.9"/>
    <x v="2"/>
  </r>
  <r>
    <x v="2"/>
    <x v="3"/>
    <x v="3"/>
    <n v="13618"/>
    <n v="28"/>
    <n v="12987.9"/>
    <n v="6254.93"/>
    <x v="1"/>
  </r>
  <r>
    <x v="2"/>
    <x v="3"/>
    <x v="3"/>
    <n v="16024"/>
    <n v="323"/>
    <n v="140346.68"/>
    <n v="46302.09"/>
    <x v="3"/>
  </r>
  <r>
    <x v="2"/>
    <x v="3"/>
    <x v="3"/>
    <n v="16650"/>
    <n v="32"/>
    <n v="4149.1499999999996"/>
    <n v="3210.98"/>
    <x v="0"/>
  </r>
  <r>
    <x v="2"/>
    <x v="3"/>
    <x v="3"/>
    <n v="17892"/>
    <n v="126"/>
    <n v="20132.5"/>
    <n v="6683.79"/>
    <x v="4"/>
  </r>
  <r>
    <x v="2"/>
    <x v="3"/>
    <x v="3"/>
    <n v="18342"/>
    <n v="150"/>
    <n v="128026.07"/>
    <n v="41419.43"/>
    <x v="3"/>
  </r>
  <r>
    <x v="2"/>
    <x v="3"/>
    <x v="3"/>
    <n v="20177"/>
    <n v="50"/>
    <n v="6106.8"/>
    <n v="2655.68"/>
    <x v="5"/>
  </r>
  <r>
    <x v="2"/>
    <x v="3"/>
    <x v="3"/>
    <n v="21179"/>
    <n v="59"/>
    <n v="9101.42"/>
    <n v="5809.31"/>
    <x v="0"/>
  </r>
  <r>
    <x v="2"/>
    <x v="3"/>
    <x v="3"/>
    <n v="21260"/>
    <n v="32"/>
    <n v="5810"/>
    <n v="1640.49"/>
    <x v="4"/>
  </r>
  <r>
    <x v="2"/>
    <x v="3"/>
    <x v="3"/>
    <n v="22317"/>
    <n v="49"/>
    <n v="5045.4399999999996"/>
    <n v="2315.3000000000002"/>
    <x v="5"/>
  </r>
  <r>
    <x v="2"/>
    <x v="3"/>
    <x v="3"/>
    <n v="22940"/>
    <n v="461"/>
    <n v="65235.87"/>
    <n v="17145.759999999998"/>
    <x v="2"/>
  </r>
  <r>
    <x v="2"/>
    <x v="3"/>
    <x v="3"/>
    <n v="23178"/>
    <n v="120"/>
    <n v="22541.79"/>
    <n v="6202.38"/>
    <x v="2"/>
  </r>
  <r>
    <x v="2"/>
    <x v="3"/>
    <x v="3"/>
    <n v="23600"/>
    <n v="586"/>
    <n v="63555.77"/>
    <n v="17004.04"/>
    <x v="2"/>
  </r>
  <r>
    <x v="2"/>
    <x v="3"/>
    <x v="3"/>
    <n v="23756"/>
    <n v="98"/>
    <n v="21220.57"/>
    <n v="11387.62"/>
    <x v="1"/>
  </r>
  <r>
    <x v="2"/>
    <x v="3"/>
    <x v="3"/>
    <n v="24326"/>
    <n v="119"/>
    <n v="15106.01"/>
    <n v="4609.75"/>
    <x v="4"/>
  </r>
  <r>
    <x v="3"/>
    <x v="3"/>
    <x v="3"/>
    <n v="12184"/>
    <n v="93"/>
    <n v="13202.46"/>
    <n v="6698.54"/>
    <x v="0"/>
  </r>
  <r>
    <x v="3"/>
    <x v="3"/>
    <x v="3"/>
    <n v="12622"/>
    <n v="56"/>
    <n v="16589.32"/>
    <n v="8242.9500000000007"/>
    <x v="1"/>
  </r>
  <r>
    <x v="3"/>
    <x v="3"/>
    <x v="3"/>
    <n v="13527"/>
    <n v="494"/>
    <n v="82018.100000000006"/>
    <n v="18026.22"/>
    <x v="2"/>
  </r>
  <r>
    <x v="3"/>
    <x v="3"/>
    <x v="3"/>
    <n v="13618"/>
    <n v="6"/>
    <n v="2589.15"/>
    <n v="1388.94"/>
    <x v="1"/>
  </r>
  <r>
    <x v="3"/>
    <x v="3"/>
    <x v="3"/>
    <n v="16024"/>
    <n v="130"/>
    <n v="57435.96"/>
    <n v="12931.64"/>
    <x v="3"/>
  </r>
  <r>
    <x v="3"/>
    <x v="3"/>
    <x v="3"/>
    <n v="16650"/>
    <n v="24"/>
    <n v="3397.38"/>
    <n v="1817.25"/>
    <x v="0"/>
  </r>
  <r>
    <x v="3"/>
    <x v="3"/>
    <x v="3"/>
    <n v="17892"/>
    <n v="56"/>
    <n v="7894.83"/>
    <n v="1981.16"/>
    <x v="4"/>
  </r>
  <r>
    <x v="3"/>
    <x v="3"/>
    <x v="3"/>
    <n v="18342"/>
    <n v="138"/>
    <n v="113880.53"/>
    <n v="25356.74"/>
    <x v="3"/>
  </r>
  <r>
    <x v="3"/>
    <x v="3"/>
    <x v="3"/>
    <n v="20177"/>
    <n v="78"/>
    <n v="8341.07"/>
    <n v="2993.86"/>
    <x v="5"/>
  </r>
  <r>
    <x v="3"/>
    <x v="3"/>
    <x v="3"/>
    <n v="21179"/>
    <n v="45"/>
    <n v="4538.91"/>
    <n v="2282.86"/>
    <x v="0"/>
  </r>
  <r>
    <x v="3"/>
    <x v="3"/>
    <x v="3"/>
    <n v="21260"/>
    <n v="49"/>
    <n v="9113.23"/>
    <n v="2118.61"/>
    <x v="4"/>
  </r>
  <r>
    <x v="3"/>
    <x v="3"/>
    <x v="3"/>
    <n v="22317"/>
    <n v="79"/>
    <n v="6825.55"/>
    <n v="2889.19"/>
    <x v="5"/>
  </r>
  <r>
    <x v="3"/>
    <x v="3"/>
    <x v="3"/>
    <n v="22940"/>
    <n v="369"/>
    <n v="50942.45"/>
    <n v="11462.85"/>
    <x v="2"/>
  </r>
  <r>
    <x v="3"/>
    <x v="3"/>
    <x v="3"/>
    <n v="23178"/>
    <n v="298"/>
    <n v="56053.87"/>
    <n v="10476.65"/>
    <x v="2"/>
  </r>
  <r>
    <x v="3"/>
    <x v="3"/>
    <x v="3"/>
    <n v="23600"/>
    <n v="569"/>
    <n v="58759.65"/>
    <n v="13572.08"/>
    <x v="2"/>
  </r>
  <r>
    <x v="3"/>
    <x v="3"/>
    <x v="3"/>
    <n v="23756"/>
    <n v="52"/>
    <n v="8738.66"/>
    <n v="4233.82"/>
    <x v="1"/>
  </r>
  <r>
    <x v="3"/>
    <x v="3"/>
    <x v="3"/>
    <n v="24326"/>
    <n v="131"/>
    <n v="18376"/>
    <n v="4109.53"/>
    <x v="4"/>
  </r>
  <r>
    <x v="0"/>
    <x v="3"/>
    <x v="4"/>
    <n v="12184"/>
    <n v="51"/>
    <n v="6749.21"/>
    <n v="3468.18"/>
    <x v="0"/>
  </r>
  <r>
    <x v="0"/>
    <x v="3"/>
    <x v="4"/>
    <n v="12622"/>
    <n v="54"/>
    <n v="14837.44"/>
    <n v="7812.19"/>
    <x v="1"/>
  </r>
  <r>
    <x v="0"/>
    <x v="3"/>
    <x v="4"/>
    <n v="13527"/>
    <n v="317"/>
    <n v="50921.35"/>
    <n v="11167.58"/>
    <x v="2"/>
  </r>
  <r>
    <x v="0"/>
    <x v="3"/>
    <x v="4"/>
    <n v="13618"/>
    <n v="25"/>
    <n v="9027.33"/>
    <n v="4214.29"/>
    <x v="1"/>
  </r>
  <r>
    <x v="0"/>
    <x v="3"/>
    <x v="4"/>
    <n v="16024"/>
    <n v="277"/>
    <n v="105305.19"/>
    <n v="30503.8"/>
    <x v="3"/>
  </r>
  <r>
    <x v="0"/>
    <x v="3"/>
    <x v="4"/>
    <n v="16650"/>
    <n v="34"/>
    <n v="4447.1499999999996"/>
    <n v="1937.75"/>
    <x v="0"/>
  </r>
  <r>
    <x v="0"/>
    <x v="3"/>
    <x v="4"/>
    <n v="17892"/>
    <n v="163"/>
    <n v="21586.639999999999"/>
    <n v="6716.79"/>
    <x v="4"/>
  </r>
  <r>
    <x v="0"/>
    <x v="3"/>
    <x v="4"/>
    <n v="18342"/>
    <n v="177"/>
    <n v="162792.9"/>
    <n v="43512.72"/>
    <x v="3"/>
  </r>
  <r>
    <x v="0"/>
    <x v="3"/>
    <x v="4"/>
    <n v="20177"/>
    <n v="98"/>
    <n v="10679.12"/>
    <n v="3571.63"/>
    <x v="5"/>
  </r>
  <r>
    <x v="0"/>
    <x v="3"/>
    <x v="4"/>
    <n v="21179"/>
    <n v="32"/>
    <n v="4236.74"/>
    <n v="2013.89"/>
    <x v="0"/>
  </r>
  <r>
    <x v="0"/>
    <x v="3"/>
    <x v="4"/>
    <n v="21260"/>
    <n v="77"/>
    <n v="16466.32"/>
    <n v="4124.43"/>
    <x v="4"/>
  </r>
  <r>
    <x v="0"/>
    <x v="3"/>
    <x v="4"/>
    <n v="22317"/>
    <n v="46"/>
    <n v="4403.24"/>
    <n v="1551.55"/>
    <x v="5"/>
  </r>
  <r>
    <x v="0"/>
    <x v="3"/>
    <x v="4"/>
    <n v="22940"/>
    <n v="760"/>
    <n v="95688.97"/>
    <n v="15754.93"/>
    <x v="2"/>
  </r>
  <r>
    <x v="0"/>
    <x v="3"/>
    <x v="4"/>
    <n v="23178"/>
    <n v="217"/>
    <n v="35281.07"/>
    <n v="6645.57"/>
    <x v="2"/>
  </r>
  <r>
    <x v="0"/>
    <x v="3"/>
    <x v="4"/>
    <n v="23600"/>
    <n v="1329"/>
    <n v="159439.59"/>
    <n v="33747.07"/>
    <x v="2"/>
  </r>
  <r>
    <x v="0"/>
    <x v="3"/>
    <x v="4"/>
    <n v="23756"/>
    <n v="80"/>
    <n v="14883.66"/>
    <n v="7112.43"/>
    <x v="1"/>
  </r>
  <r>
    <x v="0"/>
    <x v="3"/>
    <x v="4"/>
    <n v="24326"/>
    <n v="163"/>
    <n v="23917"/>
    <n v="6733.38"/>
    <x v="4"/>
  </r>
  <r>
    <x v="1"/>
    <x v="3"/>
    <x v="4"/>
    <n v="12184"/>
    <n v="37"/>
    <n v="4139.83"/>
    <n v="2070.67"/>
    <x v="0"/>
  </r>
  <r>
    <x v="1"/>
    <x v="3"/>
    <x v="4"/>
    <n v="12622"/>
    <n v="9"/>
    <n v="2424.2800000000002"/>
    <n v="1135.43"/>
    <x v="1"/>
  </r>
  <r>
    <x v="1"/>
    <x v="3"/>
    <x v="4"/>
    <n v="13527"/>
    <n v="361"/>
    <n v="58357.05"/>
    <n v="11785.43"/>
    <x v="2"/>
  </r>
  <r>
    <x v="1"/>
    <x v="3"/>
    <x v="4"/>
    <n v="13618"/>
    <n v="3"/>
    <n v="1338.52"/>
    <n v="567.39"/>
    <x v="1"/>
  </r>
  <r>
    <x v="1"/>
    <x v="3"/>
    <x v="4"/>
    <n v="16024"/>
    <n v="202"/>
    <n v="95163.66"/>
    <n v="31185.360000000001"/>
    <x v="3"/>
  </r>
  <r>
    <x v="1"/>
    <x v="3"/>
    <x v="4"/>
    <n v="16650"/>
    <n v="22"/>
    <n v="2938.03"/>
    <n v="1616.02"/>
    <x v="0"/>
  </r>
  <r>
    <x v="1"/>
    <x v="3"/>
    <x v="4"/>
    <n v="17892"/>
    <n v="45"/>
    <n v="6629.04"/>
    <n v="1379.85"/>
    <x v="4"/>
  </r>
  <r>
    <x v="1"/>
    <x v="3"/>
    <x v="4"/>
    <n v="18342"/>
    <n v="30"/>
    <n v="25647.95"/>
    <n v="8884.16"/>
    <x v="3"/>
  </r>
  <r>
    <x v="1"/>
    <x v="3"/>
    <x v="4"/>
    <n v="20177"/>
    <n v="18"/>
    <n v="1737.12"/>
    <n v="768.4"/>
    <x v="5"/>
  </r>
  <r>
    <x v="1"/>
    <x v="3"/>
    <x v="4"/>
    <n v="21179"/>
    <n v="38"/>
    <n v="4496.45"/>
    <n v="2244.27"/>
    <x v="0"/>
  </r>
  <r>
    <x v="1"/>
    <x v="3"/>
    <x v="4"/>
    <n v="21260"/>
    <n v="29"/>
    <n v="5482.01"/>
    <n v="1242.49"/>
    <x v="4"/>
  </r>
  <r>
    <x v="1"/>
    <x v="3"/>
    <x v="4"/>
    <n v="22317"/>
    <n v="7"/>
    <n v="657.18"/>
    <n v="285.16000000000003"/>
    <x v="5"/>
  </r>
  <r>
    <x v="1"/>
    <x v="3"/>
    <x v="4"/>
    <n v="22940"/>
    <n v="154"/>
    <n v="21070.87"/>
    <n v="6278.11"/>
    <x v="2"/>
  </r>
  <r>
    <x v="1"/>
    <x v="3"/>
    <x v="4"/>
    <n v="23178"/>
    <n v="227"/>
    <n v="41126.879999999997"/>
    <n v="11066.95"/>
    <x v="2"/>
  </r>
  <r>
    <x v="1"/>
    <x v="3"/>
    <x v="4"/>
    <n v="23600"/>
    <n v="299"/>
    <n v="33435.980000000003"/>
    <n v="10398.9"/>
    <x v="2"/>
  </r>
  <r>
    <x v="1"/>
    <x v="3"/>
    <x v="4"/>
    <n v="23756"/>
    <n v="65"/>
    <n v="10157.73"/>
    <n v="4977.18"/>
    <x v="1"/>
  </r>
  <r>
    <x v="1"/>
    <x v="3"/>
    <x v="4"/>
    <n v="24326"/>
    <n v="42"/>
    <n v="6357.52"/>
    <n v="1614.12"/>
    <x v="4"/>
  </r>
  <r>
    <x v="2"/>
    <x v="3"/>
    <x v="4"/>
    <n v="12184"/>
    <n v="90"/>
    <n v="11365.02"/>
    <n v="7978.16"/>
    <x v="0"/>
  </r>
  <r>
    <x v="2"/>
    <x v="3"/>
    <x v="4"/>
    <n v="12622"/>
    <n v="59"/>
    <n v="13607.53"/>
    <n v="7103.57"/>
    <x v="1"/>
  </r>
  <r>
    <x v="2"/>
    <x v="3"/>
    <x v="4"/>
    <n v="13527"/>
    <n v="247"/>
    <n v="39512.43"/>
    <n v="9227.44"/>
    <x v="2"/>
  </r>
  <r>
    <x v="2"/>
    <x v="3"/>
    <x v="4"/>
    <n v="13618"/>
    <n v="19"/>
    <n v="9053.42"/>
    <n v="5143.5200000000004"/>
    <x v="1"/>
  </r>
  <r>
    <x v="2"/>
    <x v="3"/>
    <x v="4"/>
    <n v="16024"/>
    <n v="347"/>
    <n v="163847.54"/>
    <n v="50635.61"/>
    <x v="3"/>
  </r>
  <r>
    <x v="2"/>
    <x v="3"/>
    <x v="4"/>
    <n v="16650"/>
    <n v="34"/>
    <n v="6576.37"/>
    <n v="5095.8900000000003"/>
    <x v="0"/>
  </r>
  <r>
    <x v="2"/>
    <x v="3"/>
    <x v="4"/>
    <n v="17892"/>
    <n v="93"/>
    <n v="14026.53"/>
    <n v="4137.47"/>
    <x v="4"/>
  </r>
  <r>
    <x v="2"/>
    <x v="3"/>
    <x v="4"/>
    <n v="18342"/>
    <n v="147"/>
    <n v="117921.81"/>
    <n v="29462.18"/>
    <x v="3"/>
  </r>
  <r>
    <x v="2"/>
    <x v="3"/>
    <x v="4"/>
    <n v="20177"/>
    <n v="42"/>
    <n v="4206.3"/>
    <n v="2037.72"/>
    <x v="5"/>
  </r>
  <r>
    <x v="2"/>
    <x v="3"/>
    <x v="4"/>
    <n v="21179"/>
    <n v="50"/>
    <n v="7148.55"/>
    <n v="5352.91"/>
    <x v="0"/>
  </r>
  <r>
    <x v="2"/>
    <x v="3"/>
    <x v="4"/>
    <n v="21260"/>
    <n v="66"/>
    <n v="13788.3"/>
    <n v="3695.62"/>
    <x v="4"/>
  </r>
  <r>
    <x v="2"/>
    <x v="3"/>
    <x v="4"/>
    <n v="22317"/>
    <n v="37"/>
    <n v="3646.31"/>
    <n v="1676.29"/>
    <x v="5"/>
  </r>
  <r>
    <x v="2"/>
    <x v="3"/>
    <x v="4"/>
    <n v="22940"/>
    <n v="267"/>
    <n v="35379.339999999997"/>
    <n v="8837.5400000000009"/>
    <x v="2"/>
  </r>
  <r>
    <x v="2"/>
    <x v="3"/>
    <x v="4"/>
    <n v="23178"/>
    <n v="213"/>
    <n v="38351.589999999997"/>
    <n v="10957.55"/>
    <x v="2"/>
  </r>
  <r>
    <x v="2"/>
    <x v="3"/>
    <x v="4"/>
    <n v="23600"/>
    <n v="481"/>
    <n v="53237.9"/>
    <n v="16899.63"/>
    <x v="2"/>
  </r>
  <r>
    <x v="2"/>
    <x v="3"/>
    <x v="4"/>
    <n v="23756"/>
    <n v="120"/>
    <n v="23460.53"/>
    <n v="11535.88"/>
    <x v="1"/>
  </r>
  <r>
    <x v="2"/>
    <x v="3"/>
    <x v="4"/>
    <n v="24326"/>
    <n v="88"/>
    <n v="11217.7"/>
    <n v="3806.54"/>
    <x v="4"/>
  </r>
  <r>
    <x v="3"/>
    <x v="3"/>
    <x v="4"/>
    <n v="12184"/>
    <n v="63"/>
    <n v="8169.73"/>
    <n v="4227.3100000000004"/>
    <x v="0"/>
  </r>
  <r>
    <x v="3"/>
    <x v="3"/>
    <x v="4"/>
    <n v="12622"/>
    <n v="56"/>
    <n v="16355.71"/>
    <n v="7228.57"/>
    <x v="1"/>
  </r>
  <r>
    <x v="3"/>
    <x v="3"/>
    <x v="4"/>
    <n v="13527"/>
    <n v="258"/>
    <n v="43600.5"/>
    <n v="8447.09"/>
    <x v="2"/>
  </r>
  <r>
    <x v="3"/>
    <x v="3"/>
    <x v="4"/>
    <n v="13618"/>
    <n v="13"/>
    <n v="5164.43"/>
    <n v="2321.9699999999998"/>
    <x v="1"/>
  </r>
  <r>
    <x v="3"/>
    <x v="3"/>
    <x v="4"/>
    <n v="16024"/>
    <n v="109"/>
    <n v="42804.7"/>
    <n v="11498.67"/>
    <x v="3"/>
  </r>
  <r>
    <x v="3"/>
    <x v="3"/>
    <x v="4"/>
    <n v="16650"/>
    <n v="39"/>
    <n v="6756.94"/>
    <n v="4393.99"/>
    <x v="0"/>
  </r>
  <r>
    <x v="3"/>
    <x v="3"/>
    <x v="4"/>
    <n v="17892"/>
    <n v="88"/>
    <n v="12967.06"/>
    <n v="3470.29"/>
    <x v="4"/>
  </r>
  <r>
    <x v="3"/>
    <x v="3"/>
    <x v="4"/>
    <n v="18342"/>
    <n v="189"/>
    <n v="160573.82999999999"/>
    <n v="45813.06"/>
    <x v="3"/>
  </r>
  <r>
    <x v="3"/>
    <x v="3"/>
    <x v="4"/>
    <n v="20177"/>
    <n v="85"/>
    <n v="9442.24"/>
    <n v="3904.88"/>
    <x v="5"/>
  </r>
  <r>
    <x v="3"/>
    <x v="3"/>
    <x v="4"/>
    <n v="21179"/>
    <n v="40"/>
    <n v="4011.47"/>
    <n v="2578.0300000000002"/>
    <x v="0"/>
  </r>
  <r>
    <x v="3"/>
    <x v="3"/>
    <x v="4"/>
    <n v="21260"/>
    <n v="65"/>
    <n v="11391.3"/>
    <n v="2871.82"/>
    <x v="4"/>
  </r>
  <r>
    <x v="3"/>
    <x v="3"/>
    <x v="4"/>
    <n v="22317"/>
    <n v="34"/>
    <n v="2692.58"/>
    <n v="933.1"/>
    <x v="5"/>
  </r>
  <r>
    <x v="3"/>
    <x v="3"/>
    <x v="4"/>
    <n v="22940"/>
    <n v="260"/>
    <n v="31147.69"/>
    <n v="6664.68"/>
    <x v="2"/>
  </r>
  <r>
    <x v="3"/>
    <x v="3"/>
    <x v="4"/>
    <n v="23178"/>
    <n v="313"/>
    <n v="51920.12"/>
    <n v="9543.08"/>
    <x v="2"/>
  </r>
  <r>
    <x v="3"/>
    <x v="3"/>
    <x v="4"/>
    <n v="23600"/>
    <n v="861"/>
    <n v="91289.31"/>
    <n v="23942.29"/>
    <x v="2"/>
  </r>
  <r>
    <x v="3"/>
    <x v="3"/>
    <x v="4"/>
    <n v="23756"/>
    <n v="64"/>
    <n v="12532.06"/>
    <n v="5610.73"/>
    <x v="1"/>
  </r>
  <r>
    <x v="3"/>
    <x v="3"/>
    <x v="4"/>
    <n v="24326"/>
    <n v="74"/>
    <n v="9215.36"/>
    <n v="2365.41"/>
    <x v="4"/>
  </r>
  <r>
    <x v="0"/>
    <x v="3"/>
    <x v="5"/>
    <n v="12184"/>
    <n v="105"/>
    <n v="13673.27"/>
    <n v="7101.77"/>
    <x v="0"/>
  </r>
  <r>
    <x v="0"/>
    <x v="3"/>
    <x v="5"/>
    <n v="12622"/>
    <n v="30"/>
    <n v="8918.0300000000007"/>
    <n v="4059.29"/>
    <x v="1"/>
  </r>
  <r>
    <x v="0"/>
    <x v="3"/>
    <x v="5"/>
    <n v="13527"/>
    <n v="506"/>
    <n v="80869.86"/>
    <n v="14927.44"/>
    <x v="2"/>
  </r>
  <r>
    <x v="0"/>
    <x v="3"/>
    <x v="5"/>
    <n v="13618"/>
    <n v="30"/>
    <n v="11203.33"/>
    <n v="5955.83"/>
    <x v="1"/>
  </r>
  <r>
    <x v="0"/>
    <x v="3"/>
    <x v="5"/>
    <n v="16024"/>
    <n v="296"/>
    <n v="126945.95"/>
    <n v="34743.21"/>
    <x v="3"/>
  </r>
  <r>
    <x v="0"/>
    <x v="3"/>
    <x v="5"/>
    <n v="16650"/>
    <n v="60"/>
    <n v="7639.55"/>
    <n v="3118.85"/>
    <x v="0"/>
  </r>
  <r>
    <x v="0"/>
    <x v="3"/>
    <x v="5"/>
    <n v="17892"/>
    <n v="105"/>
    <n v="13748.74"/>
    <n v="4112.99"/>
    <x v="4"/>
  </r>
  <r>
    <x v="0"/>
    <x v="3"/>
    <x v="5"/>
    <n v="18342"/>
    <n v="230"/>
    <n v="195285.8"/>
    <n v="63429.760000000002"/>
    <x v="3"/>
  </r>
  <r>
    <x v="0"/>
    <x v="3"/>
    <x v="5"/>
    <n v="20177"/>
    <n v="83"/>
    <n v="8522.17"/>
    <n v="3483.24"/>
    <x v="5"/>
  </r>
  <r>
    <x v="0"/>
    <x v="3"/>
    <x v="5"/>
    <n v="21179"/>
    <n v="29"/>
    <n v="3511.63"/>
    <n v="1695.42"/>
    <x v="0"/>
  </r>
  <r>
    <x v="0"/>
    <x v="3"/>
    <x v="5"/>
    <n v="21260"/>
    <n v="78"/>
    <n v="16281.61"/>
    <n v="4056.53"/>
    <x v="4"/>
  </r>
  <r>
    <x v="0"/>
    <x v="3"/>
    <x v="5"/>
    <n v="22317"/>
    <n v="59"/>
    <n v="5763.19"/>
    <n v="1896.66"/>
    <x v="5"/>
  </r>
  <r>
    <x v="0"/>
    <x v="3"/>
    <x v="5"/>
    <n v="22940"/>
    <n v="892"/>
    <n v="111517.18"/>
    <n v="17955.240000000002"/>
    <x v="2"/>
  </r>
  <r>
    <x v="0"/>
    <x v="3"/>
    <x v="5"/>
    <n v="23178"/>
    <n v="325"/>
    <n v="52367.7"/>
    <n v="10296.77"/>
    <x v="2"/>
  </r>
  <r>
    <x v="0"/>
    <x v="3"/>
    <x v="5"/>
    <n v="23600"/>
    <n v="903"/>
    <n v="104500.84"/>
    <n v="22301.89"/>
    <x v="2"/>
  </r>
  <r>
    <x v="0"/>
    <x v="3"/>
    <x v="5"/>
    <n v="23756"/>
    <n v="72"/>
    <n v="11431.88"/>
    <n v="5961.43"/>
    <x v="1"/>
  </r>
  <r>
    <x v="0"/>
    <x v="3"/>
    <x v="5"/>
    <n v="24326"/>
    <n v="206"/>
    <n v="30124.47"/>
    <n v="9645.5"/>
    <x v="4"/>
  </r>
  <r>
    <x v="1"/>
    <x v="3"/>
    <x v="5"/>
    <n v="12184"/>
    <n v="27"/>
    <n v="3181"/>
    <n v="1493.64"/>
    <x v="0"/>
  </r>
  <r>
    <x v="1"/>
    <x v="3"/>
    <x v="5"/>
    <n v="12622"/>
    <n v="15"/>
    <n v="3745.74"/>
    <n v="1414.96"/>
    <x v="1"/>
  </r>
  <r>
    <x v="1"/>
    <x v="3"/>
    <x v="5"/>
    <n v="13527"/>
    <n v="335"/>
    <n v="52191.040000000001"/>
    <n v="10558.61"/>
    <x v="2"/>
  </r>
  <r>
    <x v="1"/>
    <x v="3"/>
    <x v="5"/>
    <n v="13618"/>
    <n v="8"/>
    <n v="2768.99"/>
    <n v="1141.77"/>
    <x v="1"/>
  </r>
  <r>
    <x v="1"/>
    <x v="3"/>
    <x v="5"/>
    <n v="16024"/>
    <n v="204"/>
    <n v="91676.91"/>
    <n v="27715.5"/>
    <x v="3"/>
  </r>
  <r>
    <x v="1"/>
    <x v="3"/>
    <x v="5"/>
    <n v="16650"/>
    <n v="35"/>
    <n v="5724.39"/>
    <n v="3926.69"/>
    <x v="0"/>
  </r>
  <r>
    <x v="1"/>
    <x v="3"/>
    <x v="5"/>
    <n v="17892"/>
    <n v="104"/>
    <n v="15447.6"/>
    <n v="3245.07"/>
    <x v="4"/>
  </r>
  <r>
    <x v="1"/>
    <x v="3"/>
    <x v="5"/>
    <n v="18342"/>
    <n v="30"/>
    <n v="23991.48"/>
    <n v="7062.11"/>
    <x v="3"/>
  </r>
  <r>
    <x v="1"/>
    <x v="3"/>
    <x v="5"/>
    <n v="20177"/>
    <n v="28"/>
    <n v="2904.88"/>
    <n v="1171.44"/>
    <x v="5"/>
  </r>
  <r>
    <x v="1"/>
    <x v="3"/>
    <x v="5"/>
    <n v="21179"/>
    <n v="28"/>
    <n v="3385.84"/>
    <n v="2025.3"/>
    <x v="0"/>
  </r>
  <r>
    <x v="1"/>
    <x v="3"/>
    <x v="5"/>
    <n v="21260"/>
    <n v="39"/>
    <n v="7676.24"/>
    <n v="1901.77"/>
    <x v="4"/>
  </r>
  <r>
    <x v="1"/>
    <x v="3"/>
    <x v="5"/>
    <n v="22317"/>
    <n v="18"/>
    <n v="1365.4"/>
    <n v="643.41"/>
    <x v="5"/>
  </r>
  <r>
    <x v="1"/>
    <x v="3"/>
    <x v="5"/>
    <n v="22940"/>
    <n v="198"/>
    <n v="28730.17"/>
    <n v="8485.5400000000009"/>
    <x v="2"/>
  </r>
  <r>
    <x v="1"/>
    <x v="3"/>
    <x v="5"/>
    <n v="23178"/>
    <n v="278"/>
    <n v="51616.18"/>
    <n v="12552.86"/>
    <x v="2"/>
  </r>
  <r>
    <x v="1"/>
    <x v="3"/>
    <x v="5"/>
    <n v="23600"/>
    <n v="584"/>
    <n v="66830.460000000006"/>
    <n v="18478.419999999998"/>
    <x v="2"/>
  </r>
  <r>
    <x v="1"/>
    <x v="3"/>
    <x v="5"/>
    <n v="23756"/>
    <n v="50"/>
    <n v="8217.2199999999993"/>
    <n v="3613.82"/>
    <x v="1"/>
  </r>
  <r>
    <x v="1"/>
    <x v="3"/>
    <x v="5"/>
    <n v="24326"/>
    <n v="27"/>
    <n v="3597.51"/>
    <n v="1177.3399999999999"/>
    <x v="4"/>
  </r>
  <r>
    <x v="2"/>
    <x v="3"/>
    <x v="5"/>
    <n v="12184"/>
    <n v="113"/>
    <n v="13111.04"/>
    <n v="8979.7900000000009"/>
    <x v="0"/>
  </r>
  <r>
    <x v="2"/>
    <x v="3"/>
    <x v="5"/>
    <n v="12622"/>
    <n v="23"/>
    <n v="7665"/>
    <n v="4244.6400000000003"/>
    <x v="1"/>
  </r>
  <r>
    <x v="2"/>
    <x v="3"/>
    <x v="5"/>
    <n v="13527"/>
    <n v="477"/>
    <n v="80276.28"/>
    <n v="17655.23"/>
    <x v="2"/>
  </r>
  <r>
    <x v="2"/>
    <x v="3"/>
    <x v="5"/>
    <n v="13618"/>
    <n v="20"/>
    <n v="8047.58"/>
    <n v="4687.3100000000004"/>
    <x v="1"/>
  </r>
  <r>
    <x v="2"/>
    <x v="3"/>
    <x v="5"/>
    <n v="16024"/>
    <n v="273"/>
    <n v="105055.03"/>
    <n v="28051.81"/>
    <x v="3"/>
  </r>
  <r>
    <x v="2"/>
    <x v="3"/>
    <x v="5"/>
    <n v="16650"/>
    <n v="44"/>
    <n v="5662.07"/>
    <n v="3515.83"/>
    <x v="0"/>
  </r>
  <r>
    <x v="2"/>
    <x v="3"/>
    <x v="5"/>
    <n v="17892"/>
    <n v="74"/>
    <n v="9957.9500000000007"/>
    <n v="2607.9"/>
    <x v="4"/>
  </r>
  <r>
    <x v="2"/>
    <x v="3"/>
    <x v="5"/>
    <n v="18342"/>
    <n v="90"/>
    <n v="78861.55"/>
    <n v="24748.73"/>
    <x v="3"/>
  </r>
  <r>
    <x v="2"/>
    <x v="3"/>
    <x v="5"/>
    <n v="20177"/>
    <n v="61"/>
    <n v="5906.37"/>
    <n v="2870.8"/>
    <x v="5"/>
  </r>
  <r>
    <x v="2"/>
    <x v="3"/>
    <x v="5"/>
    <n v="21179"/>
    <n v="43"/>
    <n v="6710.98"/>
    <n v="3872.02"/>
    <x v="0"/>
  </r>
  <r>
    <x v="2"/>
    <x v="3"/>
    <x v="5"/>
    <n v="21260"/>
    <n v="64"/>
    <n v="13795.76"/>
    <n v="4588.88"/>
    <x v="4"/>
  </r>
  <r>
    <x v="2"/>
    <x v="3"/>
    <x v="5"/>
    <n v="22317"/>
    <n v="34"/>
    <n v="2743.06"/>
    <n v="1357.31"/>
    <x v="5"/>
  </r>
  <r>
    <x v="2"/>
    <x v="3"/>
    <x v="5"/>
    <n v="22940"/>
    <n v="717"/>
    <n v="101934.61"/>
    <n v="25502.81"/>
    <x v="2"/>
  </r>
  <r>
    <x v="2"/>
    <x v="3"/>
    <x v="5"/>
    <n v="23178"/>
    <n v="128"/>
    <n v="24203.11"/>
    <n v="6037.57"/>
    <x v="2"/>
  </r>
  <r>
    <x v="2"/>
    <x v="3"/>
    <x v="5"/>
    <n v="23600"/>
    <n v="429"/>
    <n v="53845.48"/>
    <n v="14302.89"/>
    <x v="2"/>
  </r>
  <r>
    <x v="2"/>
    <x v="3"/>
    <x v="5"/>
    <n v="23756"/>
    <n v="118"/>
    <n v="24373.54"/>
    <n v="13788.89"/>
    <x v="1"/>
  </r>
  <r>
    <x v="2"/>
    <x v="3"/>
    <x v="5"/>
    <n v="24326"/>
    <n v="77"/>
    <n v="11078.6"/>
    <n v="3750.19"/>
    <x v="4"/>
  </r>
  <r>
    <x v="3"/>
    <x v="3"/>
    <x v="5"/>
    <n v="12184"/>
    <n v="58"/>
    <n v="6215.29"/>
    <n v="3384.13"/>
    <x v="0"/>
  </r>
  <r>
    <x v="3"/>
    <x v="3"/>
    <x v="5"/>
    <n v="12622"/>
    <n v="34"/>
    <n v="9762.08"/>
    <n v="4671.22"/>
    <x v="1"/>
  </r>
  <r>
    <x v="3"/>
    <x v="3"/>
    <x v="5"/>
    <n v="13527"/>
    <n v="625"/>
    <n v="100262.77"/>
    <n v="19107.16"/>
    <x v="2"/>
  </r>
  <r>
    <x v="3"/>
    <x v="3"/>
    <x v="5"/>
    <n v="13618"/>
    <n v="8"/>
    <n v="2793.04"/>
    <n v="1234.54"/>
    <x v="1"/>
  </r>
  <r>
    <x v="3"/>
    <x v="3"/>
    <x v="5"/>
    <n v="16024"/>
    <n v="218"/>
    <n v="90819.27"/>
    <n v="24126.17"/>
    <x v="3"/>
  </r>
  <r>
    <x v="3"/>
    <x v="3"/>
    <x v="5"/>
    <n v="16650"/>
    <n v="25"/>
    <n v="3165.56"/>
    <n v="1934"/>
    <x v="0"/>
  </r>
  <r>
    <x v="3"/>
    <x v="3"/>
    <x v="5"/>
    <n v="17892"/>
    <n v="77"/>
    <n v="10705"/>
    <n v="2761.83"/>
    <x v="4"/>
  </r>
  <r>
    <x v="3"/>
    <x v="3"/>
    <x v="5"/>
    <n v="18342"/>
    <n v="162"/>
    <n v="129363.66"/>
    <n v="35581.79"/>
    <x v="3"/>
  </r>
  <r>
    <x v="3"/>
    <x v="3"/>
    <x v="5"/>
    <n v="20177"/>
    <n v="53"/>
    <n v="4894.13"/>
    <n v="1775.71"/>
    <x v="5"/>
  </r>
  <r>
    <x v="3"/>
    <x v="3"/>
    <x v="5"/>
    <n v="21179"/>
    <n v="38"/>
    <n v="5404.39"/>
    <n v="2664.33"/>
    <x v="0"/>
  </r>
  <r>
    <x v="3"/>
    <x v="3"/>
    <x v="5"/>
    <n v="21260"/>
    <n v="81"/>
    <n v="13866.29"/>
    <n v="3004.09"/>
    <x v="4"/>
  </r>
  <r>
    <x v="3"/>
    <x v="3"/>
    <x v="5"/>
    <n v="22317"/>
    <n v="48"/>
    <n v="3930.27"/>
    <n v="1352.7"/>
    <x v="5"/>
  </r>
  <r>
    <x v="3"/>
    <x v="3"/>
    <x v="5"/>
    <n v="22940"/>
    <n v="670"/>
    <n v="83817.37"/>
    <n v="18168.48"/>
    <x v="2"/>
  </r>
  <r>
    <x v="3"/>
    <x v="3"/>
    <x v="5"/>
    <n v="23178"/>
    <n v="138"/>
    <n v="24819.9"/>
    <n v="4395.07"/>
    <x v="2"/>
  </r>
  <r>
    <x v="3"/>
    <x v="3"/>
    <x v="5"/>
    <n v="23600"/>
    <n v="866"/>
    <n v="86577.79"/>
    <n v="18208.32"/>
    <x v="2"/>
  </r>
  <r>
    <x v="3"/>
    <x v="3"/>
    <x v="5"/>
    <n v="23756"/>
    <n v="98"/>
    <n v="20734.439999999999"/>
    <n v="8301.39"/>
    <x v="1"/>
  </r>
  <r>
    <x v="3"/>
    <x v="3"/>
    <x v="5"/>
    <n v="24326"/>
    <n v="88"/>
    <n v="11600.02"/>
    <n v="3142.17"/>
    <x v="4"/>
  </r>
  <r>
    <x v="0"/>
    <x v="3"/>
    <x v="6"/>
    <n v="12184"/>
    <n v="52"/>
    <n v="6199.24"/>
    <n v="2786.73"/>
    <x v="0"/>
  </r>
  <r>
    <x v="0"/>
    <x v="3"/>
    <x v="6"/>
    <n v="12622"/>
    <n v="41"/>
    <n v="10224.549999999999"/>
    <n v="4647.83"/>
    <x v="1"/>
  </r>
  <r>
    <x v="0"/>
    <x v="3"/>
    <x v="6"/>
    <n v="13527"/>
    <n v="473"/>
    <n v="80793.08"/>
    <n v="16765.939999999999"/>
    <x v="2"/>
  </r>
  <r>
    <x v="0"/>
    <x v="3"/>
    <x v="6"/>
    <n v="13618"/>
    <n v="28"/>
    <n v="12517.64"/>
    <n v="5413.16"/>
    <x v="1"/>
  </r>
  <r>
    <x v="0"/>
    <x v="3"/>
    <x v="6"/>
    <n v="16024"/>
    <n v="254"/>
    <n v="102862.6"/>
    <n v="29822.6"/>
    <x v="3"/>
  </r>
  <r>
    <x v="0"/>
    <x v="3"/>
    <x v="6"/>
    <n v="16650"/>
    <n v="79"/>
    <n v="12824.77"/>
    <n v="6986.33"/>
    <x v="0"/>
  </r>
  <r>
    <x v="0"/>
    <x v="3"/>
    <x v="6"/>
    <n v="17892"/>
    <n v="131"/>
    <n v="19407.52"/>
    <n v="5280.52"/>
    <x v="4"/>
  </r>
  <r>
    <x v="0"/>
    <x v="3"/>
    <x v="6"/>
    <n v="18342"/>
    <n v="212"/>
    <n v="177616.58"/>
    <n v="53138.54"/>
    <x v="3"/>
  </r>
  <r>
    <x v="0"/>
    <x v="3"/>
    <x v="6"/>
    <n v="20177"/>
    <n v="138"/>
    <n v="15619.63"/>
    <n v="5215.2700000000004"/>
    <x v="5"/>
  </r>
  <r>
    <x v="0"/>
    <x v="3"/>
    <x v="6"/>
    <n v="21179"/>
    <n v="37"/>
    <n v="3671.56"/>
    <n v="1499.01"/>
    <x v="0"/>
  </r>
  <r>
    <x v="0"/>
    <x v="3"/>
    <x v="6"/>
    <n v="21260"/>
    <n v="93"/>
    <n v="16813.21"/>
    <n v="4411.58"/>
    <x v="4"/>
  </r>
  <r>
    <x v="0"/>
    <x v="3"/>
    <x v="6"/>
    <n v="22317"/>
    <n v="50"/>
    <n v="4348.82"/>
    <n v="1521.26"/>
    <x v="5"/>
  </r>
  <r>
    <x v="0"/>
    <x v="3"/>
    <x v="6"/>
    <n v="22940"/>
    <n v="573"/>
    <n v="72944.100000000006"/>
    <n v="12535.47"/>
    <x v="2"/>
  </r>
  <r>
    <x v="0"/>
    <x v="3"/>
    <x v="6"/>
    <n v="23178"/>
    <n v="366"/>
    <n v="67037.62"/>
    <n v="12677.9"/>
    <x v="2"/>
  </r>
  <r>
    <x v="0"/>
    <x v="3"/>
    <x v="6"/>
    <n v="23600"/>
    <n v="538"/>
    <n v="54465.04"/>
    <n v="14058.8"/>
    <x v="2"/>
  </r>
  <r>
    <x v="0"/>
    <x v="3"/>
    <x v="6"/>
    <n v="23756"/>
    <n v="114"/>
    <n v="17594.349999999999"/>
    <n v="8944.3799999999992"/>
    <x v="1"/>
  </r>
  <r>
    <x v="0"/>
    <x v="3"/>
    <x v="6"/>
    <n v="24326"/>
    <n v="123"/>
    <n v="17042.86"/>
    <n v="4342.7299999999996"/>
    <x v="4"/>
  </r>
  <r>
    <x v="1"/>
    <x v="3"/>
    <x v="6"/>
    <n v="12184"/>
    <n v="26"/>
    <n v="3463.15"/>
    <n v="1988.8"/>
    <x v="0"/>
  </r>
  <r>
    <x v="1"/>
    <x v="3"/>
    <x v="6"/>
    <n v="12622"/>
    <n v="14"/>
    <n v="3526.51"/>
    <n v="1418.91"/>
    <x v="1"/>
  </r>
  <r>
    <x v="1"/>
    <x v="3"/>
    <x v="6"/>
    <n v="13527"/>
    <n v="192"/>
    <n v="28228.89"/>
    <n v="5121.47"/>
    <x v="2"/>
  </r>
  <r>
    <x v="1"/>
    <x v="3"/>
    <x v="6"/>
    <n v="13618"/>
    <n v="6"/>
    <n v="2285.5100000000002"/>
    <n v="1122.1300000000001"/>
    <x v="1"/>
  </r>
  <r>
    <x v="1"/>
    <x v="3"/>
    <x v="6"/>
    <n v="16024"/>
    <n v="203"/>
    <n v="94042.03"/>
    <n v="27074.11"/>
    <x v="3"/>
  </r>
  <r>
    <x v="1"/>
    <x v="3"/>
    <x v="6"/>
    <n v="16650"/>
    <n v="25"/>
    <n v="4798.46"/>
    <n v="3108.59"/>
    <x v="0"/>
  </r>
  <r>
    <x v="1"/>
    <x v="3"/>
    <x v="6"/>
    <n v="17892"/>
    <n v="86"/>
    <n v="11346.54"/>
    <n v="2922.09"/>
    <x v="4"/>
  </r>
  <r>
    <x v="1"/>
    <x v="3"/>
    <x v="6"/>
    <n v="18342"/>
    <n v="30"/>
    <n v="23717.43"/>
    <n v="6806.6"/>
    <x v="3"/>
  </r>
  <r>
    <x v="1"/>
    <x v="3"/>
    <x v="6"/>
    <n v="20177"/>
    <n v="15"/>
    <n v="1536.38"/>
    <n v="582.70000000000005"/>
    <x v="5"/>
  </r>
  <r>
    <x v="1"/>
    <x v="3"/>
    <x v="6"/>
    <n v="21179"/>
    <n v="22"/>
    <n v="2483.06"/>
    <n v="1575.8"/>
    <x v="0"/>
  </r>
  <r>
    <x v="1"/>
    <x v="3"/>
    <x v="6"/>
    <n v="21260"/>
    <n v="53"/>
    <n v="10769.03"/>
    <n v="2979.64"/>
    <x v="4"/>
  </r>
  <r>
    <x v="1"/>
    <x v="3"/>
    <x v="6"/>
    <n v="22317"/>
    <n v="12"/>
    <n v="1272.9000000000001"/>
    <n v="548.77"/>
    <x v="5"/>
  </r>
  <r>
    <x v="1"/>
    <x v="3"/>
    <x v="6"/>
    <n v="22940"/>
    <n v="218"/>
    <n v="27475.99"/>
    <n v="8201.26"/>
    <x v="2"/>
  </r>
  <r>
    <x v="1"/>
    <x v="3"/>
    <x v="6"/>
    <n v="23178"/>
    <n v="117"/>
    <n v="22923.27"/>
    <n v="5402.68"/>
    <x v="2"/>
  </r>
  <r>
    <x v="1"/>
    <x v="3"/>
    <x v="6"/>
    <n v="23600"/>
    <n v="567"/>
    <n v="68402.740000000005"/>
    <n v="17021.919999999998"/>
    <x v="2"/>
  </r>
  <r>
    <x v="1"/>
    <x v="3"/>
    <x v="6"/>
    <n v="23756"/>
    <n v="47"/>
    <n v="8605.5300000000007"/>
    <n v="3889"/>
    <x v="1"/>
  </r>
  <r>
    <x v="1"/>
    <x v="3"/>
    <x v="6"/>
    <n v="24326"/>
    <n v="19"/>
    <n v="2665.18"/>
    <n v="727.82"/>
    <x v="4"/>
  </r>
  <r>
    <x v="2"/>
    <x v="3"/>
    <x v="6"/>
    <n v="12184"/>
    <n v="65"/>
    <n v="7680.08"/>
    <n v="4649.8999999999996"/>
    <x v="0"/>
  </r>
  <r>
    <x v="2"/>
    <x v="3"/>
    <x v="6"/>
    <n v="12622"/>
    <n v="49"/>
    <n v="12825.13"/>
    <n v="7503.66"/>
    <x v="1"/>
  </r>
  <r>
    <x v="2"/>
    <x v="3"/>
    <x v="6"/>
    <n v="13527"/>
    <n v="345"/>
    <n v="62572.57"/>
    <n v="15967.27"/>
    <x v="2"/>
  </r>
  <r>
    <x v="2"/>
    <x v="3"/>
    <x v="6"/>
    <n v="13618"/>
    <n v="18"/>
    <n v="6839.4"/>
    <n v="4114.01"/>
    <x v="1"/>
  </r>
  <r>
    <x v="2"/>
    <x v="3"/>
    <x v="6"/>
    <n v="16024"/>
    <n v="326"/>
    <n v="149521.41"/>
    <n v="46726.879999999997"/>
    <x v="3"/>
  </r>
  <r>
    <x v="2"/>
    <x v="3"/>
    <x v="6"/>
    <n v="16650"/>
    <n v="37"/>
    <n v="6896.72"/>
    <n v="5409.38"/>
    <x v="0"/>
  </r>
  <r>
    <x v="2"/>
    <x v="3"/>
    <x v="6"/>
    <n v="17892"/>
    <n v="67"/>
    <n v="9309"/>
    <n v="2801.04"/>
    <x v="4"/>
  </r>
  <r>
    <x v="2"/>
    <x v="3"/>
    <x v="6"/>
    <n v="18342"/>
    <n v="148"/>
    <n v="119731.78"/>
    <n v="40798.300000000003"/>
    <x v="3"/>
  </r>
  <r>
    <x v="2"/>
    <x v="3"/>
    <x v="6"/>
    <n v="20177"/>
    <n v="53"/>
    <n v="5234.8599999999997"/>
    <n v="2268.12"/>
    <x v="5"/>
  </r>
  <r>
    <x v="2"/>
    <x v="3"/>
    <x v="6"/>
    <n v="21179"/>
    <n v="39"/>
    <n v="5314.24"/>
    <n v="4007.71"/>
    <x v="0"/>
  </r>
  <r>
    <x v="2"/>
    <x v="3"/>
    <x v="6"/>
    <n v="21260"/>
    <n v="57"/>
    <n v="11971.25"/>
    <n v="4035.82"/>
    <x v="4"/>
  </r>
  <r>
    <x v="2"/>
    <x v="3"/>
    <x v="6"/>
    <n v="22317"/>
    <n v="25"/>
    <n v="2389.09"/>
    <n v="1173.82"/>
    <x v="5"/>
  </r>
  <r>
    <x v="2"/>
    <x v="3"/>
    <x v="6"/>
    <n v="22940"/>
    <n v="483"/>
    <n v="68547.929999999993"/>
    <n v="18809.18"/>
    <x v="2"/>
  </r>
  <r>
    <x v="2"/>
    <x v="3"/>
    <x v="6"/>
    <n v="23178"/>
    <n v="115"/>
    <n v="21208.55"/>
    <n v="4719.62"/>
    <x v="2"/>
  </r>
  <r>
    <x v="2"/>
    <x v="3"/>
    <x v="6"/>
    <n v="23600"/>
    <n v="846"/>
    <n v="101763.23"/>
    <n v="25474.47"/>
    <x v="2"/>
  </r>
  <r>
    <x v="2"/>
    <x v="3"/>
    <x v="6"/>
    <n v="23756"/>
    <n v="116"/>
    <n v="23256.93"/>
    <n v="12620.9"/>
    <x v="1"/>
  </r>
  <r>
    <x v="2"/>
    <x v="3"/>
    <x v="6"/>
    <n v="24326"/>
    <n v="115"/>
    <n v="18310.05"/>
    <n v="6355.22"/>
    <x v="4"/>
  </r>
  <r>
    <x v="3"/>
    <x v="3"/>
    <x v="6"/>
    <n v="12184"/>
    <n v="63"/>
    <n v="8896.16"/>
    <n v="5626.64"/>
    <x v="0"/>
  </r>
  <r>
    <x v="3"/>
    <x v="3"/>
    <x v="6"/>
    <n v="12622"/>
    <n v="29"/>
    <n v="7406.53"/>
    <n v="3285.72"/>
    <x v="1"/>
  </r>
  <r>
    <x v="3"/>
    <x v="3"/>
    <x v="6"/>
    <n v="13527"/>
    <n v="540"/>
    <n v="92985.65"/>
    <n v="18480.39"/>
    <x v="2"/>
  </r>
  <r>
    <x v="3"/>
    <x v="3"/>
    <x v="6"/>
    <n v="13618"/>
    <n v="13"/>
    <n v="5339.88"/>
    <n v="2685.39"/>
    <x v="1"/>
  </r>
  <r>
    <x v="3"/>
    <x v="3"/>
    <x v="6"/>
    <n v="16024"/>
    <n v="194"/>
    <n v="85938.97"/>
    <n v="19348.03"/>
    <x v="3"/>
  </r>
  <r>
    <x v="3"/>
    <x v="3"/>
    <x v="6"/>
    <n v="16650"/>
    <n v="39"/>
    <n v="5433.67"/>
    <n v="2855.97"/>
    <x v="0"/>
  </r>
  <r>
    <x v="3"/>
    <x v="3"/>
    <x v="6"/>
    <n v="17892"/>
    <n v="55"/>
    <n v="7328.72"/>
    <n v="1642.54"/>
    <x v="4"/>
  </r>
  <r>
    <x v="3"/>
    <x v="3"/>
    <x v="6"/>
    <n v="18342"/>
    <n v="78"/>
    <n v="62287.17"/>
    <n v="15810.71"/>
    <x v="3"/>
  </r>
  <r>
    <x v="3"/>
    <x v="3"/>
    <x v="6"/>
    <n v="20177"/>
    <n v="86"/>
    <n v="9265.5400000000009"/>
    <n v="3825.2"/>
    <x v="5"/>
  </r>
  <r>
    <x v="3"/>
    <x v="3"/>
    <x v="6"/>
    <n v="21179"/>
    <n v="64"/>
    <n v="7517.38"/>
    <n v="3878.19"/>
    <x v="0"/>
  </r>
  <r>
    <x v="3"/>
    <x v="3"/>
    <x v="6"/>
    <n v="21260"/>
    <n v="63"/>
    <n v="12411.78"/>
    <n v="3116.5"/>
    <x v="4"/>
  </r>
  <r>
    <x v="3"/>
    <x v="3"/>
    <x v="6"/>
    <n v="22317"/>
    <n v="33"/>
    <n v="3086.29"/>
    <n v="1080.8699999999999"/>
    <x v="5"/>
  </r>
  <r>
    <x v="3"/>
    <x v="3"/>
    <x v="6"/>
    <n v="22940"/>
    <n v="556"/>
    <n v="67438.23"/>
    <n v="14035.76"/>
    <x v="2"/>
  </r>
  <r>
    <x v="3"/>
    <x v="3"/>
    <x v="6"/>
    <n v="23178"/>
    <n v="311"/>
    <n v="51234.03"/>
    <n v="10446.89"/>
    <x v="2"/>
  </r>
  <r>
    <x v="3"/>
    <x v="3"/>
    <x v="6"/>
    <n v="23600"/>
    <n v="1342"/>
    <n v="157332.25"/>
    <n v="38362.870000000003"/>
    <x v="2"/>
  </r>
  <r>
    <x v="3"/>
    <x v="3"/>
    <x v="6"/>
    <n v="23756"/>
    <n v="119"/>
    <n v="20904.349999999999"/>
    <n v="10610.65"/>
    <x v="1"/>
  </r>
  <r>
    <x v="3"/>
    <x v="3"/>
    <x v="6"/>
    <n v="24326"/>
    <n v="84"/>
    <n v="11387.58"/>
    <n v="2770.88"/>
    <x v="4"/>
  </r>
  <r>
    <x v="0"/>
    <x v="3"/>
    <x v="7"/>
    <n v="12184"/>
    <n v="66"/>
    <n v="8160.48"/>
    <n v="4124.53"/>
    <x v="0"/>
  </r>
  <r>
    <x v="0"/>
    <x v="3"/>
    <x v="7"/>
    <n v="12622"/>
    <n v="50"/>
    <n v="10907.97"/>
    <n v="4429.53"/>
    <x v="1"/>
  </r>
  <r>
    <x v="0"/>
    <x v="3"/>
    <x v="7"/>
    <n v="13527"/>
    <n v="483"/>
    <n v="70954.66"/>
    <n v="14799.73"/>
    <x v="2"/>
  </r>
  <r>
    <x v="0"/>
    <x v="3"/>
    <x v="7"/>
    <n v="13618"/>
    <n v="13"/>
    <n v="5215.41"/>
    <n v="2463.0100000000002"/>
    <x v="1"/>
  </r>
  <r>
    <x v="0"/>
    <x v="3"/>
    <x v="7"/>
    <n v="16024"/>
    <n v="290"/>
    <n v="126197.66"/>
    <n v="31748.22"/>
    <x v="3"/>
  </r>
  <r>
    <x v="0"/>
    <x v="3"/>
    <x v="7"/>
    <n v="16650"/>
    <n v="65"/>
    <n v="9683.39"/>
    <n v="5137.8500000000004"/>
    <x v="0"/>
  </r>
  <r>
    <x v="0"/>
    <x v="3"/>
    <x v="7"/>
    <n v="17892"/>
    <n v="91"/>
    <n v="14306.05"/>
    <n v="4676.8599999999997"/>
    <x v="4"/>
  </r>
  <r>
    <x v="0"/>
    <x v="3"/>
    <x v="7"/>
    <n v="18342"/>
    <n v="90"/>
    <n v="82385.119999999995"/>
    <n v="25423.71"/>
    <x v="3"/>
  </r>
  <r>
    <x v="0"/>
    <x v="3"/>
    <x v="7"/>
    <n v="20177"/>
    <n v="149"/>
    <n v="13554.62"/>
    <n v="5432.04"/>
    <x v="5"/>
  </r>
  <r>
    <x v="0"/>
    <x v="3"/>
    <x v="7"/>
    <n v="21179"/>
    <n v="66"/>
    <n v="6795.4"/>
    <n v="3590.16"/>
    <x v="0"/>
  </r>
  <r>
    <x v="0"/>
    <x v="3"/>
    <x v="7"/>
    <n v="21260"/>
    <n v="54"/>
    <n v="11673.44"/>
    <n v="2881.38"/>
    <x v="4"/>
  </r>
  <r>
    <x v="0"/>
    <x v="3"/>
    <x v="7"/>
    <n v="22317"/>
    <n v="49"/>
    <n v="3908.95"/>
    <n v="1543.27"/>
    <x v="5"/>
  </r>
  <r>
    <x v="0"/>
    <x v="3"/>
    <x v="7"/>
    <n v="22940"/>
    <n v="855"/>
    <n v="103753.02"/>
    <n v="20984.65"/>
    <x v="2"/>
  </r>
  <r>
    <x v="0"/>
    <x v="3"/>
    <x v="7"/>
    <n v="23178"/>
    <n v="267"/>
    <n v="47852.08"/>
    <n v="8658.19"/>
    <x v="2"/>
  </r>
  <r>
    <x v="0"/>
    <x v="3"/>
    <x v="7"/>
    <n v="23600"/>
    <n v="956"/>
    <n v="103057.14"/>
    <n v="24508.13"/>
    <x v="2"/>
  </r>
  <r>
    <x v="0"/>
    <x v="3"/>
    <x v="7"/>
    <n v="23756"/>
    <n v="106"/>
    <n v="22300.76"/>
    <n v="9804.09"/>
    <x v="1"/>
  </r>
  <r>
    <x v="0"/>
    <x v="3"/>
    <x v="7"/>
    <n v="24326"/>
    <n v="142"/>
    <n v="18670.919999999998"/>
    <n v="5628.8"/>
    <x v="4"/>
  </r>
  <r>
    <x v="1"/>
    <x v="3"/>
    <x v="7"/>
    <n v="12184"/>
    <n v="40"/>
    <n v="4413.09"/>
    <n v="2443.04"/>
    <x v="0"/>
  </r>
  <r>
    <x v="1"/>
    <x v="3"/>
    <x v="7"/>
    <n v="12622"/>
    <n v="20"/>
    <n v="4761.09"/>
    <n v="1688.87"/>
    <x v="1"/>
  </r>
  <r>
    <x v="1"/>
    <x v="3"/>
    <x v="7"/>
    <n v="13527"/>
    <n v="226"/>
    <n v="35204.74"/>
    <n v="5346.14"/>
    <x v="2"/>
  </r>
  <r>
    <x v="1"/>
    <x v="3"/>
    <x v="7"/>
    <n v="13618"/>
    <n v="3"/>
    <n v="988.53"/>
    <n v="394.02"/>
    <x v="1"/>
  </r>
  <r>
    <x v="1"/>
    <x v="3"/>
    <x v="7"/>
    <n v="16024"/>
    <n v="115"/>
    <n v="52362.82"/>
    <n v="18391.95"/>
    <x v="3"/>
  </r>
  <r>
    <x v="1"/>
    <x v="3"/>
    <x v="7"/>
    <n v="16650"/>
    <n v="22"/>
    <n v="3370.03"/>
    <n v="2280.36"/>
    <x v="0"/>
  </r>
  <r>
    <x v="1"/>
    <x v="3"/>
    <x v="7"/>
    <n v="17892"/>
    <n v="110"/>
    <n v="15309.04"/>
    <n v="3707.26"/>
    <x v="4"/>
  </r>
  <r>
    <x v="1"/>
    <x v="3"/>
    <x v="7"/>
    <n v="18342"/>
    <n v="25"/>
    <n v="20843.46"/>
    <n v="5422.76"/>
    <x v="3"/>
  </r>
  <r>
    <x v="1"/>
    <x v="3"/>
    <x v="7"/>
    <n v="20177"/>
    <n v="23"/>
    <n v="2561.7399999999998"/>
    <n v="895.24"/>
    <x v="5"/>
  </r>
  <r>
    <x v="1"/>
    <x v="3"/>
    <x v="7"/>
    <n v="21179"/>
    <n v="47"/>
    <n v="5609.88"/>
    <n v="2683.61"/>
    <x v="0"/>
  </r>
  <r>
    <x v="1"/>
    <x v="3"/>
    <x v="7"/>
    <n v="21260"/>
    <n v="62"/>
    <n v="10805.08"/>
    <n v="2294.6999999999998"/>
    <x v="4"/>
  </r>
  <r>
    <x v="1"/>
    <x v="3"/>
    <x v="7"/>
    <n v="22317"/>
    <n v="14"/>
    <n v="1350.65"/>
    <n v="629.41"/>
    <x v="5"/>
  </r>
  <r>
    <x v="1"/>
    <x v="3"/>
    <x v="7"/>
    <n v="22940"/>
    <n v="104"/>
    <n v="14942.17"/>
    <n v="3826.08"/>
    <x v="2"/>
  </r>
  <r>
    <x v="1"/>
    <x v="3"/>
    <x v="7"/>
    <n v="23178"/>
    <n v="266"/>
    <n v="45873.919999999998"/>
    <n v="11656.02"/>
    <x v="2"/>
  </r>
  <r>
    <x v="1"/>
    <x v="3"/>
    <x v="7"/>
    <n v="23600"/>
    <n v="358"/>
    <n v="42027.08"/>
    <n v="11774.95"/>
    <x v="2"/>
  </r>
  <r>
    <x v="1"/>
    <x v="3"/>
    <x v="7"/>
    <n v="23756"/>
    <n v="97"/>
    <n v="18191.099999999999"/>
    <n v="7106.22"/>
    <x v="1"/>
  </r>
  <r>
    <x v="1"/>
    <x v="3"/>
    <x v="7"/>
    <n v="24326"/>
    <n v="20"/>
    <n v="2800.94"/>
    <n v="708.87"/>
    <x v="4"/>
  </r>
  <r>
    <x v="2"/>
    <x v="3"/>
    <x v="7"/>
    <n v="12184"/>
    <n v="116"/>
    <n v="11952.2"/>
    <n v="8265.18"/>
    <x v="0"/>
  </r>
  <r>
    <x v="2"/>
    <x v="3"/>
    <x v="7"/>
    <n v="12622"/>
    <n v="39"/>
    <n v="9245.6200000000008"/>
    <n v="5193.7299999999996"/>
    <x v="1"/>
  </r>
  <r>
    <x v="2"/>
    <x v="3"/>
    <x v="7"/>
    <n v="13527"/>
    <n v="309"/>
    <n v="49704.58"/>
    <n v="11090.21"/>
    <x v="2"/>
  </r>
  <r>
    <x v="2"/>
    <x v="3"/>
    <x v="7"/>
    <n v="13618"/>
    <n v="17"/>
    <n v="6022.35"/>
    <n v="2916.26"/>
    <x v="1"/>
  </r>
  <r>
    <x v="2"/>
    <x v="3"/>
    <x v="7"/>
    <n v="16024"/>
    <n v="282"/>
    <n v="120539.24"/>
    <n v="30477.37"/>
    <x v="3"/>
  </r>
  <r>
    <x v="2"/>
    <x v="3"/>
    <x v="7"/>
    <n v="16650"/>
    <n v="30"/>
    <n v="3746.8"/>
    <n v="2522.5500000000002"/>
    <x v="0"/>
  </r>
  <r>
    <x v="2"/>
    <x v="3"/>
    <x v="7"/>
    <n v="17892"/>
    <n v="132"/>
    <n v="18169.439999999999"/>
    <n v="5380.89"/>
    <x v="4"/>
  </r>
  <r>
    <x v="2"/>
    <x v="3"/>
    <x v="7"/>
    <n v="18342"/>
    <n v="80"/>
    <n v="59464.87"/>
    <n v="19477.009999999998"/>
    <x v="3"/>
  </r>
  <r>
    <x v="2"/>
    <x v="3"/>
    <x v="7"/>
    <n v="20177"/>
    <n v="57"/>
    <n v="6537.41"/>
    <n v="3257.05"/>
    <x v="5"/>
  </r>
  <r>
    <x v="2"/>
    <x v="3"/>
    <x v="7"/>
    <n v="21179"/>
    <n v="60"/>
    <n v="6894.99"/>
    <n v="4260.4399999999996"/>
    <x v="0"/>
  </r>
  <r>
    <x v="2"/>
    <x v="3"/>
    <x v="7"/>
    <n v="21260"/>
    <n v="57"/>
    <n v="10535.9"/>
    <n v="2748.88"/>
    <x v="4"/>
  </r>
  <r>
    <x v="2"/>
    <x v="3"/>
    <x v="7"/>
    <n v="22317"/>
    <n v="26"/>
    <n v="1994.16"/>
    <n v="784.4"/>
    <x v="5"/>
  </r>
  <r>
    <x v="2"/>
    <x v="3"/>
    <x v="7"/>
    <n v="22940"/>
    <n v="398"/>
    <n v="56040.15"/>
    <n v="15885.42"/>
    <x v="2"/>
  </r>
  <r>
    <x v="2"/>
    <x v="3"/>
    <x v="7"/>
    <n v="23178"/>
    <n v="232"/>
    <n v="40242.660000000003"/>
    <n v="10664.34"/>
    <x v="2"/>
  </r>
  <r>
    <x v="2"/>
    <x v="3"/>
    <x v="7"/>
    <n v="23600"/>
    <n v="908"/>
    <n v="114251.98"/>
    <n v="37489.480000000003"/>
    <x v="2"/>
  </r>
  <r>
    <x v="2"/>
    <x v="3"/>
    <x v="7"/>
    <n v="23756"/>
    <n v="103"/>
    <n v="21957.68"/>
    <n v="14239.2"/>
    <x v="1"/>
  </r>
  <r>
    <x v="2"/>
    <x v="3"/>
    <x v="7"/>
    <n v="24326"/>
    <n v="109"/>
    <n v="15485.08"/>
    <n v="4218.22"/>
    <x v="4"/>
  </r>
  <r>
    <x v="3"/>
    <x v="3"/>
    <x v="7"/>
    <n v="12184"/>
    <n v="49"/>
    <n v="6110.27"/>
    <n v="4000.31"/>
    <x v="0"/>
  </r>
  <r>
    <x v="3"/>
    <x v="3"/>
    <x v="7"/>
    <n v="12622"/>
    <n v="52"/>
    <n v="11960.54"/>
    <n v="5939.02"/>
    <x v="1"/>
  </r>
  <r>
    <x v="3"/>
    <x v="3"/>
    <x v="7"/>
    <n v="13527"/>
    <n v="637"/>
    <n v="109843.56"/>
    <n v="26442.87"/>
    <x v="2"/>
  </r>
  <r>
    <x v="3"/>
    <x v="3"/>
    <x v="7"/>
    <n v="13618"/>
    <n v="6"/>
    <n v="2569.6"/>
    <n v="1321.01"/>
    <x v="1"/>
  </r>
  <r>
    <x v="3"/>
    <x v="3"/>
    <x v="7"/>
    <n v="16024"/>
    <n v="115"/>
    <n v="44064.63"/>
    <n v="11609.55"/>
    <x v="3"/>
  </r>
  <r>
    <x v="3"/>
    <x v="3"/>
    <x v="7"/>
    <n v="16650"/>
    <n v="30"/>
    <n v="3915.66"/>
    <n v="2403.88"/>
    <x v="0"/>
  </r>
  <r>
    <x v="3"/>
    <x v="3"/>
    <x v="7"/>
    <n v="17892"/>
    <n v="58"/>
    <n v="7478.93"/>
    <n v="1927.33"/>
    <x v="4"/>
  </r>
  <r>
    <x v="3"/>
    <x v="3"/>
    <x v="7"/>
    <n v="18342"/>
    <n v="217"/>
    <n v="186337.23"/>
    <n v="43979.63"/>
    <x v="3"/>
  </r>
  <r>
    <x v="3"/>
    <x v="3"/>
    <x v="7"/>
    <n v="20177"/>
    <n v="61"/>
    <n v="6043.93"/>
    <n v="2255.63"/>
    <x v="5"/>
  </r>
  <r>
    <x v="3"/>
    <x v="3"/>
    <x v="7"/>
    <n v="21179"/>
    <n v="50"/>
    <n v="5454.75"/>
    <n v="3547.86"/>
    <x v="0"/>
  </r>
  <r>
    <x v="3"/>
    <x v="3"/>
    <x v="7"/>
    <n v="21260"/>
    <n v="50"/>
    <n v="10152.85"/>
    <n v="2596.3200000000002"/>
    <x v="4"/>
  </r>
  <r>
    <x v="3"/>
    <x v="3"/>
    <x v="7"/>
    <n v="22317"/>
    <n v="70"/>
    <n v="6432.75"/>
    <n v="2202.88"/>
    <x v="5"/>
  </r>
  <r>
    <x v="3"/>
    <x v="3"/>
    <x v="7"/>
    <n v="22940"/>
    <n v="333"/>
    <n v="43287.43"/>
    <n v="7679.5"/>
    <x v="2"/>
  </r>
  <r>
    <x v="3"/>
    <x v="3"/>
    <x v="7"/>
    <n v="23178"/>
    <n v="291"/>
    <n v="52440.08"/>
    <n v="9288.8700000000008"/>
    <x v="2"/>
  </r>
  <r>
    <x v="3"/>
    <x v="3"/>
    <x v="7"/>
    <n v="23600"/>
    <n v="1031"/>
    <n v="120711.98"/>
    <n v="27024.66"/>
    <x v="2"/>
  </r>
  <r>
    <x v="3"/>
    <x v="3"/>
    <x v="7"/>
    <n v="23756"/>
    <n v="79"/>
    <n v="14120.99"/>
    <n v="5980.75"/>
    <x v="1"/>
  </r>
  <r>
    <x v="3"/>
    <x v="3"/>
    <x v="7"/>
    <n v="24326"/>
    <n v="91"/>
    <n v="13113.74"/>
    <n v="3740.61"/>
    <x v="4"/>
  </r>
  <r>
    <x v="0"/>
    <x v="3"/>
    <x v="8"/>
    <n v="12184"/>
    <n v="113"/>
    <n v="11427.37"/>
    <n v="6205.84"/>
    <x v="0"/>
  </r>
  <r>
    <x v="0"/>
    <x v="3"/>
    <x v="8"/>
    <n v="12622"/>
    <n v="57"/>
    <n v="13470.52"/>
    <n v="6175.08"/>
    <x v="1"/>
  </r>
  <r>
    <x v="0"/>
    <x v="3"/>
    <x v="8"/>
    <n v="13527"/>
    <n v="648"/>
    <n v="96261"/>
    <n v="20149.16"/>
    <x v="2"/>
  </r>
  <r>
    <x v="0"/>
    <x v="3"/>
    <x v="8"/>
    <n v="13618"/>
    <n v="31"/>
    <n v="10173.81"/>
    <n v="4625.05"/>
    <x v="1"/>
  </r>
  <r>
    <x v="0"/>
    <x v="3"/>
    <x v="8"/>
    <n v="16024"/>
    <n v="194"/>
    <n v="74423.789999999994"/>
    <n v="19938.75"/>
    <x v="3"/>
  </r>
  <r>
    <x v="0"/>
    <x v="3"/>
    <x v="8"/>
    <n v="16650"/>
    <n v="45"/>
    <n v="7735.67"/>
    <n v="3785.96"/>
    <x v="0"/>
  </r>
  <r>
    <x v="0"/>
    <x v="3"/>
    <x v="8"/>
    <n v="17892"/>
    <n v="83"/>
    <n v="11771.88"/>
    <n v="2999.05"/>
    <x v="4"/>
  </r>
  <r>
    <x v="0"/>
    <x v="3"/>
    <x v="8"/>
    <n v="18342"/>
    <n v="151"/>
    <n v="121559.99"/>
    <n v="36094.620000000003"/>
    <x v="3"/>
  </r>
  <r>
    <x v="0"/>
    <x v="3"/>
    <x v="8"/>
    <n v="20177"/>
    <n v="62"/>
    <n v="6711.6"/>
    <n v="2420.29"/>
    <x v="5"/>
  </r>
  <r>
    <x v="0"/>
    <x v="3"/>
    <x v="8"/>
    <n v="21179"/>
    <n v="60"/>
    <n v="6780.05"/>
    <n v="3089.97"/>
    <x v="0"/>
  </r>
  <r>
    <x v="0"/>
    <x v="3"/>
    <x v="8"/>
    <n v="21260"/>
    <n v="47"/>
    <n v="9785.93"/>
    <n v="3043.12"/>
    <x v="4"/>
  </r>
  <r>
    <x v="0"/>
    <x v="3"/>
    <x v="8"/>
    <n v="22317"/>
    <n v="84"/>
    <n v="8212.67"/>
    <n v="2832.85"/>
    <x v="5"/>
  </r>
  <r>
    <x v="0"/>
    <x v="3"/>
    <x v="8"/>
    <n v="22940"/>
    <n v="891"/>
    <n v="122467.34"/>
    <n v="24841.65"/>
    <x v="2"/>
  </r>
  <r>
    <x v="0"/>
    <x v="3"/>
    <x v="8"/>
    <n v="23178"/>
    <n v="335"/>
    <n v="60199.09"/>
    <n v="9924.07"/>
    <x v="2"/>
  </r>
  <r>
    <x v="0"/>
    <x v="3"/>
    <x v="8"/>
    <n v="23600"/>
    <n v="1176"/>
    <n v="120137.93"/>
    <n v="25889.48"/>
    <x v="2"/>
  </r>
  <r>
    <x v="0"/>
    <x v="3"/>
    <x v="8"/>
    <n v="23756"/>
    <n v="65"/>
    <n v="11681.39"/>
    <n v="5202.6099999999997"/>
    <x v="1"/>
  </r>
  <r>
    <x v="0"/>
    <x v="3"/>
    <x v="8"/>
    <n v="24326"/>
    <n v="132"/>
    <n v="20749.919999999998"/>
    <n v="5347.16"/>
    <x v="4"/>
  </r>
  <r>
    <x v="1"/>
    <x v="3"/>
    <x v="8"/>
    <n v="12184"/>
    <n v="29"/>
    <n v="3364.72"/>
    <n v="1775.61"/>
    <x v="0"/>
  </r>
  <r>
    <x v="1"/>
    <x v="3"/>
    <x v="8"/>
    <n v="12622"/>
    <n v="7"/>
    <n v="1977.61"/>
    <n v="865.97"/>
    <x v="1"/>
  </r>
  <r>
    <x v="1"/>
    <x v="3"/>
    <x v="8"/>
    <n v="13527"/>
    <n v="291"/>
    <n v="47050.239999999998"/>
    <n v="8525.59"/>
    <x v="2"/>
  </r>
  <r>
    <x v="1"/>
    <x v="3"/>
    <x v="8"/>
    <n v="13618"/>
    <n v="9"/>
    <n v="4033.99"/>
    <n v="1798.16"/>
    <x v="1"/>
  </r>
  <r>
    <x v="1"/>
    <x v="3"/>
    <x v="8"/>
    <n v="16024"/>
    <n v="95"/>
    <n v="45770.61"/>
    <n v="14801.25"/>
    <x v="3"/>
  </r>
  <r>
    <x v="1"/>
    <x v="3"/>
    <x v="8"/>
    <n v="16650"/>
    <n v="29"/>
    <n v="4883.79"/>
    <n v="3229.51"/>
    <x v="0"/>
  </r>
  <r>
    <x v="1"/>
    <x v="3"/>
    <x v="8"/>
    <n v="17892"/>
    <n v="110"/>
    <n v="14230.1"/>
    <n v="3068.91"/>
    <x v="4"/>
  </r>
  <r>
    <x v="1"/>
    <x v="3"/>
    <x v="8"/>
    <n v="18342"/>
    <n v="24"/>
    <n v="18224.23"/>
    <n v="6005.59"/>
    <x v="3"/>
  </r>
  <r>
    <x v="1"/>
    <x v="3"/>
    <x v="8"/>
    <n v="20177"/>
    <n v="24"/>
    <n v="2218.34"/>
    <n v="966.46"/>
    <x v="5"/>
  </r>
  <r>
    <x v="1"/>
    <x v="3"/>
    <x v="8"/>
    <n v="21179"/>
    <n v="37"/>
    <n v="4577.07"/>
    <n v="2502.29"/>
    <x v="0"/>
  </r>
  <r>
    <x v="1"/>
    <x v="3"/>
    <x v="8"/>
    <n v="21260"/>
    <n v="56"/>
    <n v="10892.53"/>
    <n v="2480.64"/>
    <x v="4"/>
  </r>
  <r>
    <x v="1"/>
    <x v="3"/>
    <x v="8"/>
    <n v="22317"/>
    <n v="11"/>
    <n v="1127.94"/>
    <n v="593.01"/>
    <x v="5"/>
  </r>
  <r>
    <x v="1"/>
    <x v="3"/>
    <x v="8"/>
    <n v="22940"/>
    <n v="230"/>
    <n v="27896.98"/>
    <n v="7990.52"/>
    <x v="2"/>
  </r>
  <r>
    <x v="1"/>
    <x v="3"/>
    <x v="8"/>
    <n v="23178"/>
    <n v="349"/>
    <n v="55824.53"/>
    <n v="15545.76"/>
    <x v="2"/>
  </r>
  <r>
    <x v="1"/>
    <x v="3"/>
    <x v="8"/>
    <n v="23600"/>
    <n v="262"/>
    <n v="32054.91"/>
    <n v="9774.19"/>
    <x v="2"/>
  </r>
  <r>
    <x v="1"/>
    <x v="3"/>
    <x v="8"/>
    <n v="23756"/>
    <n v="79"/>
    <n v="15233.95"/>
    <n v="7659.82"/>
    <x v="1"/>
  </r>
  <r>
    <x v="1"/>
    <x v="3"/>
    <x v="8"/>
    <n v="24326"/>
    <n v="39"/>
    <n v="6221.86"/>
    <n v="1664.06"/>
    <x v="4"/>
  </r>
  <r>
    <x v="2"/>
    <x v="3"/>
    <x v="8"/>
    <n v="12184"/>
    <n v="59"/>
    <n v="8158.22"/>
    <n v="5194.7299999999996"/>
    <x v="0"/>
  </r>
  <r>
    <x v="2"/>
    <x v="3"/>
    <x v="8"/>
    <n v="12622"/>
    <n v="50"/>
    <n v="12976.29"/>
    <n v="6575.71"/>
    <x v="1"/>
  </r>
  <r>
    <x v="2"/>
    <x v="3"/>
    <x v="8"/>
    <n v="13527"/>
    <n v="452"/>
    <n v="79104.42"/>
    <n v="19380.72"/>
    <x v="2"/>
  </r>
  <r>
    <x v="2"/>
    <x v="3"/>
    <x v="8"/>
    <n v="13618"/>
    <n v="22"/>
    <n v="10361.84"/>
    <n v="6781.64"/>
    <x v="1"/>
  </r>
  <r>
    <x v="2"/>
    <x v="3"/>
    <x v="8"/>
    <n v="16024"/>
    <n v="305"/>
    <n v="137720.04"/>
    <n v="46941.77"/>
    <x v="3"/>
  </r>
  <r>
    <x v="2"/>
    <x v="3"/>
    <x v="8"/>
    <n v="16650"/>
    <n v="21"/>
    <n v="2696.62"/>
    <n v="1803.16"/>
    <x v="0"/>
  </r>
  <r>
    <x v="2"/>
    <x v="3"/>
    <x v="8"/>
    <n v="17892"/>
    <n v="100"/>
    <n v="15227.76"/>
    <n v="4427.5"/>
    <x v="4"/>
  </r>
  <r>
    <x v="2"/>
    <x v="3"/>
    <x v="8"/>
    <n v="18342"/>
    <n v="75"/>
    <n v="69428.960000000006"/>
    <n v="21660.85"/>
    <x v="3"/>
  </r>
  <r>
    <x v="2"/>
    <x v="3"/>
    <x v="8"/>
    <n v="20177"/>
    <n v="73"/>
    <n v="6787.39"/>
    <n v="3525.6"/>
    <x v="5"/>
  </r>
  <r>
    <x v="2"/>
    <x v="3"/>
    <x v="8"/>
    <n v="21179"/>
    <n v="59"/>
    <n v="6968.19"/>
    <n v="5412.43"/>
    <x v="0"/>
  </r>
  <r>
    <x v="2"/>
    <x v="3"/>
    <x v="8"/>
    <n v="21260"/>
    <n v="60"/>
    <n v="11250.42"/>
    <n v="3539.75"/>
    <x v="4"/>
  </r>
  <r>
    <x v="2"/>
    <x v="3"/>
    <x v="8"/>
    <n v="22317"/>
    <n v="52"/>
    <n v="4086.41"/>
    <n v="2128.5300000000002"/>
    <x v="5"/>
  </r>
  <r>
    <x v="2"/>
    <x v="3"/>
    <x v="8"/>
    <n v="22940"/>
    <n v="554"/>
    <n v="75392.210000000006"/>
    <n v="20225.080000000002"/>
    <x v="2"/>
  </r>
  <r>
    <x v="2"/>
    <x v="3"/>
    <x v="8"/>
    <n v="23178"/>
    <n v="121"/>
    <n v="20581.72"/>
    <n v="4483.62"/>
    <x v="2"/>
  </r>
  <r>
    <x v="2"/>
    <x v="3"/>
    <x v="8"/>
    <n v="23600"/>
    <n v="1183"/>
    <n v="127904.3"/>
    <n v="39136.129999999997"/>
    <x v="2"/>
  </r>
  <r>
    <x v="2"/>
    <x v="3"/>
    <x v="8"/>
    <n v="23756"/>
    <n v="86"/>
    <n v="17936.330000000002"/>
    <n v="10647.63"/>
    <x v="1"/>
  </r>
  <r>
    <x v="2"/>
    <x v="3"/>
    <x v="8"/>
    <n v="24326"/>
    <n v="118"/>
    <n v="15288.74"/>
    <n v="4950.8599999999997"/>
    <x v="4"/>
  </r>
  <r>
    <x v="3"/>
    <x v="3"/>
    <x v="8"/>
    <n v="12184"/>
    <n v="54"/>
    <n v="5443.22"/>
    <n v="3303.57"/>
    <x v="0"/>
  </r>
  <r>
    <x v="3"/>
    <x v="3"/>
    <x v="8"/>
    <n v="12622"/>
    <n v="26"/>
    <n v="7991.67"/>
    <n v="3671.97"/>
    <x v="1"/>
  </r>
  <r>
    <x v="3"/>
    <x v="3"/>
    <x v="8"/>
    <n v="13527"/>
    <n v="316"/>
    <n v="51128.86"/>
    <n v="10806.56"/>
    <x v="2"/>
  </r>
  <r>
    <x v="3"/>
    <x v="3"/>
    <x v="8"/>
    <n v="13618"/>
    <n v="13"/>
    <n v="4789.16"/>
    <n v="2165.4499999999998"/>
    <x v="1"/>
  </r>
  <r>
    <x v="3"/>
    <x v="3"/>
    <x v="8"/>
    <n v="16024"/>
    <n v="171"/>
    <n v="72459.53"/>
    <n v="19187.53"/>
    <x v="3"/>
  </r>
  <r>
    <x v="3"/>
    <x v="3"/>
    <x v="8"/>
    <n v="16650"/>
    <n v="47"/>
    <n v="7748.52"/>
    <n v="4602"/>
    <x v="0"/>
  </r>
  <r>
    <x v="3"/>
    <x v="3"/>
    <x v="8"/>
    <n v="17892"/>
    <n v="86"/>
    <n v="11510.89"/>
    <n v="2596.0500000000002"/>
    <x v="4"/>
  </r>
  <r>
    <x v="3"/>
    <x v="3"/>
    <x v="8"/>
    <n v="18342"/>
    <n v="103"/>
    <n v="78018.23"/>
    <n v="17880.7"/>
    <x v="3"/>
  </r>
  <r>
    <x v="3"/>
    <x v="3"/>
    <x v="8"/>
    <n v="20177"/>
    <n v="73"/>
    <n v="7472.55"/>
    <n v="2809.15"/>
    <x v="5"/>
  </r>
  <r>
    <x v="3"/>
    <x v="3"/>
    <x v="8"/>
    <n v="21179"/>
    <n v="38"/>
    <n v="5496"/>
    <n v="3621.41"/>
    <x v="0"/>
  </r>
  <r>
    <x v="3"/>
    <x v="3"/>
    <x v="8"/>
    <n v="21260"/>
    <n v="43"/>
    <n v="8904.0400000000009"/>
    <n v="1968.77"/>
    <x v="4"/>
  </r>
  <r>
    <x v="3"/>
    <x v="3"/>
    <x v="8"/>
    <n v="22317"/>
    <n v="54"/>
    <n v="4549.2"/>
    <n v="1947.94"/>
    <x v="5"/>
  </r>
  <r>
    <x v="3"/>
    <x v="3"/>
    <x v="8"/>
    <n v="22940"/>
    <n v="564"/>
    <n v="67071.289999999994"/>
    <n v="12715.08"/>
    <x v="2"/>
  </r>
  <r>
    <x v="3"/>
    <x v="3"/>
    <x v="8"/>
    <n v="23178"/>
    <n v="232"/>
    <n v="38045.29"/>
    <n v="9008.36"/>
    <x v="2"/>
  </r>
  <r>
    <x v="3"/>
    <x v="3"/>
    <x v="8"/>
    <n v="23600"/>
    <n v="1308"/>
    <n v="133736.59"/>
    <n v="34649.339999999997"/>
    <x v="2"/>
  </r>
  <r>
    <x v="3"/>
    <x v="3"/>
    <x v="8"/>
    <n v="23756"/>
    <n v="138"/>
    <n v="22605.67"/>
    <n v="9976.65"/>
    <x v="1"/>
  </r>
  <r>
    <x v="3"/>
    <x v="3"/>
    <x v="8"/>
    <n v="24326"/>
    <n v="105"/>
    <n v="13373.2"/>
    <n v="3784.46"/>
    <x v="4"/>
  </r>
  <r>
    <x v="0"/>
    <x v="3"/>
    <x v="9"/>
    <n v="12184"/>
    <n v="89"/>
    <n v="12721.33"/>
    <n v="6445.01"/>
    <x v="0"/>
  </r>
  <r>
    <x v="0"/>
    <x v="3"/>
    <x v="9"/>
    <n v="12622"/>
    <n v="37"/>
    <n v="11613.07"/>
    <n v="5356.09"/>
    <x v="1"/>
  </r>
  <r>
    <x v="0"/>
    <x v="3"/>
    <x v="9"/>
    <n v="13527"/>
    <n v="692"/>
    <n v="105692.61"/>
    <n v="19573.14"/>
    <x v="2"/>
  </r>
  <r>
    <x v="0"/>
    <x v="3"/>
    <x v="9"/>
    <n v="13618"/>
    <n v="15"/>
    <n v="6530.91"/>
    <n v="3031.34"/>
    <x v="1"/>
  </r>
  <r>
    <x v="0"/>
    <x v="3"/>
    <x v="9"/>
    <n v="16024"/>
    <n v="252"/>
    <n v="103168.35"/>
    <n v="32604.26"/>
    <x v="3"/>
  </r>
  <r>
    <x v="0"/>
    <x v="3"/>
    <x v="9"/>
    <n v="16650"/>
    <n v="58"/>
    <n v="9976.6200000000008"/>
    <n v="4444.2700000000004"/>
    <x v="0"/>
  </r>
  <r>
    <x v="0"/>
    <x v="3"/>
    <x v="9"/>
    <n v="17892"/>
    <n v="82"/>
    <n v="12878.66"/>
    <n v="3607.39"/>
    <x v="4"/>
  </r>
  <r>
    <x v="0"/>
    <x v="3"/>
    <x v="9"/>
    <n v="18342"/>
    <n v="168"/>
    <n v="143862.16"/>
    <n v="45228.5"/>
    <x v="3"/>
  </r>
  <r>
    <x v="0"/>
    <x v="3"/>
    <x v="9"/>
    <n v="20177"/>
    <n v="156"/>
    <n v="18017.55"/>
    <n v="7459.29"/>
    <x v="5"/>
  </r>
  <r>
    <x v="0"/>
    <x v="3"/>
    <x v="9"/>
    <n v="21179"/>
    <n v="29"/>
    <n v="3385.53"/>
    <n v="1820.18"/>
    <x v="0"/>
  </r>
  <r>
    <x v="0"/>
    <x v="3"/>
    <x v="9"/>
    <n v="21260"/>
    <n v="111"/>
    <n v="22799.02"/>
    <n v="7197.5"/>
    <x v="4"/>
  </r>
  <r>
    <x v="0"/>
    <x v="3"/>
    <x v="9"/>
    <n v="22317"/>
    <n v="72"/>
    <n v="5425.78"/>
    <n v="1828.41"/>
    <x v="5"/>
  </r>
  <r>
    <x v="0"/>
    <x v="3"/>
    <x v="9"/>
    <n v="22940"/>
    <n v="658"/>
    <n v="80666.69"/>
    <n v="16125.08"/>
    <x v="2"/>
  </r>
  <r>
    <x v="0"/>
    <x v="3"/>
    <x v="9"/>
    <n v="23178"/>
    <n v="178"/>
    <n v="31416.26"/>
    <n v="6872.3"/>
    <x v="2"/>
  </r>
  <r>
    <x v="0"/>
    <x v="3"/>
    <x v="9"/>
    <n v="23600"/>
    <n v="866"/>
    <n v="87628.27"/>
    <n v="22740.78"/>
    <x v="2"/>
  </r>
  <r>
    <x v="0"/>
    <x v="3"/>
    <x v="9"/>
    <n v="23756"/>
    <n v="76"/>
    <n v="14482.82"/>
    <n v="6746.79"/>
    <x v="1"/>
  </r>
  <r>
    <x v="0"/>
    <x v="3"/>
    <x v="9"/>
    <n v="24326"/>
    <n v="186"/>
    <n v="23862.959999999999"/>
    <n v="6750.38"/>
    <x v="4"/>
  </r>
  <r>
    <x v="1"/>
    <x v="3"/>
    <x v="9"/>
    <n v="12184"/>
    <n v="17"/>
    <n v="1947.37"/>
    <n v="1048.6600000000001"/>
    <x v="0"/>
  </r>
  <r>
    <x v="1"/>
    <x v="3"/>
    <x v="9"/>
    <n v="12622"/>
    <n v="11"/>
    <n v="3079.63"/>
    <n v="1473.03"/>
    <x v="1"/>
  </r>
  <r>
    <x v="1"/>
    <x v="3"/>
    <x v="9"/>
    <n v="13527"/>
    <n v="236"/>
    <n v="38723.71"/>
    <n v="5945.51"/>
    <x v="2"/>
  </r>
  <r>
    <x v="1"/>
    <x v="3"/>
    <x v="9"/>
    <n v="13618"/>
    <n v="5"/>
    <n v="1960.46"/>
    <n v="807.71"/>
    <x v="1"/>
  </r>
  <r>
    <x v="1"/>
    <x v="3"/>
    <x v="9"/>
    <n v="16024"/>
    <n v="170"/>
    <n v="79932.42"/>
    <n v="27872.1"/>
    <x v="3"/>
  </r>
  <r>
    <x v="1"/>
    <x v="3"/>
    <x v="9"/>
    <n v="16650"/>
    <n v="16"/>
    <n v="2098.1999999999998"/>
    <n v="1485.53"/>
    <x v="0"/>
  </r>
  <r>
    <x v="1"/>
    <x v="3"/>
    <x v="9"/>
    <n v="17892"/>
    <n v="85"/>
    <n v="12004.18"/>
    <n v="2812.16"/>
    <x v="4"/>
  </r>
  <r>
    <x v="1"/>
    <x v="3"/>
    <x v="9"/>
    <n v="18342"/>
    <n v="27"/>
    <n v="20182.740000000002"/>
    <n v="6962.04"/>
    <x v="3"/>
  </r>
  <r>
    <x v="1"/>
    <x v="3"/>
    <x v="9"/>
    <n v="20177"/>
    <n v="28"/>
    <n v="2844.39"/>
    <n v="1007.2"/>
    <x v="5"/>
  </r>
  <r>
    <x v="1"/>
    <x v="3"/>
    <x v="9"/>
    <n v="21179"/>
    <n v="35"/>
    <n v="4445.8"/>
    <n v="2495.92"/>
    <x v="0"/>
  </r>
  <r>
    <x v="1"/>
    <x v="3"/>
    <x v="9"/>
    <n v="21260"/>
    <n v="45"/>
    <n v="8833.92"/>
    <n v="1818.66"/>
    <x v="4"/>
  </r>
  <r>
    <x v="1"/>
    <x v="3"/>
    <x v="9"/>
    <n v="22317"/>
    <n v="18"/>
    <n v="1849.53"/>
    <n v="804.17"/>
    <x v="5"/>
  </r>
  <r>
    <x v="1"/>
    <x v="3"/>
    <x v="9"/>
    <n v="22940"/>
    <n v="113"/>
    <n v="15747.33"/>
    <n v="4847.32"/>
    <x v="2"/>
  </r>
  <r>
    <x v="1"/>
    <x v="3"/>
    <x v="9"/>
    <n v="23178"/>
    <n v="223"/>
    <n v="39248.870000000003"/>
    <n v="8814.31"/>
    <x v="2"/>
  </r>
  <r>
    <x v="1"/>
    <x v="3"/>
    <x v="9"/>
    <n v="23600"/>
    <n v="550"/>
    <n v="56424.639999999999"/>
    <n v="14242.45"/>
    <x v="2"/>
  </r>
  <r>
    <x v="1"/>
    <x v="3"/>
    <x v="9"/>
    <n v="23756"/>
    <n v="49"/>
    <n v="8013.11"/>
    <n v="3274.52"/>
    <x v="1"/>
  </r>
  <r>
    <x v="1"/>
    <x v="3"/>
    <x v="9"/>
    <n v="24326"/>
    <n v="20"/>
    <n v="2728.52"/>
    <n v="881.4"/>
    <x v="4"/>
  </r>
  <r>
    <x v="2"/>
    <x v="3"/>
    <x v="9"/>
    <n v="12184"/>
    <n v="87"/>
    <n v="12980.56"/>
    <n v="8444.43"/>
    <x v="0"/>
  </r>
  <r>
    <x v="2"/>
    <x v="3"/>
    <x v="9"/>
    <n v="12622"/>
    <n v="45"/>
    <n v="12800.21"/>
    <n v="7801.25"/>
    <x v="1"/>
  </r>
  <r>
    <x v="2"/>
    <x v="3"/>
    <x v="9"/>
    <n v="13527"/>
    <n v="207"/>
    <n v="30484.61"/>
    <n v="6860.64"/>
    <x v="2"/>
  </r>
  <r>
    <x v="2"/>
    <x v="3"/>
    <x v="9"/>
    <n v="13618"/>
    <n v="30"/>
    <n v="11176.79"/>
    <n v="6859.29"/>
    <x v="1"/>
  </r>
  <r>
    <x v="2"/>
    <x v="3"/>
    <x v="9"/>
    <n v="16024"/>
    <n v="231"/>
    <n v="109588.41"/>
    <n v="35174.949999999997"/>
    <x v="3"/>
  </r>
  <r>
    <x v="2"/>
    <x v="3"/>
    <x v="9"/>
    <n v="16650"/>
    <n v="47"/>
    <n v="7323.26"/>
    <n v="5717.45"/>
    <x v="0"/>
  </r>
  <r>
    <x v="2"/>
    <x v="3"/>
    <x v="9"/>
    <n v="17892"/>
    <n v="89"/>
    <n v="11440.17"/>
    <n v="3520.25"/>
    <x v="4"/>
  </r>
  <r>
    <x v="2"/>
    <x v="3"/>
    <x v="9"/>
    <n v="18342"/>
    <n v="151"/>
    <n v="132402.76999999999"/>
    <n v="40860.22"/>
    <x v="3"/>
  </r>
  <r>
    <x v="2"/>
    <x v="3"/>
    <x v="9"/>
    <n v="20177"/>
    <n v="35"/>
    <n v="4175.79"/>
    <n v="1998.31"/>
    <x v="5"/>
  </r>
  <r>
    <x v="2"/>
    <x v="3"/>
    <x v="9"/>
    <n v="21179"/>
    <n v="59"/>
    <n v="9352.91"/>
    <n v="7078.8"/>
    <x v="0"/>
  </r>
  <r>
    <x v="2"/>
    <x v="3"/>
    <x v="9"/>
    <n v="21260"/>
    <n v="61"/>
    <n v="11762.23"/>
    <n v="3311.21"/>
    <x v="4"/>
  </r>
  <r>
    <x v="2"/>
    <x v="3"/>
    <x v="9"/>
    <n v="22317"/>
    <n v="44"/>
    <n v="4391.53"/>
    <n v="2032.3"/>
    <x v="5"/>
  </r>
  <r>
    <x v="2"/>
    <x v="3"/>
    <x v="9"/>
    <n v="22940"/>
    <n v="463"/>
    <n v="65921.600000000006"/>
    <n v="18974.310000000001"/>
    <x v="2"/>
  </r>
  <r>
    <x v="2"/>
    <x v="3"/>
    <x v="9"/>
    <n v="23178"/>
    <n v="190"/>
    <n v="32336.45"/>
    <n v="8218.75"/>
    <x v="2"/>
  </r>
  <r>
    <x v="2"/>
    <x v="3"/>
    <x v="9"/>
    <n v="23600"/>
    <n v="524"/>
    <n v="57318.96"/>
    <n v="18516.11"/>
    <x v="2"/>
  </r>
  <r>
    <x v="2"/>
    <x v="3"/>
    <x v="9"/>
    <n v="23756"/>
    <n v="69"/>
    <n v="13320.59"/>
    <n v="7484.34"/>
    <x v="1"/>
  </r>
  <r>
    <x v="2"/>
    <x v="3"/>
    <x v="9"/>
    <n v="24326"/>
    <n v="124"/>
    <n v="16224.36"/>
    <n v="4829.04"/>
    <x v="4"/>
  </r>
  <r>
    <x v="3"/>
    <x v="3"/>
    <x v="9"/>
    <n v="12184"/>
    <n v="91"/>
    <n v="13601.83"/>
    <n v="6985.66"/>
    <x v="0"/>
  </r>
  <r>
    <x v="3"/>
    <x v="3"/>
    <x v="9"/>
    <n v="12622"/>
    <n v="53"/>
    <n v="13460.05"/>
    <n v="7110.08"/>
    <x v="1"/>
  </r>
  <r>
    <x v="3"/>
    <x v="3"/>
    <x v="9"/>
    <n v="13527"/>
    <n v="315"/>
    <n v="48618.99"/>
    <n v="10574.23"/>
    <x v="2"/>
  </r>
  <r>
    <x v="3"/>
    <x v="3"/>
    <x v="9"/>
    <n v="13618"/>
    <n v="16"/>
    <n v="6082.11"/>
    <n v="2828.12"/>
    <x v="1"/>
  </r>
  <r>
    <x v="3"/>
    <x v="3"/>
    <x v="9"/>
    <n v="16024"/>
    <n v="109"/>
    <n v="49951.32"/>
    <n v="11903.26"/>
    <x v="3"/>
  </r>
  <r>
    <x v="3"/>
    <x v="3"/>
    <x v="9"/>
    <n v="16650"/>
    <n v="62"/>
    <n v="11509.1"/>
    <n v="6870.01"/>
    <x v="0"/>
  </r>
  <r>
    <x v="3"/>
    <x v="3"/>
    <x v="9"/>
    <n v="17892"/>
    <n v="87"/>
    <n v="11084.61"/>
    <n v="2663.39"/>
    <x v="4"/>
  </r>
  <r>
    <x v="3"/>
    <x v="3"/>
    <x v="9"/>
    <n v="18342"/>
    <n v="88"/>
    <n v="72948.009999999995"/>
    <n v="18207.61"/>
    <x v="3"/>
  </r>
  <r>
    <x v="3"/>
    <x v="3"/>
    <x v="9"/>
    <n v="20177"/>
    <n v="79"/>
    <n v="6891.42"/>
    <n v="2633.78"/>
    <x v="5"/>
  </r>
  <r>
    <x v="3"/>
    <x v="3"/>
    <x v="9"/>
    <n v="21179"/>
    <n v="37"/>
    <n v="4786.71"/>
    <n v="3128.43"/>
    <x v="0"/>
  </r>
  <r>
    <x v="3"/>
    <x v="3"/>
    <x v="9"/>
    <n v="21260"/>
    <n v="69"/>
    <n v="12873.03"/>
    <n v="3278.47"/>
    <x v="4"/>
  </r>
  <r>
    <x v="3"/>
    <x v="3"/>
    <x v="9"/>
    <n v="22317"/>
    <n v="73"/>
    <n v="6143.35"/>
    <n v="2186.4499999999998"/>
    <x v="5"/>
  </r>
  <r>
    <x v="3"/>
    <x v="3"/>
    <x v="9"/>
    <n v="22940"/>
    <n v="423"/>
    <n v="50943.360000000001"/>
    <n v="9936.32"/>
    <x v="2"/>
  </r>
  <r>
    <x v="3"/>
    <x v="3"/>
    <x v="9"/>
    <n v="23178"/>
    <n v="257"/>
    <n v="45872.32"/>
    <n v="10688.6"/>
    <x v="2"/>
  </r>
  <r>
    <x v="3"/>
    <x v="3"/>
    <x v="9"/>
    <n v="23600"/>
    <n v="1369"/>
    <n v="148367.09"/>
    <n v="40495.339999999997"/>
    <x v="2"/>
  </r>
  <r>
    <x v="3"/>
    <x v="3"/>
    <x v="9"/>
    <n v="23756"/>
    <n v="50"/>
    <n v="10453.6"/>
    <n v="4853.88"/>
    <x v="1"/>
  </r>
  <r>
    <x v="3"/>
    <x v="3"/>
    <x v="9"/>
    <n v="24326"/>
    <n v="80"/>
    <n v="10695.43"/>
    <n v="2506.48"/>
    <x v="4"/>
  </r>
  <r>
    <x v="0"/>
    <x v="3"/>
    <x v="10"/>
    <n v="12184"/>
    <n v="40"/>
    <n v="5640.04"/>
    <n v="2427.85"/>
    <x v="0"/>
  </r>
  <r>
    <x v="0"/>
    <x v="3"/>
    <x v="10"/>
    <n v="12622"/>
    <n v="37"/>
    <n v="9970.34"/>
    <n v="4615.7"/>
    <x v="1"/>
  </r>
  <r>
    <x v="0"/>
    <x v="3"/>
    <x v="10"/>
    <n v="13527"/>
    <n v="396"/>
    <n v="67965.539999999994"/>
    <n v="12177.65"/>
    <x v="2"/>
  </r>
  <r>
    <x v="0"/>
    <x v="3"/>
    <x v="10"/>
    <n v="13618"/>
    <n v="14"/>
    <n v="5099.6899999999996"/>
    <n v="2543.38"/>
    <x v="1"/>
  </r>
  <r>
    <x v="0"/>
    <x v="3"/>
    <x v="10"/>
    <n v="16024"/>
    <n v="256"/>
    <n v="113624.41"/>
    <n v="30720.34"/>
    <x v="3"/>
  </r>
  <r>
    <x v="0"/>
    <x v="3"/>
    <x v="10"/>
    <n v="16650"/>
    <n v="68"/>
    <n v="10953.15"/>
    <n v="5030.62"/>
    <x v="0"/>
  </r>
  <r>
    <x v="0"/>
    <x v="3"/>
    <x v="10"/>
    <n v="17892"/>
    <n v="82"/>
    <n v="11700.51"/>
    <n v="3266.93"/>
    <x v="4"/>
  </r>
  <r>
    <x v="0"/>
    <x v="3"/>
    <x v="10"/>
    <n v="18342"/>
    <n v="128"/>
    <n v="95599.360000000001"/>
    <n v="24670.39"/>
    <x v="3"/>
  </r>
  <r>
    <x v="0"/>
    <x v="3"/>
    <x v="10"/>
    <n v="20177"/>
    <n v="128"/>
    <n v="13269.57"/>
    <n v="5353.56"/>
    <x v="5"/>
  </r>
  <r>
    <x v="0"/>
    <x v="3"/>
    <x v="10"/>
    <n v="21179"/>
    <n v="66"/>
    <n v="9397.14"/>
    <n v="4791.9399999999996"/>
    <x v="0"/>
  </r>
  <r>
    <x v="0"/>
    <x v="3"/>
    <x v="10"/>
    <n v="21260"/>
    <n v="105"/>
    <n v="18245.96"/>
    <n v="5011.3"/>
    <x v="4"/>
  </r>
  <r>
    <x v="0"/>
    <x v="3"/>
    <x v="10"/>
    <n v="22317"/>
    <n v="55"/>
    <n v="4329.3900000000003"/>
    <n v="1626.27"/>
    <x v="5"/>
  </r>
  <r>
    <x v="0"/>
    <x v="3"/>
    <x v="10"/>
    <n v="22940"/>
    <n v="724"/>
    <n v="90398.23"/>
    <n v="15598.61"/>
    <x v="2"/>
  </r>
  <r>
    <x v="0"/>
    <x v="3"/>
    <x v="10"/>
    <n v="23178"/>
    <n v="438"/>
    <n v="78969.2"/>
    <n v="14974.22"/>
    <x v="2"/>
  </r>
  <r>
    <x v="0"/>
    <x v="3"/>
    <x v="10"/>
    <n v="23600"/>
    <n v="1021"/>
    <n v="116933.05"/>
    <n v="28232.21"/>
    <x v="2"/>
  </r>
  <r>
    <x v="0"/>
    <x v="3"/>
    <x v="10"/>
    <n v="23756"/>
    <n v="100"/>
    <n v="14795.57"/>
    <n v="7472.87"/>
    <x v="1"/>
  </r>
  <r>
    <x v="0"/>
    <x v="3"/>
    <x v="10"/>
    <n v="24326"/>
    <n v="117"/>
    <n v="15815.43"/>
    <n v="4764.12"/>
    <x v="4"/>
  </r>
  <r>
    <x v="1"/>
    <x v="3"/>
    <x v="10"/>
    <n v="12184"/>
    <n v="33"/>
    <n v="4219.6000000000004"/>
    <n v="2136.0700000000002"/>
    <x v="0"/>
  </r>
  <r>
    <x v="1"/>
    <x v="3"/>
    <x v="10"/>
    <n v="12622"/>
    <n v="20"/>
    <n v="5604.7"/>
    <n v="2273.85"/>
    <x v="1"/>
  </r>
  <r>
    <x v="1"/>
    <x v="3"/>
    <x v="10"/>
    <n v="13527"/>
    <n v="172"/>
    <n v="28428.32"/>
    <n v="5454.51"/>
    <x v="2"/>
  </r>
  <r>
    <x v="1"/>
    <x v="3"/>
    <x v="10"/>
    <n v="13618"/>
    <n v="4"/>
    <n v="1675.28"/>
    <n v="778.79"/>
    <x v="1"/>
  </r>
  <r>
    <x v="1"/>
    <x v="3"/>
    <x v="10"/>
    <n v="16024"/>
    <n v="190"/>
    <n v="87116.62"/>
    <n v="25626.46"/>
    <x v="3"/>
  </r>
  <r>
    <x v="1"/>
    <x v="3"/>
    <x v="10"/>
    <n v="16650"/>
    <n v="35"/>
    <n v="4549.82"/>
    <n v="2680.61"/>
    <x v="0"/>
  </r>
  <r>
    <x v="1"/>
    <x v="3"/>
    <x v="10"/>
    <n v="17892"/>
    <n v="64"/>
    <n v="9483.1"/>
    <n v="2025.84"/>
    <x v="4"/>
  </r>
  <r>
    <x v="1"/>
    <x v="3"/>
    <x v="10"/>
    <n v="18342"/>
    <n v="29"/>
    <n v="26307.71"/>
    <n v="7042.49"/>
    <x v="3"/>
  </r>
  <r>
    <x v="1"/>
    <x v="3"/>
    <x v="10"/>
    <n v="20177"/>
    <n v="17"/>
    <n v="1973.11"/>
    <n v="713.59"/>
    <x v="5"/>
  </r>
  <r>
    <x v="1"/>
    <x v="3"/>
    <x v="10"/>
    <n v="21179"/>
    <n v="43"/>
    <n v="4421.91"/>
    <n v="2606.0700000000002"/>
    <x v="0"/>
  </r>
  <r>
    <x v="1"/>
    <x v="3"/>
    <x v="10"/>
    <n v="21260"/>
    <n v="23"/>
    <n v="4594.2700000000004"/>
    <n v="979.44"/>
    <x v="4"/>
  </r>
  <r>
    <x v="1"/>
    <x v="3"/>
    <x v="10"/>
    <n v="22317"/>
    <n v="19"/>
    <n v="1441.86"/>
    <n v="759.94"/>
    <x v="5"/>
  </r>
  <r>
    <x v="1"/>
    <x v="3"/>
    <x v="10"/>
    <n v="22940"/>
    <n v="166"/>
    <n v="22712.400000000001"/>
    <n v="6377.55"/>
    <x v="2"/>
  </r>
  <r>
    <x v="1"/>
    <x v="3"/>
    <x v="10"/>
    <n v="23178"/>
    <n v="296"/>
    <n v="54808.86"/>
    <n v="16146.56"/>
    <x v="2"/>
  </r>
  <r>
    <x v="1"/>
    <x v="3"/>
    <x v="10"/>
    <n v="23600"/>
    <n v="376"/>
    <n v="40658.36"/>
    <n v="10976.46"/>
    <x v="2"/>
  </r>
  <r>
    <x v="1"/>
    <x v="3"/>
    <x v="10"/>
    <n v="23756"/>
    <n v="80"/>
    <n v="12306.75"/>
    <n v="4543.51"/>
    <x v="1"/>
  </r>
  <r>
    <x v="1"/>
    <x v="3"/>
    <x v="10"/>
    <n v="24326"/>
    <n v="20"/>
    <n v="2632.15"/>
    <n v="712.11"/>
    <x v="4"/>
  </r>
  <r>
    <x v="2"/>
    <x v="3"/>
    <x v="10"/>
    <n v="12184"/>
    <n v="111"/>
    <n v="18138.62"/>
    <n v="10528.53"/>
    <x v="0"/>
  </r>
  <r>
    <x v="2"/>
    <x v="3"/>
    <x v="10"/>
    <n v="12622"/>
    <n v="37"/>
    <n v="11664.99"/>
    <n v="6575.91"/>
    <x v="1"/>
  </r>
  <r>
    <x v="2"/>
    <x v="3"/>
    <x v="10"/>
    <n v="13527"/>
    <n v="375"/>
    <n v="57579.03"/>
    <n v="14535.77"/>
    <x v="2"/>
  </r>
  <r>
    <x v="2"/>
    <x v="3"/>
    <x v="10"/>
    <n v="13618"/>
    <n v="28"/>
    <n v="11160.12"/>
    <n v="5966.37"/>
    <x v="1"/>
  </r>
  <r>
    <x v="2"/>
    <x v="3"/>
    <x v="10"/>
    <n v="16024"/>
    <n v="162"/>
    <n v="66896.75"/>
    <n v="17639.38"/>
    <x v="3"/>
  </r>
  <r>
    <x v="2"/>
    <x v="3"/>
    <x v="10"/>
    <n v="16650"/>
    <n v="43"/>
    <n v="7292.78"/>
    <n v="5506.88"/>
    <x v="0"/>
  </r>
  <r>
    <x v="2"/>
    <x v="3"/>
    <x v="10"/>
    <n v="17892"/>
    <n v="63"/>
    <n v="9597.06"/>
    <n v="3247.28"/>
    <x v="4"/>
  </r>
  <r>
    <x v="2"/>
    <x v="3"/>
    <x v="10"/>
    <n v="18342"/>
    <n v="83"/>
    <n v="66676.58"/>
    <n v="18016.66"/>
    <x v="3"/>
  </r>
  <r>
    <x v="2"/>
    <x v="3"/>
    <x v="10"/>
    <n v="20177"/>
    <n v="53"/>
    <n v="6122.98"/>
    <n v="2356.4499999999998"/>
    <x v="5"/>
  </r>
  <r>
    <x v="2"/>
    <x v="3"/>
    <x v="10"/>
    <n v="21179"/>
    <n v="41"/>
    <n v="5974.3"/>
    <n v="4611.99"/>
    <x v="0"/>
  </r>
  <r>
    <x v="2"/>
    <x v="3"/>
    <x v="10"/>
    <n v="21260"/>
    <n v="29"/>
    <n v="5424.37"/>
    <n v="1498.62"/>
    <x v="4"/>
  </r>
  <r>
    <x v="2"/>
    <x v="3"/>
    <x v="10"/>
    <n v="22317"/>
    <n v="26"/>
    <n v="2358.9299999999998"/>
    <n v="1092.8900000000001"/>
    <x v="5"/>
  </r>
  <r>
    <x v="2"/>
    <x v="3"/>
    <x v="10"/>
    <n v="22940"/>
    <n v="542"/>
    <n v="63914.36"/>
    <n v="16264.21"/>
    <x v="2"/>
  </r>
  <r>
    <x v="2"/>
    <x v="3"/>
    <x v="10"/>
    <n v="23178"/>
    <n v="133"/>
    <n v="23169.34"/>
    <n v="5961.54"/>
    <x v="2"/>
  </r>
  <r>
    <x v="2"/>
    <x v="3"/>
    <x v="10"/>
    <n v="23600"/>
    <n v="864"/>
    <n v="108732.18"/>
    <n v="27337.33"/>
    <x v="2"/>
  </r>
  <r>
    <x v="2"/>
    <x v="3"/>
    <x v="10"/>
    <n v="23756"/>
    <n v="99"/>
    <n v="17732.66"/>
    <n v="11682.54"/>
    <x v="1"/>
  </r>
  <r>
    <x v="2"/>
    <x v="3"/>
    <x v="10"/>
    <n v="24326"/>
    <n v="109"/>
    <n v="16842.740000000002"/>
    <n v="5280.89"/>
    <x v="4"/>
  </r>
  <r>
    <x v="3"/>
    <x v="3"/>
    <x v="10"/>
    <n v="12184"/>
    <n v="102"/>
    <n v="11268.76"/>
    <n v="6329.37"/>
    <x v="0"/>
  </r>
  <r>
    <x v="3"/>
    <x v="3"/>
    <x v="10"/>
    <n v="12622"/>
    <n v="41"/>
    <n v="10542.54"/>
    <n v="4789.76"/>
    <x v="1"/>
  </r>
  <r>
    <x v="3"/>
    <x v="3"/>
    <x v="10"/>
    <n v="13527"/>
    <n v="617"/>
    <n v="98557.52"/>
    <n v="17822.3"/>
    <x v="2"/>
  </r>
  <r>
    <x v="3"/>
    <x v="3"/>
    <x v="10"/>
    <n v="13618"/>
    <n v="9"/>
    <n v="3149.92"/>
    <n v="1546.96"/>
    <x v="1"/>
  </r>
  <r>
    <x v="3"/>
    <x v="3"/>
    <x v="10"/>
    <n v="16024"/>
    <n v="117"/>
    <n v="50951.25"/>
    <n v="10785.29"/>
    <x v="3"/>
  </r>
  <r>
    <x v="3"/>
    <x v="3"/>
    <x v="10"/>
    <n v="16650"/>
    <n v="34"/>
    <n v="4686.9799999999996"/>
    <n v="2589.5100000000002"/>
    <x v="0"/>
  </r>
  <r>
    <x v="3"/>
    <x v="3"/>
    <x v="10"/>
    <n v="17892"/>
    <n v="85"/>
    <n v="10788.44"/>
    <n v="2634.34"/>
    <x v="4"/>
  </r>
  <r>
    <x v="3"/>
    <x v="3"/>
    <x v="10"/>
    <n v="18342"/>
    <n v="220"/>
    <n v="167043.39000000001"/>
    <n v="43421.17"/>
    <x v="3"/>
  </r>
  <r>
    <x v="3"/>
    <x v="3"/>
    <x v="10"/>
    <n v="20177"/>
    <n v="43"/>
    <n v="4535.8999999999996"/>
    <n v="1490.37"/>
    <x v="5"/>
  </r>
  <r>
    <x v="3"/>
    <x v="3"/>
    <x v="10"/>
    <n v="21179"/>
    <n v="49"/>
    <n v="6401.53"/>
    <n v="3537.24"/>
    <x v="0"/>
  </r>
  <r>
    <x v="3"/>
    <x v="3"/>
    <x v="10"/>
    <n v="21260"/>
    <n v="68"/>
    <n v="13672.99"/>
    <n v="3812.38"/>
    <x v="4"/>
  </r>
  <r>
    <x v="3"/>
    <x v="3"/>
    <x v="10"/>
    <n v="22317"/>
    <n v="40"/>
    <n v="3240.91"/>
    <n v="1369.53"/>
    <x v="5"/>
  </r>
  <r>
    <x v="3"/>
    <x v="3"/>
    <x v="10"/>
    <n v="22940"/>
    <n v="595"/>
    <n v="72158.070000000007"/>
    <n v="14062.36"/>
    <x v="2"/>
  </r>
  <r>
    <x v="3"/>
    <x v="3"/>
    <x v="10"/>
    <n v="23178"/>
    <n v="123"/>
    <n v="21815.95"/>
    <n v="5124.91"/>
    <x v="2"/>
  </r>
  <r>
    <x v="3"/>
    <x v="3"/>
    <x v="10"/>
    <n v="23600"/>
    <n v="915"/>
    <n v="107497.73"/>
    <n v="27779.88"/>
    <x v="2"/>
  </r>
  <r>
    <x v="3"/>
    <x v="3"/>
    <x v="10"/>
    <n v="23756"/>
    <n v="81"/>
    <n v="12492.73"/>
    <n v="5149.57"/>
    <x v="1"/>
  </r>
  <r>
    <x v="3"/>
    <x v="3"/>
    <x v="10"/>
    <n v="24326"/>
    <n v="114"/>
    <n v="16698.759999999998"/>
    <n v="3778.25"/>
    <x v="4"/>
  </r>
  <r>
    <x v="0"/>
    <x v="3"/>
    <x v="11"/>
    <n v="12184"/>
    <n v="50"/>
    <n v="5846.1"/>
    <n v="2960.32"/>
    <x v="0"/>
  </r>
  <r>
    <x v="0"/>
    <x v="3"/>
    <x v="11"/>
    <n v="12622"/>
    <n v="37"/>
    <n v="10873.9"/>
    <n v="5593.43"/>
    <x v="1"/>
  </r>
  <r>
    <x v="0"/>
    <x v="3"/>
    <x v="11"/>
    <n v="13527"/>
    <n v="471"/>
    <n v="70412.33"/>
    <n v="12297.22"/>
    <x v="2"/>
  </r>
  <r>
    <x v="0"/>
    <x v="3"/>
    <x v="11"/>
    <n v="13618"/>
    <n v="19"/>
    <n v="7218.69"/>
    <n v="3340.38"/>
    <x v="1"/>
  </r>
  <r>
    <x v="0"/>
    <x v="3"/>
    <x v="11"/>
    <n v="16024"/>
    <n v="263"/>
    <n v="112072.99"/>
    <n v="33809.839999999997"/>
    <x v="3"/>
  </r>
  <r>
    <x v="0"/>
    <x v="3"/>
    <x v="11"/>
    <n v="16650"/>
    <n v="50"/>
    <n v="8698.57"/>
    <n v="4181.25"/>
    <x v="0"/>
  </r>
  <r>
    <x v="0"/>
    <x v="3"/>
    <x v="11"/>
    <n v="17892"/>
    <n v="106"/>
    <n v="15633.08"/>
    <n v="4803.1899999999996"/>
    <x v="4"/>
  </r>
  <r>
    <x v="0"/>
    <x v="3"/>
    <x v="11"/>
    <n v="18342"/>
    <n v="110"/>
    <n v="93302.44"/>
    <n v="30692.84"/>
    <x v="3"/>
  </r>
  <r>
    <x v="0"/>
    <x v="3"/>
    <x v="11"/>
    <n v="20177"/>
    <n v="145"/>
    <n v="15563.36"/>
    <n v="5238.4399999999996"/>
    <x v="5"/>
  </r>
  <r>
    <x v="0"/>
    <x v="3"/>
    <x v="11"/>
    <n v="21179"/>
    <n v="44"/>
    <n v="4424.3999999999996"/>
    <n v="2070.98"/>
    <x v="0"/>
  </r>
  <r>
    <x v="0"/>
    <x v="3"/>
    <x v="11"/>
    <n v="21260"/>
    <n v="47"/>
    <n v="9003.26"/>
    <n v="2577.13"/>
    <x v="4"/>
  </r>
  <r>
    <x v="0"/>
    <x v="3"/>
    <x v="11"/>
    <n v="22317"/>
    <n v="53"/>
    <n v="4180.71"/>
    <n v="1685.79"/>
    <x v="5"/>
  </r>
  <r>
    <x v="0"/>
    <x v="3"/>
    <x v="11"/>
    <n v="22940"/>
    <n v="729"/>
    <n v="86247.63"/>
    <n v="18734.990000000002"/>
    <x v="2"/>
  </r>
  <r>
    <x v="0"/>
    <x v="3"/>
    <x v="11"/>
    <n v="23178"/>
    <n v="258"/>
    <n v="41259.18"/>
    <n v="9038.86"/>
    <x v="2"/>
  </r>
  <r>
    <x v="0"/>
    <x v="3"/>
    <x v="11"/>
    <n v="23600"/>
    <n v="846"/>
    <n v="92306.99"/>
    <n v="19369"/>
    <x v="2"/>
  </r>
  <r>
    <x v="0"/>
    <x v="3"/>
    <x v="11"/>
    <n v="23756"/>
    <n v="98"/>
    <n v="16405.22"/>
    <n v="8168.07"/>
    <x v="1"/>
  </r>
  <r>
    <x v="0"/>
    <x v="3"/>
    <x v="11"/>
    <n v="24326"/>
    <n v="171"/>
    <n v="26321.15"/>
    <n v="7465.47"/>
    <x v="4"/>
  </r>
  <r>
    <x v="1"/>
    <x v="3"/>
    <x v="11"/>
    <n v="12184"/>
    <n v="16"/>
    <n v="1728.23"/>
    <n v="750.2"/>
    <x v="0"/>
  </r>
  <r>
    <x v="1"/>
    <x v="3"/>
    <x v="11"/>
    <n v="12622"/>
    <n v="22"/>
    <n v="5775.31"/>
    <n v="2540.9499999999998"/>
    <x v="1"/>
  </r>
  <r>
    <x v="1"/>
    <x v="3"/>
    <x v="11"/>
    <n v="13527"/>
    <n v="266"/>
    <n v="39195.82"/>
    <n v="5898.8"/>
    <x v="2"/>
  </r>
  <r>
    <x v="1"/>
    <x v="3"/>
    <x v="11"/>
    <n v="13618"/>
    <n v="6"/>
    <n v="2381.85"/>
    <n v="1076.08"/>
    <x v="1"/>
  </r>
  <r>
    <x v="1"/>
    <x v="3"/>
    <x v="11"/>
    <n v="16024"/>
    <n v="199"/>
    <n v="97528.45"/>
    <n v="26666.65"/>
    <x v="3"/>
  </r>
  <r>
    <x v="1"/>
    <x v="3"/>
    <x v="11"/>
    <n v="16650"/>
    <n v="34"/>
    <n v="5361.28"/>
    <n v="3517.61"/>
    <x v="0"/>
  </r>
  <r>
    <x v="1"/>
    <x v="3"/>
    <x v="11"/>
    <n v="17892"/>
    <n v="40"/>
    <n v="5676.5"/>
    <n v="1470.47"/>
    <x v="4"/>
  </r>
  <r>
    <x v="1"/>
    <x v="3"/>
    <x v="11"/>
    <n v="18342"/>
    <n v="23"/>
    <n v="20809.189999999999"/>
    <n v="6727.42"/>
    <x v="3"/>
  </r>
  <r>
    <x v="1"/>
    <x v="3"/>
    <x v="11"/>
    <n v="20177"/>
    <n v="15"/>
    <n v="1349.51"/>
    <n v="607.55999999999995"/>
    <x v="5"/>
  </r>
  <r>
    <x v="1"/>
    <x v="3"/>
    <x v="11"/>
    <n v="21179"/>
    <n v="19"/>
    <n v="2047.73"/>
    <n v="1198.3800000000001"/>
    <x v="0"/>
  </r>
  <r>
    <x v="1"/>
    <x v="3"/>
    <x v="11"/>
    <n v="21260"/>
    <n v="42"/>
    <n v="7910.89"/>
    <n v="1648.16"/>
    <x v="4"/>
  </r>
  <r>
    <x v="1"/>
    <x v="3"/>
    <x v="11"/>
    <n v="22317"/>
    <n v="11"/>
    <n v="1110.01"/>
    <n v="514.51"/>
    <x v="5"/>
  </r>
  <r>
    <x v="1"/>
    <x v="3"/>
    <x v="11"/>
    <n v="22940"/>
    <n v="225"/>
    <n v="30758.9"/>
    <n v="7115.72"/>
    <x v="2"/>
  </r>
  <r>
    <x v="1"/>
    <x v="3"/>
    <x v="11"/>
    <n v="23178"/>
    <n v="334"/>
    <n v="63812.28"/>
    <n v="19212.29"/>
    <x v="2"/>
  </r>
  <r>
    <x v="1"/>
    <x v="3"/>
    <x v="11"/>
    <n v="23600"/>
    <n v="648"/>
    <n v="64431.44"/>
    <n v="17214.07"/>
    <x v="2"/>
  </r>
  <r>
    <x v="1"/>
    <x v="3"/>
    <x v="11"/>
    <n v="23756"/>
    <n v="77"/>
    <n v="14187.56"/>
    <n v="5500.68"/>
    <x v="1"/>
  </r>
  <r>
    <x v="1"/>
    <x v="3"/>
    <x v="11"/>
    <n v="24326"/>
    <n v="17"/>
    <n v="2611.58"/>
    <n v="844.33"/>
    <x v="4"/>
  </r>
  <r>
    <x v="2"/>
    <x v="3"/>
    <x v="11"/>
    <n v="12184"/>
    <n v="116"/>
    <n v="14380.97"/>
    <n v="10237.57"/>
    <x v="0"/>
  </r>
  <r>
    <x v="2"/>
    <x v="3"/>
    <x v="11"/>
    <n v="12622"/>
    <n v="31"/>
    <n v="7718.86"/>
    <n v="3974.28"/>
    <x v="1"/>
  </r>
  <r>
    <x v="2"/>
    <x v="3"/>
    <x v="11"/>
    <n v="13527"/>
    <n v="268"/>
    <n v="46753.62"/>
    <n v="10307.280000000001"/>
    <x v="2"/>
  </r>
  <r>
    <x v="2"/>
    <x v="3"/>
    <x v="11"/>
    <n v="13618"/>
    <n v="27"/>
    <n v="12644.85"/>
    <n v="7053.7"/>
    <x v="1"/>
  </r>
  <r>
    <x v="2"/>
    <x v="3"/>
    <x v="11"/>
    <n v="16024"/>
    <n v="238"/>
    <n v="107822.32"/>
    <n v="32612.04"/>
    <x v="3"/>
  </r>
  <r>
    <x v="2"/>
    <x v="3"/>
    <x v="11"/>
    <n v="16650"/>
    <n v="27"/>
    <n v="4694.8599999999997"/>
    <n v="3642.28"/>
    <x v="0"/>
  </r>
  <r>
    <x v="2"/>
    <x v="3"/>
    <x v="11"/>
    <n v="17892"/>
    <n v="132"/>
    <n v="21111.91"/>
    <n v="7489.03"/>
    <x v="4"/>
  </r>
  <r>
    <x v="2"/>
    <x v="3"/>
    <x v="11"/>
    <n v="18342"/>
    <n v="97"/>
    <n v="81846.67"/>
    <n v="20445.29"/>
    <x v="3"/>
  </r>
  <r>
    <x v="2"/>
    <x v="3"/>
    <x v="11"/>
    <n v="20177"/>
    <n v="38"/>
    <n v="3344.63"/>
    <n v="1289.08"/>
    <x v="5"/>
  </r>
  <r>
    <x v="2"/>
    <x v="3"/>
    <x v="11"/>
    <n v="21179"/>
    <n v="53"/>
    <n v="6542.78"/>
    <n v="4919.1400000000003"/>
    <x v="0"/>
  </r>
  <r>
    <x v="2"/>
    <x v="3"/>
    <x v="11"/>
    <n v="21260"/>
    <n v="56"/>
    <n v="9870.4699999999993"/>
    <n v="3239.96"/>
    <x v="4"/>
  </r>
  <r>
    <x v="2"/>
    <x v="3"/>
    <x v="11"/>
    <n v="22317"/>
    <n v="35"/>
    <n v="3370.98"/>
    <n v="1675.76"/>
    <x v="5"/>
  </r>
  <r>
    <x v="2"/>
    <x v="3"/>
    <x v="11"/>
    <n v="22940"/>
    <n v="353"/>
    <n v="48992.06"/>
    <n v="12175.32"/>
    <x v="2"/>
  </r>
  <r>
    <x v="2"/>
    <x v="3"/>
    <x v="11"/>
    <n v="23178"/>
    <n v="180"/>
    <n v="35185.9"/>
    <n v="10197.83"/>
    <x v="2"/>
  </r>
  <r>
    <x v="2"/>
    <x v="3"/>
    <x v="11"/>
    <n v="23600"/>
    <n v="975"/>
    <n v="120181.63"/>
    <n v="37213.279999999999"/>
    <x v="2"/>
  </r>
  <r>
    <x v="2"/>
    <x v="3"/>
    <x v="11"/>
    <n v="23756"/>
    <n v="46"/>
    <n v="8405.94"/>
    <n v="5097.34"/>
    <x v="1"/>
  </r>
  <r>
    <x v="2"/>
    <x v="3"/>
    <x v="11"/>
    <n v="24326"/>
    <n v="93"/>
    <n v="12426.81"/>
    <n v="3875.27"/>
    <x v="4"/>
  </r>
  <r>
    <x v="3"/>
    <x v="3"/>
    <x v="11"/>
    <n v="12184"/>
    <n v="46"/>
    <n v="6705.24"/>
    <n v="3651.1"/>
    <x v="0"/>
  </r>
  <r>
    <x v="3"/>
    <x v="3"/>
    <x v="11"/>
    <n v="12622"/>
    <n v="66"/>
    <n v="20866.73"/>
    <n v="8971.25"/>
    <x v="1"/>
  </r>
  <r>
    <x v="3"/>
    <x v="3"/>
    <x v="11"/>
    <n v="13527"/>
    <n v="425"/>
    <n v="68538.64"/>
    <n v="15649.3"/>
    <x v="2"/>
  </r>
  <r>
    <x v="3"/>
    <x v="3"/>
    <x v="11"/>
    <n v="13618"/>
    <n v="12"/>
    <n v="5476.34"/>
    <n v="2370.71"/>
    <x v="1"/>
  </r>
  <r>
    <x v="3"/>
    <x v="3"/>
    <x v="11"/>
    <n v="16024"/>
    <n v="187"/>
    <n v="81137.899999999994"/>
    <n v="18534.28"/>
    <x v="3"/>
  </r>
  <r>
    <x v="3"/>
    <x v="3"/>
    <x v="11"/>
    <n v="16650"/>
    <n v="54"/>
    <n v="9532.39"/>
    <n v="4721.58"/>
    <x v="0"/>
  </r>
  <r>
    <x v="3"/>
    <x v="3"/>
    <x v="11"/>
    <n v="17892"/>
    <n v="72"/>
    <n v="9814.84"/>
    <n v="2640.46"/>
    <x v="4"/>
  </r>
  <r>
    <x v="3"/>
    <x v="3"/>
    <x v="11"/>
    <n v="18342"/>
    <n v="217"/>
    <n v="192603.6"/>
    <n v="41064.76"/>
    <x v="3"/>
  </r>
  <r>
    <x v="3"/>
    <x v="3"/>
    <x v="11"/>
    <n v="20177"/>
    <n v="56"/>
    <n v="6360.71"/>
    <n v="2673.24"/>
    <x v="5"/>
  </r>
  <r>
    <x v="3"/>
    <x v="3"/>
    <x v="11"/>
    <n v="21179"/>
    <n v="33"/>
    <n v="3388.54"/>
    <n v="1893.86"/>
    <x v="0"/>
  </r>
  <r>
    <x v="3"/>
    <x v="3"/>
    <x v="11"/>
    <n v="21260"/>
    <n v="81"/>
    <n v="17182.439999999999"/>
    <n v="4966.01"/>
    <x v="4"/>
  </r>
  <r>
    <x v="3"/>
    <x v="3"/>
    <x v="11"/>
    <n v="22317"/>
    <n v="44"/>
    <n v="4065.43"/>
    <n v="1629.74"/>
    <x v="5"/>
  </r>
  <r>
    <x v="3"/>
    <x v="3"/>
    <x v="11"/>
    <n v="22940"/>
    <n v="323"/>
    <n v="40251.040000000001"/>
    <n v="8905.2000000000007"/>
    <x v="2"/>
  </r>
  <r>
    <x v="3"/>
    <x v="3"/>
    <x v="11"/>
    <n v="23178"/>
    <n v="268"/>
    <n v="45324.24"/>
    <n v="9022.19"/>
    <x v="2"/>
  </r>
  <r>
    <x v="3"/>
    <x v="3"/>
    <x v="11"/>
    <n v="23600"/>
    <n v="731"/>
    <n v="76446.58"/>
    <n v="15880.57"/>
    <x v="2"/>
  </r>
  <r>
    <x v="3"/>
    <x v="3"/>
    <x v="11"/>
    <n v="23756"/>
    <n v="56"/>
    <n v="10253.120000000001"/>
    <n v="4824.82"/>
    <x v="1"/>
  </r>
  <r>
    <x v="3"/>
    <x v="3"/>
    <x v="11"/>
    <n v="24326"/>
    <n v="96"/>
    <n v="14677.8"/>
    <n v="3485.93"/>
    <x v="4"/>
  </r>
  <r>
    <x v="0"/>
    <x v="4"/>
    <x v="0"/>
    <n v="12184"/>
    <n v="97"/>
    <n v="12914.93"/>
    <n v="7020.93"/>
    <x v="0"/>
  </r>
  <r>
    <x v="0"/>
    <x v="4"/>
    <x v="0"/>
    <n v="12622"/>
    <n v="71"/>
    <n v="16349.02"/>
    <n v="7461.5"/>
    <x v="1"/>
  </r>
  <r>
    <x v="0"/>
    <x v="4"/>
    <x v="0"/>
    <n v="13527"/>
    <n v="531"/>
    <n v="82590.600000000006"/>
    <n v="17416"/>
    <x v="2"/>
  </r>
  <r>
    <x v="0"/>
    <x v="4"/>
    <x v="0"/>
    <n v="13618"/>
    <n v="22"/>
    <n v="9570.84"/>
    <n v="4119.07"/>
    <x v="1"/>
  </r>
  <r>
    <x v="0"/>
    <x v="4"/>
    <x v="0"/>
    <n v="16024"/>
    <n v="335"/>
    <n v="149740.03"/>
    <n v="47503.62"/>
    <x v="3"/>
  </r>
  <r>
    <x v="0"/>
    <x v="4"/>
    <x v="0"/>
    <n v="16650"/>
    <n v="50"/>
    <n v="7425.74"/>
    <n v="3183.96"/>
    <x v="0"/>
  </r>
  <r>
    <x v="0"/>
    <x v="4"/>
    <x v="0"/>
    <n v="17892"/>
    <n v="79"/>
    <n v="12361.22"/>
    <n v="3822.66"/>
    <x v="4"/>
  </r>
  <r>
    <x v="0"/>
    <x v="4"/>
    <x v="0"/>
    <n v="18342"/>
    <n v="181"/>
    <n v="138669.20000000001"/>
    <n v="35034.32"/>
    <x v="3"/>
  </r>
  <r>
    <x v="0"/>
    <x v="4"/>
    <x v="0"/>
    <n v="20177"/>
    <n v="60"/>
    <n v="5175.05"/>
    <n v="1905.03"/>
    <x v="5"/>
  </r>
  <r>
    <x v="0"/>
    <x v="4"/>
    <x v="0"/>
    <n v="21179"/>
    <n v="31"/>
    <n v="3869.77"/>
    <n v="2059.2199999999998"/>
    <x v="0"/>
  </r>
  <r>
    <x v="0"/>
    <x v="4"/>
    <x v="0"/>
    <n v="21260"/>
    <n v="64"/>
    <n v="11188.13"/>
    <n v="3326.74"/>
    <x v="4"/>
  </r>
  <r>
    <x v="0"/>
    <x v="4"/>
    <x v="0"/>
    <n v="22317"/>
    <n v="72"/>
    <n v="6535.38"/>
    <n v="2738.79"/>
    <x v="5"/>
  </r>
  <r>
    <x v="0"/>
    <x v="4"/>
    <x v="0"/>
    <n v="22940"/>
    <n v="641"/>
    <n v="88027.91"/>
    <n v="17094.39"/>
    <x v="2"/>
  </r>
  <r>
    <x v="0"/>
    <x v="4"/>
    <x v="0"/>
    <n v="23178"/>
    <n v="172"/>
    <n v="28347.07"/>
    <n v="5500.28"/>
    <x v="2"/>
  </r>
  <r>
    <x v="0"/>
    <x v="4"/>
    <x v="0"/>
    <n v="23600"/>
    <n v="1336"/>
    <n v="154190.73000000001"/>
    <n v="31515.72"/>
    <x v="2"/>
  </r>
  <r>
    <x v="0"/>
    <x v="4"/>
    <x v="0"/>
    <n v="23756"/>
    <n v="57"/>
    <n v="11333.1"/>
    <n v="5693.98"/>
    <x v="1"/>
  </r>
  <r>
    <x v="0"/>
    <x v="4"/>
    <x v="0"/>
    <n v="24326"/>
    <n v="130"/>
    <n v="16461.73"/>
    <n v="5221.29"/>
    <x v="4"/>
  </r>
  <r>
    <x v="1"/>
    <x v="4"/>
    <x v="0"/>
    <n v="12184"/>
    <n v="28"/>
    <n v="3618.36"/>
    <n v="2051.15"/>
    <x v="0"/>
  </r>
  <r>
    <x v="1"/>
    <x v="4"/>
    <x v="0"/>
    <n v="12622"/>
    <n v="21"/>
    <n v="6156.95"/>
    <n v="2428.81"/>
    <x v="1"/>
  </r>
  <r>
    <x v="1"/>
    <x v="4"/>
    <x v="0"/>
    <n v="13527"/>
    <n v="255"/>
    <n v="38447.18"/>
    <n v="6859.93"/>
    <x v="2"/>
  </r>
  <r>
    <x v="1"/>
    <x v="4"/>
    <x v="0"/>
    <n v="13618"/>
    <n v="3"/>
    <n v="1296.06"/>
    <n v="505.13"/>
    <x v="1"/>
  </r>
  <r>
    <x v="1"/>
    <x v="4"/>
    <x v="0"/>
    <n v="16024"/>
    <n v="202"/>
    <n v="82809.100000000006"/>
    <n v="28668.41"/>
    <x v="3"/>
  </r>
  <r>
    <x v="1"/>
    <x v="4"/>
    <x v="0"/>
    <n v="16650"/>
    <n v="32"/>
    <n v="3965.89"/>
    <n v="2683.55"/>
    <x v="0"/>
  </r>
  <r>
    <x v="1"/>
    <x v="4"/>
    <x v="0"/>
    <n v="17892"/>
    <n v="64"/>
    <n v="8554.39"/>
    <n v="1931.39"/>
    <x v="4"/>
  </r>
  <r>
    <x v="1"/>
    <x v="4"/>
    <x v="0"/>
    <n v="18342"/>
    <n v="17"/>
    <n v="13084.86"/>
    <n v="4460.8100000000004"/>
    <x v="3"/>
  </r>
  <r>
    <x v="1"/>
    <x v="4"/>
    <x v="0"/>
    <n v="20177"/>
    <n v="28"/>
    <n v="3280.13"/>
    <n v="1380.49"/>
    <x v="5"/>
  </r>
  <r>
    <x v="1"/>
    <x v="4"/>
    <x v="0"/>
    <n v="21179"/>
    <n v="42"/>
    <n v="5070.72"/>
    <n v="2648.18"/>
    <x v="0"/>
  </r>
  <r>
    <x v="1"/>
    <x v="4"/>
    <x v="0"/>
    <n v="21260"/>
    <n v="35"/>
    <n v="6725.3"/>
    <n v="1681.61"/>
    <x v="4"/>
  </r>
  <r>
    <x v="1"/>
    <x v="4"/>
    <x v="0"/>
    <n v="22317"/>
    <n v="11"/>
    <n v="828.59"/>
    <n v="387.11"/>
    <x v="5"/>
  </r>
  <r>
    <x v="1"/>
    <x v="4"/>
    <x v="0"/>
    <n v="22940"/>
    <n v="229"/>
    <n v="30373.87"/>
    <n v="7754.19"/>
    <x v="2"/>
  </r>
  <r>
    <x v="1"/>
    <x v="4"/>
    <x v="0"/>
    <n v="23178"/>
    <n v="300"/>
    <n v="56032.13"/>
    <n v="15144.73"/>
    <x v="2"/>
  </r>
  <r>
    <x v="1"/>
    <x v="4"/>
    <x v="0"/>
    <n v="23600"/>
    <n v="657"/>
    <n v="76600.7"/>
    <n v="17596.560000000001"/>
    <x v="2"/>
  </r>
  <r>
    <x v="1"/>
    <x v="4"/>
    <x v="0"/>
    <n v="23756"/>
    <n v="48"/>
    <n v="9359.76"/>
    <n v="3830.53"/>
    <x v="1"/>
  </r>
  <r>
    <x v="1"/>
    <x v="4"/>
    <x v="0"/>
    <n v="24326"/>
    <n v="24"/>
    <n v="3625.21"/>
    <n v="1107.0899999999999"/>
    <x v="4"/>
  </r>
  <r>
    <x v="2"/>
    <x v="4"/>
    <x v="0"/>
    <n v="12184"/>
    <n v="78"/>
    <n v="8481.8700000000008"/>
    <n v="5347.18"/>
    <x v="0"/>
  </r>
  <r>
    <x v="2"/>
    <x v="4"/>
    <x v="0"/>
    <n v="12622"/>
    <n v="56"/>
    <n v="18622.98"/>
    <n v="10497.5"/>
    <x v="1"/>
  </r>
  <r>
    <x v="2"/>
    <x v="4"/>
    <x v="0"/>
    <n v="13527"/>
    <n v="361"/>
    <n v="61634.87"/>
    <n v="16972.07"/>
    <x v="2"/>
  </r>
  <r>
    <x v="2"/>
    <x v="4"/>
    <x v="0"/>
    <n v="13618"/>
    <n v="29"/>
    <n v="11259.26"/>
    <n v="6170.77"/>
    <x v="1"/>
  </r>
  <r>
    <x v="2"/>
    <x v="4"/>
    <x v="0"/>
    <n v="16024"/>
    <n v="249"/>
    <n v="112672.13"/>
    <n v="37790.730000000003"/>
    <x v="3"/>
  </r>
  <r>
    <x v="2"/>
    <x v="4"/>
    <x v="0"/>
    <n v="16650"/>
    <n v="33"/>
    <n v="5433.45"/>
    <n v="3298.52"/>
    <x v="0"/>
  </r>
  <r>
    <x v="2"/>
    <x v="4"/>
    <x v="0"/>
    <n v="17892"/>
    <n v="100"/>
    <n v="13354.36"/>
    <n v="4657.3999999999996"/>
    <x v="4"/>
  </r>
  <r>
    <x v="2"/>
    <x v="4"/>
    <x v="0"/>
    <n v="18342"/>
    <n v="175"/>
    <n v="157593.10999999999"/>
    <n v="53547.16"/>
    <x v="3"/>
  </r>
  <r>
    <x v="2"/>
    <x v="4"/>
    <x v="0"/>
    <n v="20177"/>
    <n v="88"/>
    <n v="9655.52"/>
    <n v="4121.37"/>
    <x v="5"/>
  </r>
  <r>
    <x v="2"/>
    <x v="4"/>
    <x v="0"/>
    <n v="21179"/>
    <n v="71"/>
    <n v="8172.9"/>
    <n v="5422.58"/>
    <x v="0"/>
  </r>
  <r>
    <x v="2"/>
    <x v="4"/>
    <x v="0"/>
    <n v="21260"/>
    <n v="34"/>
    <n v="7357.61"/>
    <n v="2256.3000000000002"/>
    <x v="4"/>
  </r>
  <r>
    <x v="2"/>
    <x v="4"/>
    <x v="0"/>
    <n v="22317"/>
    <n v="46"/>
    <n v="3624.83"/>
    <n v="1612.98"/>
    <x v="5"/>
  </r>
  <r>
    <x v="2"/>
    <x v="4"/>
    <x v="0"/>
    <n v="22940"/>
    <n v="307"/>
    <n v="42423.07"/>
    <n v="10777.25"/>
    <x v="2"/>
  </r>
  <r>
    <x v="2"/>
    <x v="4"/>
    <x v="0"/>
    <n v="23178"/>
    <n v="156"/>
    <n v="27166.71"/>
    <n v="6751.77"/>
    <x v="2"/>
  </r>
  <r>
    <x v="2"/>
    <x v="4"/>
    <x v="0"/>
    <n v="23600"/>
    <n v="559"/>
    <n v="62055.72"/>
    <n v="17823.8"/>
    <x v="2"/>
  </r>
  <r>
    <x v="2"/>
    <x v="4"/>
    <x v="0"/>
    <n v="23756"/>
    <n v="121"/>
    <n v="18196.2"/>
    <n v="10944.38"/>
    <x v="1"/>
  </r>
  <r>
    <x v="2"/>
    <x v="4"/>
    <x v="0"/>
    <n v="24326"/>
    <n v="155"/>
    <n v="20460.52"/>
    <n v="5483.78"/>
    <x v="4"/>
  </r>
  <r>
    <x v="3"/>
    <x v="4"/>
    <x v="0"/>
    <n v="12184"/>
    <n v="91"/>
    <n v="9884.59"/>
    <n v="5152.49"/>
    <x v="0"/>
  </r>
  <r>
    <x v="3"/>
    <x v="4"/>
    <x v="0"/>
    <n v="12622"/>
    <n v="24"/>
    <n v="6694.82"/>
    <n v="3475.94"/>
    <x v="1"/>
  </r>
  <r>
    <x v="3"/>
    <x v="4"/>
    <x v="0"/>
    <n v="13527"/>
    <n v="646"/>
    <n v="106492.23"/>
    <n v="24808.87"/>
    <x v="2"/>
  </r>
  <r>
    <x v="3"/>
    <x v="4"/>
    <x v="0"/>
    <n v="13618"/>
    <n v="14"/>
    <n v="5464.33"/>
    <n v="2667.94"/>
    <x v="1"/>
  </r>
  <r>
    <x v="3"/>
    <x v="4"/>
    <x v="0"/>
    <n v="16024"/>
    <n v="95"/>
    <n v="37626.800000000003"/>
    <n v="9066.5400000000009"/>
    <x v="3"/>
  </r>
  <r>
    <x v="3"/>
    <x v="4"/>
    <x v="0"/>
    <n v="16650"/>
    <n v="42"/>
    <n v="7383.02"/>
    <n v="4691.0200000000004"/>
    <x v="0"/>
  </r>
  <r>
    <x v="3"/>
    <x v="4"/>
    <x v="0"/>
    <n v="17892"/>
    <n v="50"/>
    <n v="7618.96"/>
    <n v="2052.13"/>
    <x v="4"/>
  </r>
  <r>
    <x v="3"/>
    <x v="4"/>
    <x v="0"/>
    <n v="18342"/>
    <n v="137"/>
    <n v="124389.63"/>
    <n v="26333.8"/>
    <x v="3"/>
  </r>
  <r>
    <x v="3"/>
    <x v="4"/>
    <x v="0"/>
    <n v="20177"/>
    <n v="97"/>
    <n v="8589.2199999999993"/>
    <n v="2970.25"/>
    <x v="5"/>
  </r>
  <r>
    <x v="3"/>
    <x v="4"/>
    <x v="0"/>
    <n v="21179"/>
    <n v="39"/>
    <n v="4736.63"/>
    <n v="2684.64"/>
    <x v="0"/>
  </r>
  <r>
    <x v="3"/>
    <x v="4"/>
    <x v="0"/>
    <n v="21260"/>
    <n v="43"/>
    <n v="7836.37"/>
    <n v="1741"/>
    <x v="4"/>
  </r>
  <r>
    <x v="3"/>
    <x v="4"/>
    <x v="0"/>
    <n v="22317"/>
    <n v="73"/>
    <n v="6958.32"/>
    <n v="2845.29"/>
    <x v="5"/>
  </r>
  <r>
    <x v="3"/>
    <x v="4"/>
    <x v="0"/>
    <n v="22940"/>
    <n v="419"/>
    <n v="49022.96"/>
    <n v="9871.08"/>
    <x v="2"/>
  </r>
  <r>
    <x v="3"/>
    <x v="4"/>
    <x v="0"/>
    <n v="23178"/>
    <n v="138"/>
    <n v="23389.279999999999"/>
    <n v="5076.8100000000004"/>
    <x v="2"/>
  </r>
  <r>
    <x v="3"/>
    <x v="4"/>
    <x v="0"/>
    <n v="23600"/>
    <n v="551"/>
    <n v="60308.6"/>
    <n v="14022.76"/>
    <x v="2"/>
  </r>
  <r>
    <x v="3"/>
    <x v="4"/>
    <x v="0"/>
    <n v="23756"/>
    <n v="130"/>
    <n v="25609.59"/>
    <n v="12259.46"/>
    <x v="1"/>
  </r>
  <r>
    <x v="3"/>
    <x v="4"/>
    <x v="0"/>
    <n v="24326"/>
    <n v="108"/>
    <n v="15167.96"/>
    <n v="3666.33"/>
    <x v="4"/>
  </r>
  <r>
    <x v="0"/>
    <x v="4"/>
    <x v="1"/>
    <n v="12184"/>
    <n v="83"/>
    <n v="10671.55"/>
    <n v="4864.9399999999996"/>
    <x v="0"/>
  </r>
  <r>
    <x v="0"/>
    <x v="4"/>
    <x v="1"/>
    <n v="12622"/>
    <n v="73"/>
    <n v="19101.689999999999"/>
    <n v="8777.69"/>
    <x v="1"/>
  </r>
  <r>
    <x v="0"/>
    <x v="4"/>
    <x v="1"/>
    <n v="13527"/>
    <n v="424"/>
    <n v="63148.24"/>
    <n v="13835.56"/>
    <x v="2"/>
  </r>
  <r>
    <x v="0"/>
    <x v="4"/>
    <x v="1"/>
    <n v="13618"/>
    <n v="13"/>
    <n v="4529.0200000000004"/>
    <n v="2211.4899999999998"/>
    <x v="1"/>
  </r>
  <r>
    <x v="0"/>
    <x v="4"/>
    <x v="1"/>
    <n v="16024"/>
    <n v="128"/>
    <n v="50642.09"/>
    <n v="14351.66"/>
    <x v="3"/>
  </r>
  <r>
    <x v="0"/>
    <x v="4"/>
    <x v="1"/>
    <n v="16650"/>
    <n v="79"/>
    <n v="10750.73"/>
    <n v="5338.93"/>
    <x v="0"/>
  </r>
  <r>
    <x v="0"/>
    <x v="4"/>
    <x v="1"/>
    <n v="17892"/>
    <n v="143"/>
    <n v="21506.6"/>
    <n v="6382.03"/>
    <x v="4"/>
  </r>
  <r>
    <x v="0"/>
    <x v="4"/>
    <x v="1"/>
    <n v="18342"/>
    <n v="204"/>
    <n v="159245.79999999999"/>
    <n v="47778.18"/>
    <x v="3"/>
  </r>
  <r>
    <x v="0"/>
    <x v="4"/>
    <x v="1"/>
    <n v="20177"/>
    <n v="156"/>
    <n v="16271.46"/>
    <n v="6584.9"/>
    <x v="5"/>
  </r>
  <r>
    <x v="0"/>
    <x v="4"/>
    <x v="1"/>
    <n v="21179"/>
    <n v="74"/>
    <n v="9008.42"/>
    <n v="4673.24"/>
    <x v="0"/>
  </r>
  <r>
    <x v="0"/>
    <x v="4"/>
    <x v="1"/>
    <n v="21260"/>
    <n v="53"/>
    <n v="10494.46"/>
    <n v="3348.87"/>
    <x v="4"/>
  </r>
  <r>
    <x v="0"/>
    <x v="4"/>
    <x v="1"/>
    <n v="22317"/>
    <n v="82"/>
    <n v="6289.3"/>
    <n v="2297.1"/>
    <x v="5"/>
  </r>
  <r>
    <x v="0"/>
    <x v="4"/>
    <x v="1"/>
    <n v="22940"/>
    <n v="369"/>
    <n v="46727.1"/>
    <n v="9852.94"/>
    <x v="2"/>
  </r>
  <r>
    <x v="0"/>
    <x v="4"/>
    <x v="1"/>
    <n v="23178"/>
    <n v="450"/>
    <n v="83817.81"/>
    <n v="17338.02"/>
    <x v="2"/>
  </r>
  <r>
    <x v="0"/>
    <x v="4"/>
    <x v="1"/>
    <n v="23600"/>
    <n v="1181"/>
    <n v="119404.16"/>
    <n v="32581.52"/>
    <x v="2"/>
  </r>
  <r>
    <x v="0"/>
    <x v="4"/>
    <x v="1"/>
    <n v="23756"/>
    <n v="113"/>
    <n v="20069.04"/>
    <n v="10355.56"/>
    <x v="1"/>
  </r>
  <r>
    <x v="0"/>
    <x v="4"/>
    <x v="1"/>
    <n v="24326"/>
    <n v="102"/>
    <n v="13984.44"/>
    <n v="3941.59"/>
    <x v="4"/>
  </r>
  <r>
    <x v="1"/>
    <x v="4"/>
    <x v="1"/>
    <n v="12184"/>
    <n v="35"/>
    <n v="4281.79"/>
    <n v="2036.86"/>
    <x v="0"/>
  </r>
  <r>
    <x v="1"/>
    <x v="4"/>
    <x v="1"/>
    <n v="12622"/>
    <n v="9"/>
    <n v="2498.44"/>
    <n v="942.04"/>
    <x v="1"/>
  </r>
  <r>
    <x v="1"/>
    <x v="4"/>
    <x v="1"/>
    <n v="13527"/>
    <n v="281"/>
    <n v="44044.66"/>
    <n v="6623.05"/>
    <x v="2"/>
  </r>
  <r>
    <x v="1"/>
    <x v="4"/>
    <x v="1"/>
    <n v="13618"/>
    <n v="5"/>
    <n v="1649.55"/>
    <n v="621.13"/>
    <x v="1"/>
  </r>
  <r>
    <x v="1"/>
    <x v="4"/>
    <x v="1"/>
    <n v="16024"/>
    <n v="202"/>
    <n v="82711.59"/>
    <n v="25948.94"/>
    <x v="3"/>
  </r>
  <r>
    <x v="1"/>
    <x v="4"/>
    <x v="1"/>
    <n v="16650"/>
    <n v="14"/>
    <n v="2697.18"/>
    <n v="1696.12"/>
    <x v="0"/>
  </r>
  <r>
    <x v="1"/>
    <x v="4"/>
    <x v="1"/>
    <n v="17892"/>
    <n v="105"/>
    <n v="14204.1"/>
    <n v="2961.73"/>
    <x v="4"/>
  </r>
  <r>
    <x v="1"/>
    <x v="4"/>
    <x v="1"/>
    <n v="18342"/>
    <n v="31"/>
    <n v="27545.37"/>
    <n v="8175.35"/>
    <x v="3"/>
  </r>
  <r>
    <x v="1"/>
    <x v="4"/>
    <x v="1"/>
    <n v="20177"/>
    <n v="23"/>
    <n v="2290.61"/>
    <n v="873.51"/>
    <x v="5"/>
  </r>
  <r>
    <x v="1"/>
    <x v="4"/>
    <x v="1"/>
    <n v="21179"/>
    <n v="20"/>
    <n v="2056.5100000000002"/>
    <n v="1123.0899999999999"/>
    <x v="0"/>
  </r>
  <r>
    <x v="1"/>
    <x v="4"/>
    <x v="1"/>
    <n v="21260"/>
    <n v="41"/>
    <n v="7930.67"/>
    <n v="1932.23"/>
    <x v="4"/>
  </r>
  <r>
    <x v="1"/>
    <x v="4"/>
    <x v="1"/>
    <n v="22317"/>
    <n v="16"/>
    <n v="1440.12"/>
    <n v="654.13"/>
    <x v="5"/>
  </r>
  <r>
    <x v="1"/>
    <x v="4"/>
    <x v="1"/>
    <n v="22940"/>
    <n v="202"/>
    <n v="27085.71"/>
    <n v="6449.05"/>
    <x v="2"/>
  </r>
  <r>
    <x v="1"/>
    <x v="4"/>
    <x v="1"/>
    <n v="23178"/>
    <n v="150"/>
    <n v="29498.47"/>
    <n v="7301.42"/>
    <x v="2"/>
  </r>
  <r>
    <x v="1"/>
    <x v="4"/>
    <x v="1"/>
    <n v="23600"/>
    <n v="402"/>
    <n v="45470.36"/>
    <n v="12267.4"/>
    <x v="2"/>
  </r>
  <r>
    <x v="1"/>
    <x v="4"/>
    <x v="1"/>
    <n v="23756"/>
    <n v="90"/>
    <n v="13391.71"/>
    <n v="6174.59"/>
    <x v="1"/>
  </r>
  <r>
    <x v="1"/>
    <x v="4"/>
    <x v="1"/>
    <n v="24326"/>
    <n v="33"/>
    <n v="4430.57"/>
    <n v="1255.79"/>
    <x v="4"/>
  </r>
  <r>
    <x v="2"/>
    <x v="4"/>
    <x v="1"/>
    <n v="12184"/>
    <n v="88"/>
    <n v="8783.84"/>
    <n v="6180.44"/>
    <x v="0"/>
  </r>
  <r>
    <x v="2"/>
    <x v="4"/>
    <x v="1"/>
    <n v="12622"/>
    <n v="42"/>
    <n v="10239.780000000001"/>
    <n v="6184.87"/>
    <x v="1"/>
  </r>
  <r>
    <x v="2"/>
    <x v="4"/>
    <x v="1"/>
    <n v="13527"/>
    <n v="375"/>
    <n v="61215.69"/>
    <n v="17051.12"/>
    <x v="2"/>
  </r>
  <r>
    <x v="2"/>
    <x v="4"/>
    <x v="1"/>
    <n v="13618"/>
    <n v="24"/>
    <n v="10076.43"/>
    <n v="5686.58"/>
    <x v="1"/>
  </r>
  <r>
    <x v="2"/>
    <x v="4"/>
    <x v="1"/>
    <n v="16024"/>
    <n v="177"/>
    <n v="85049.36"/>
    <n v="22749.05"/>
    <x v="3"/>
  </r>
  <r>
    <x v="2"/>
    <x v="4"/>
    <x v="1"/>
    <n v="16650"/>
    <n v="43"/>
    <n v="6754.57"/>
    <n v="4525.3599999999997"/>
    <x v="0"/>
  </r>
  <r>
    <x v="2"/>
    <x v="4"/>
    <x v="1"/>
    <n v="17892"/>
    <n v="60"/>
    <n v="8914.39"/>
    <n v="3108.81"/>
    <x v="4"/>
  </r>
  <r>
    <x v="2"/>
    <x v="4"/>
    <x v="1"/>
    <n v="18342"/>
    <n v="131"/>
    <n v="105908.9"/>
    <n v="28704.639999999999"/>
    <x v="3"/>
  </r>
  <r>
    <x v="2"/>
    <x v="4"/>
    <x v="1"/>
    <n v="20177"/>
    <n v="65"/>
    <n v="6685.1"/>
    <n v="2940.08"/>
    <x v="5"/>
  </r>
  <r>
    <x v="2"/>
    <x v="4"/>
    <x v="1"/>
    <n v="21179"/>
    <n v="56"/>
    <n v="6629.58"/>
    <n v="4069.55"/>
    <x v="0"/>
  </r>
  <r>
    <x v="2"/>
    <x v="4"/>
    <x v="1"/>
    <n v="21260"/>
    <n v="72"/>
    <n v="13750.87"/>
    <n v="4491.24"/>
    <x v="4"/>
  </r>
  <r>
    <x v="2"/>
    <x v="4"/>
    <x v="1"/>
    <n v="22317"/>
    <n v="38"/>
    <n v="2998.33"/>
    <n v="1155.08"/>
    <x v="5"/>
  </r>
  <r>
    <x v="2"/>
    <x v="4"/>
    <x v="1"/>
    <n v="22940"/>
    <n v="341"/>
    <n v="41031.1"/>
    <n v="10857.85"/>
    <x v="2"/>
  </r>
  <r>
    <x v="2"/>
    <x v="4"/>
    <x v="1"/>
    <n v="23178"/>
    <n v="125"/>
    <n v="21143.46"/>
    <n v="6098.64"/>
    <x v="2"/>
  </r>
  <r>
    <x v="2"/>
    <x v="4"/>
    <x v="1"/>
    <n v="23600"/>
    <n v="1028"/>
    <n v="106779.76"/>
    <n v="32573.79"/>
    <x v="2"/>
  </r>
  <r>
    <x v="2"/>
    <x v="4"/>
    <x v="1"/>
    <n v="23756"/>
    <n v="59"/>
    <n v="12548.56"/>
    <n v="7896.85"/>
    <x v="1"/>
  </r>
  <r>
    <x v="2"/>
    <x v="4"/>
    <x v="1"/>
    <n v="24326"/>
    <n v="54"/>
    <n v="7052.68"/>
    <n v="2255.6799999999998"/>
    <x v="4"/>
  </r>
  <r>
    <x v="3"/>
    <x v="4"/>
    <x v="1"/>
    <n v="12184"/>
    <n v="81"/>
    <n v="8852.19"/>
    <n v="4997.3900000000003"/>
    <x v="0"/>
  </r>
  <r>
    <x v="3"/>
    <x v="4"/>
    <x v="1"/>
    <n v="12622"/>
    <n v="29"/>
    <n v="7419.83"/>
    <n v="3371.69"/>
    <x v="1"/>
  </r>
  <r>
    <x v="3"/>
    <x v="4"/>
    <x v="1"/>
    <n v="13527"/>
    <n v="279"/>
    <n v="46607.38"/>
    <n v="10157.030000000001"/>
    <x v="2"/>
  </r>
  <r>
    <x v="3"/>
    <x v="4"/>
    <x v="1"/>
    <n v="13618"/>
    <n v="13"/>
    <n v="4799.7299999999996"/>
    <n v="2599.96"/>
    <x v="1"/>
  </r>
  <r>
    <x v="3"/>
    <x v="4"/>
    <x v="1"/>
    <n v="16024"/>
    <n v="154"/>
    <n v="62224.31"/>
    <n v="13770.57"/>
    <x v="3"/>
  </r>
  <r>
    <x v="3"/>
    <x v="4"/>
    <x v="1"/>
    <n v="16650"/>
    <n v="29"/>
    <n v="4065.64"/>
    <n v="2335.06"/>
    <x v="0"/>
  </r>
  <r>
    <x v="3"/>
    <x v="4"/>
    <x v="1"/>
    <n v="17892"/>
    <n v="55"/>
    <n v="8190.05"/>
    <n v="1828.71"/>
    <x v="4"/>
  </r>
  <r>
    <x v="3"/>
    <x v="4"/>
    <x v="1"/>
    <n v="18342"/>
    <n v="106"/>
    <n v="78254.850000000006"/>
    <n v="20798.59"/>
    <x v="3"/>
  </r>
  <r>
    <x v="3"/>
    <x v="4"/>
    <x v="1"/>
    <n v="20177"/>
    <n v="62"/>
    <n v="6084.3"/>
    <n v="2480.27"/>
    <x v="5"/>
  </r>
  <r>
    <x v="3"/>
    <x v="4"/>
    <x v="1"/>
    <n v="21179"/>
    <n v="57"/>
    <n v="8044.43"/>
    <n v="4502.3900000000003"/>
    <x v="0"/>
  </r>
  <r>
    <x v="3"/>
    <x v="4"/>
    <x v="1"/>
    <n v="21260"/>
    <n v="70"/>
    <n v="12124.82"/>
    <n v="3309.23"/>
    <x v="4"/>
  </r>
  <r>
    <x v="3"/>
    <x v="4"/>
    <x v="1"/>
    <n v="22317"/>
    <n v="86"/>
    <n v="6746.64"/>
    <n v="2562.86"/>
    <x v="5"/>
  </r>
  <r>
    <x v="3"/>
    <x v="4"/>
    <x v="1"/>
    <n v="22940"/>
    <n v="557"/>
    <n v="75493.73"/>
    <n v="15414.95"/>
    <x v="2"/>
  </r>
  <r>
    <x v="3"/>
    <x v="4"/>
    <x v="1"/>
    <n v="23178"/>
    <n v="204"/>
    <n v="37968.97"/>
    <n v="7153.02"/>
    <x v="2"/>
  </r>
  <r>
    <x v="3"/>
    <x v="4"/>
    <x v="1"/>
    <n v="23600"/>
    <n v="975"/>
    <n v="118231.06"/>
    <n v="32238.51"/>
    <x v="2"/>
  </r>
  <r>
    <x v="3"/>
    <x v="4"/>
    <x v="1"/>
    <n v="23756"/>
    <n v="85"/>
    <n v="17936.47"/>
    <n v="8557.8799999999992"/>
    <x v="1"/>
  </r>
  <r>
    <x v="3"/>
    <x v="4"/>
    <x v="1"/>
    <n v="24326"/>
    <n v="84"/>
    <n v="11021.69"/>
    <n v="3137.83"/>
    <x v="4"/>
  </r>
  <r>
    <x v="0"/>
    <x v="4"/>
    <x v="2"/>
    <n v="12184"/>
    <n v="111"/>
    <n v="12007.41"/>
    <n v="6160.46"/>
    <x v="0"/>
  </r>
  <r>
    <x v="0"/>
    <x v="4"/>
    <x v="2"/>
    <n v="12622"/>
    <n v="56"/>
    <n v="17455.82"/>
    <n v="7446.88"/>
    <x v="1"/>
  </r>
  <r>
    <x v="0"/>
    <x v="4"/>
    <x v="2"/>
    <n v="13527"/>
    <n v="419"/>
    <n v="66767.53"/>
    <n v="13314.19"/>
    <x v="2"/>
  </r>
  <r>
    <x v="0"/>
    <x v="4"/>
    <x v="2"/>
    <n v="13618"/>
    <n v="31"/>
    <n v="11033.81"/>
    <n v="5209.66"/>
    <x v="1"/>
  </r>
  <r>
    <x v="0"/>
    <x v="4"/>
    <x v="2"/>
    <n v="16024"/>
    <n v="153"/>
    <n v="58615.72"/>
    <n v="16617.59"/>
    <x v="3"/>
  </r>
  <r>
    <x v="0"/>
    <x v="4"/>
    <x v="2"/>
    <n v="16650"/>
    <n v="64"/>
    <n v="10402.02"/>
    <n v="5147.6499999999996"/>
    <x v="0"/>
  </r>
  <r>
    <x v="0"/>
    <x v="4"/>
    <x v="2"/>
    <n v="17892"/>
    <n v="161"/>
    <n v="24173.21"/>
    <n v="6828.46"/>
    <x v="4"/>
  </r>
  <r>
    <x v="0"/>
    <x v="4"/>
    <x v="2"/>
    <n v="18342"/>
    <n v="125"/>
    <n v="115989.28"/>
    <n v="31929"/>
    <x v="3"/>
  </r>
  <r>
    <x v="0"/>
    <x v="4"/>
    <x v="2"/>
    <n v="20177"/>
    <n v="70"/>
    <n v="7881.15"/>
    <n v="3117.5"/>
    <x v="5"/>
  </r>
  <r>
    <x v="0"/>
    <x v="4"/>
    <x v="2"/>
    <n v="21179"/>
    <n v="45"/>
    <n v="5285.05"/>
    <n v="2731.34"/>
    <x v="0"/>
  </r>
  <r>
    <x v="0"/>
    <x v="4"/>
    <x v="2"/>
    <n v="21260"/>
    <n v="70"/>
    <n v="14888.94"/>
    <n v="4190.01"/>
    <x v="4"/>
  </r>
  <r>
    <x v="0"/>
    <x v="4"/>
    <x v="2"/>
    <n v="22317"/>
    <n v="47"/>
    <n v="4596.93"/>
    <n v="1848.72"/>
    <x v="5"/>
  </r>
  <r>
    <x v="0"/>
    <x v="4"/>
    <x v="2"/>
    <n v="22940"/>
    <n v="394"/>
    <n v="50551.54"/>
    <n v="10820.4"/>
    <x v="2"/>
  </r>
  <r>
    <x v="0"/>
    <x v="4"/>
    <x v="2"/>
    <n v="23178"/>
    <n v="241"/>
    <n v="42395.03"/>
    <n v="8992.57"/>
    <x v="2"/>
  </r>
  <r>
    <x v="0"/>
    <x v="4"/>
    <x v="2"/>
    <n v="23600"/>
    <n v="1420"/>
    <n v="168979.47"/>
    <n v="34184.980000000003"/>
    <x v="2"/>
  </r>
  <r>
    <x v="0"/>
    <x v="4"/>
    <x v="2"/>
    <n v="23756"/>
    <n v="94"/>
    <n v="17220.36"/>
    <n v="7800.24"/>
    <x v="1"/>
  </r>
  <r>
    <x v="0"/>
    <x v="4"/>
    <x v="2"/>
    <n v="24326"/>
    <n v="159"/>
    <n v="20753.759999999998"/>
    <n v="5566.7"/>
    <x v="4"/>
  </r>
  <r>
    <x v="1"/>
    <x v="4"/>
    <x v="2"/>
    <n v="12184"/>
    <n v="32"/>
    <n v="4173.5600000000004"/>
    <n v="1870.7"/>
    <x v="0"/>
  </r>
  <r>
    <x v="1"/>
    <x v="4"/>
    <x v="2"/>
    <n v="12622"/>
    <n v="18"/>
    <n v="4432.1499999999996"/>
    <n v="1564.68"/>
    <x v="1"/>
  </r>
  <r>
    <x v="1"/>
    <x v="4"/>
    <x v="2"/>
    <n v="13527"/>
    <n v="276"/>
    <n v="43869.8"/>
    <n v="7808.31"/>
    <x v="2"/>
  </r>
  <r>
    <x v="1"/>
    <x v="4"/>
    <x v="2"/>
    <n v="13618"/>
    <n v="6"/>
    <n v="2082.65"/>
    <n v="905.63"/>
    <x v="1"/>
  </r>
  <r>
    <x v="1"/>
    <x v="4"/>
    <x v="2"/>
    <n v="16024"/>
    <n v="211"/>
    <n v="93948.11"/>
    <n v="25748.43"/>
    <x v="3"/>
  </r>
  <r>
    <x v="1"/>
    <x v="4"/>
    <x v="2"/>
    <n v="16650"/>
    <n v="36"/>
    <n v="4656.6400000000003"/>
    <n v="2711.5"/>
    <x v="0"/>
  </r>
  <r>
    <x v="1"/>
    <x v="4"/>
    <x v="2"/>
    <n v="17892"/>
    <n v="112"/>
    <n v="16900.7"/>
    <n v="3885.16"/>
    <x v="4"/>
  </r>
  <r>
    <x v="1"/>
    <x v="4"/>
    <x v="2"/>
    <n v="18342"/>
    <n v="11"/>
    <n v="8957.91"/>
    <n v="2355.23"/>
    <x v="3"/>
  </r>
  <r>
    <x v="1"/>
    <x v="4"/>
    <x v="2"/>
    <n v="20177"/>
    <n v="16"/>
    <n v="1562.6"/>
    <n v="644.53"/>
    <x v="5"/>
  </r>
  <r>
    <x v="1"/>
    <x v="4"/>
    <x v="2"/>
    <n v="21179"/>
    <n v="39"/>
    <n v="4315.68"/>
    <n v="2709.86"/>
    <x v="0"/>
  </r>
  <r>
    <x v="1"/>
    <x v="4"/>
    <x v="2"/>
    <n v="21260"/>
    <n v="51"/>
    <n v="10184.75"/>
    <n v="2120.1999999999998"/>
    <x v="4"/>
  </r>
  <r>
    <x v="1"/>
    <x v="4"/>
    <x v="2"/>
    <n v="22317"/>
    <n v="12"/>
    <n v="999.12"/>
    <n v="455.49"/>
    <x v="5"/>
  </r>
  <r>
    <x v="1"/>
    <x v="4"/>
    <x v="2"/>
    <n v="22940"/>
    <n v="97"/>
    <n v="13551.85"/>
    <n v="3836.85"/>
    <x v="2"/>
  </r>
  <r>
    <x v="1"/>
    <x v="4"/>
    <x v="2"/>
    <n v="23178"/>
    <n v="256"/>
    <n v="49151.35"/>
    <n v="13859.78"/>
    <x v="2"/>
  </r>
  <r>
    <x v="1"/>
    <x v="4"/>
    <x v="2"/>
    <n v="23600"/>
    <n v="562"/>
    <n v="57176.84"/>
    <n v="17766.87"/>
    <x v="2"/>
  </r>
  <r>
    <x v="1"/>
    <x v="4"/>
    <x v="2"/>
    <n v="23756"/>
    <n v="79"/>
    <n v="16402.7"/>
    <n v="8104.39"/>
    <x v="1"/>
  </r>
  <r>
    <x v="1"/>
    <x v="4"/>
    <x v="2"/>
    <n v="24326"/>
    <n v="22"/>
    <n v="3194.92"/>
    <n v="887.99"/>
    <x v="4"/>
  </r>
  <r>
    <x v="2"/>
    <x v="4"/>
    <x v="2"/>
    <n v="12184"/>
    <n v="59"/>
    <n v="8717.15"/>
    <n v="5367.77"/>
    <x v="0"/>
  </r>
  <r>
    <x v="2"/>
    <x v="4"/>
    <x v="2"/>
    <n v="12622"/>
    <n v="62"/>
    <n v="15973.35"/>
    <n v="8741.7000000000007"/>
    <x v="1"/>
  </r>
  <r>
    <x v="2"/>
    <x v="4"/>
    <x v="2"/>
    <n v="13527"/>
    <n v="524"/>
    <n v="78587.759999999995"/>
    <n v="17425.27"/>
    <x v="2"/>
  </r>
  <r>
    <x v="2"/>
    <x v="4"/>
    <x v="2"/>
    <n v="13618"/>
    <n v="30"/>
    <n v="11646.81"/>
    <n v="6277.75"/>
    <x v="1"/>
  </r>
  <r>
    <x v="2"/>
    <x v="4"/>
    <x v="2"/>
    <n v="16024"/>
    <n v="269"/>
    <n v="117168.56"/>
    <n v="30622.89"/>
    <x v="3"/>
  </r>
  <r>
    <x v="2"/>
    <x v="4"/>
    <x v="2"/>
    <n v="16650"/>
    <n v="28"/>
    <n v="4515.41"/>
    <n v="2755.32"/>
    <x v="0"/>
  </r>
  <r>
    <x v="2"/>
    <x v="4"/>
    <x v="2"/>
    <n v="17892"/>
    <n v="58"/>
    <n v="7760.9"/>
    <n v="2062.02"/>
    <x v="4"/>
  </r>
  <r>
    <x v="2"/>
    <x v="4"/>
    <x v="2"/>
    <n v="18342"/>
    <n v="179"/>
    <n v="136629.88"/>
    <n v="40607.03"/>
    <x v="3"/>
  </r>
  <r>
    <x v="2"/>
    <x v="4"/>
    <x v="2"/>
    <n v="20177"/>
    <n v="52"/>
    <n v="6034.65"/>
    <n v="3175.95"/>
    <x v="5"/>
  </r>
  <r>
    <x v="2"/>
    <x v="4"/>
    <x v="2"/>
    <n v="21179"/>
    <n v="39"/>
    <n v="6274.12"/>
    <n v="4622.47"/>
    <x v="0"/>
  </r>
  <r>
    <x v="2"/>
    <x v="4"/>
    <x v="2"/>
    <n v="21260"/>
    <n v="60"/>
    <n v="11666.73"/>
    <n v="3218.09"/>
    <x v="4"/>
  </r>
  <r>
    <x v="2"/>
    <x v="4"/>
    <x v="2"/>
    <n v="22317"/>
    <n v="49"/>
    <n v="3695.6"/>
    <n v="1663.57"/>
    <x v="5"/>
  </r>
  <r>
    <x v="2"/>
    <x v="4"/>
    <x v="2"/>
    <n v="22940"/>
    <n v="638"/>
    <n v="76867.81"/>
    <n v="20592.12"/>
    <x v="2"/>
  </r>
  <r>
    <x v="2"/>
    <x v="4"/>
    <x v="2"/>
    <n v="23178"/>
    <n v="252"/>
    <n v="46540.01"/>
    <n v="12299.6"/>
    <x v="2"/>
  </r>
  <r>
    <x v="2"/>
    <x v="4"/>
    <x v="2"/>
    <n v="23600"/>
    <n v="618"/>
    <n v="61705.99"/>
    <n v="14855.33"/>
    <x v="2"/>
  </r>
  <r>
    <x v="2"/>
    <x v="4"/>
    <x v="2"/>
    <n v="23756"/>
    <n v="51"/>
    <n v="9469.66"/>
    <n v="4568.58"/>
    <x v="1"/>
  </r>
  <r>
    <x v="2"/>
    <x v="4"/>
    <x v="2"/>
    <n v="24326"/>
    <n v="77"/>
    <n v="11502.91"/>
    <n v="3041.63"/>
    <x v="4"/>
  </r>
  <r>
    <x v="3"/>
    <x v="4"/>
    <x v="2"/>
    <n v="12184"/>
    <n v="95"/>
    <n v="10222.09"/>
    <n v="5775.42"/>
    <x v="0"/>
  </r>
  <r>
    <x v="3"/>
    <x v="4"/>
    <x v="2"/>
    <n v="12622"/>
    <n v="35"/>
    <n v="10746.45"/>
    <n v="5463.77"/>
    <x v="1"/>
  </r>
  <r>
    <x v="3"/>
    <x v="4"/>
    <x v="2"/>
    <n v="13527"/>
    <n v="495"/>
    <n v="75608.83"/>
    <n v="16482.689999999999"/>
    <x v="2"/>
  </r>
  <r>
    <x v="3"/>
    <x v="4"/>
    <x v="2"/>
    <n v="13618"/>
    <n v="12"/>
    <n v="4761.6400000000003"/>
    <n v="1996.17"/>
    <x v="1"/>
  </r>
  <r>
    <x v="3"/>
    <x v="4"/>
    <x v="2"/>
    <n v="16024"/>
    <n v="89"/>
    <n v="39127.79"/>
    <n v="10700.43"/>
    <x v="3"/>
  </r>
  <r>
    <x v="3"/>
    <x v="4"/>
    <x v="2"/>
    <n v="16650"/>
    <n v="60"/>
    <n v="7720.58"/>
    <n v="3994.3"/>
    <x v="0"/>
  </r>
  <r>
    <x v="3"/>
    <x v="4"/>
    <x v="2"/>
    <n v="17892"/>
    <n v="61"/>
    <n v="9052.31"/>
    <n v="2250.08"/>
    <x v="4"/>
  </r>
  <r>
    <x v="3"/>
    <x v="4"/>
    <x v="2"/>
    <n v="18342"/>
    <n v="89"/>
    <n v="67648.929999999993"/>
    <n v="16124.26"/>
    <x v="3"/>
  </r>
  <r>
    <x v="3"/>
    <x v="4"/>
    <x v="2"/>
    <n v="20177"/>
    <n v="62"/>
    <n v="7213.8"/>
    <n v="2458.65"/>
    <x v="5"/>
  </r>
  <r>
    <x v="3"/>
    <x v="4"/>
    <x v="2"/>
    <n v="21179"/>
    <n v="51"/>
    <n v="6778.91"/>
    <n v="3801.71"/>
    <x v="0"/>
  </r>
  <r>
    <x v="3"/>
    <x v="4"/>
    <x v="2"/>
    <n v="21260"/>
    <n v="43"/>
    <n v="8578.5499999999993"/>
    <n v="1883.55"/>
    <x v="4"/>
  </r>
  <r>
    <x v="3"/>
    <x v="4"/>
    <x v="2"/>
    <n v="22317"/>
    <n v="83"/>
    <n v="7973.03"/>
    <n v="3389.57"/>
    <x v="5"/>
  </r>
  <r>
    <x v="3"/>
    <x v="4"/>
    <x v="2"/>
    <n v="22940"/>
    <n v="699"/>
    <n v="82478.3"/>
    <n v="16277.7"/>
    <x v="2"/>
  </r>
  <r>
    <x v="3"/>
    <x v="4"/>
    <x v="2"/>
    <n v="23178"/>
    <n v="304"/>
    <n v="55414.07"/>
    <n v="9870.58"/>
    <x v="2"/>
  </r>
  <r>
    <x v="3"/>
    <x v="4"/>
    <x v="2"/>
    <n v="23600"/>
    <n v="541"/>
    <n v="55132"/>
    <n v="12034.82"/>
    <x v="2"/>
  </r>
  <r>
    <x v="3"/>
    <x v="4"/>
    <x v="2"/>
    <n v="23756"/>
    <n v="128"/>
    <n v="22756.6"/>
    <n v="9898.6299999999992"/>
    <x v="1"/>
  </r>
  <r>
    <x v="3"/>
    <x v="4"/>
    <x v="2"/>
    <n v="24326"/>
    <n v="146"/>
    <n v="21925.87"/>
    <n v="5323.25"/>
    <x v="4"/>
  </r>
  <r>
    <x v="0"/>
    <x v="4"/>
    <x v="3"/>
    <n v="12184"/>
    <n v="98"/>
    <n v="10473.58"/>
    <n v="5486.57"/>
    <x v="0"/>
  </r>
  <r>
    <x v="0"/>
    <x v="4"/>
    <x v="3"/>
    <n v="12622"/>
    <n v="52"/>
    <n v="12656.07"/>
    <n v="6028.72"/>
    <x v="1"/>
  </r>
  <r>
    <x v="0"/>
    <x v="4"/>
    <x v="3"/>
    <n v="13527"/>
    <n v="586"/>
    <n v="94507.68"/>
    <n v="19175.48"/>
    <x v="2"/>
  </r>
  <r>
    <x v="0"/>
    <x v="4"/>
    <x v="3"/>
    <n v="13618"/>
    <n v="23"/>
    <n v="7488.3"/>
    <n v="3353.62"/>
    <x v="1"/>
  </r>
  <r>
    <x v="0"/>
    <x v="4"/>
    <x v="3"/>
    <n v="16024"/>
    <n v="307"/>
    <n v="137451.17000000001"/>
    <n v="42551.55"/>
    <x v="3"/>
  </r>
  <r>
    <x v="0"/>
    <x v="4"/>
    <x v="3"/>
    <n v="16650"/>
    <n v="39"/>
    <n v="4850.68"/>
    <n v="2039.07"/>
    <x v="0"/>
  </r>
  <r>
    <x v="0"/>
    <x v="4"/>
    <x v="3"/>
    <n v="17892"/>
    <n v="187"/>
    <n v="28008.39"/>
    <n v="9096.82"/>
    <x v="4"/>
  </r>
  <r>
    <x v="0"/>
    <x v="4"/>
    <x v="3"/>
    <n v="18342"/>
    <n v="133"/>
    <n v="116590.94"/>
    <n v="33118.51"/>
    <x v="3"/>
  </r>
  <r>
    <x v="0"/>
    <x v="4"/>
    <x v="3"/>
    <n v="20177"/>
    <n v="101"/>
    <n v="10463.959999999999"/>
    <n v="4427.82"/>
    <x v="5"/>
  </r>
  <r>
    <x v="0"/>
    <x v="4"/>
    <x v="3"/>
    <n v="21179"/>
    <n v="82"/>
    <n v="8443.9500000000007"/>
    <n v="3573.17"/>
    <x v="0"/>
  </r>
  <r>
    <x v="0"/>
    <x v="4"/>
    <x v="3"/>
    <n v="21260"/>
    <n v="46"/>
    <n v="9760.99"/>
    <n v="2875.43"/>
    <x v="4"/>
  </r>
  <r>
    <x v="0"/>
    <x v="4"/>
    <x v="3"/>
    <n v="22317"/>
    <n v="61"/>
    <n v="5959.72"/>
    <n v="2611.84"/>
    <x v="5"/>
  </r>
  <r>
    <x v="0"/>
    <x v="4"/>
    <x v="3"/>
    <n v="22940"/>
    <n v="743"/>
    <n v="94176.99"/>
    <n v="15543.95"/>
    <x v="2"/>
  </r>
  <r>
    <x v="0"/>
    <x v="4"/>
    <x v="3"/>
    <n v="23178"/>
    <n v="214"/>
    <n v="35245.65"/>
    <n v="6619.16"/>
    <x v="2"/>
  </r>
  <r>
    <x v="0"/>
    <x v="4"/>
    <x v="3"/>
    <n v="23600"/>
    <n v="1220"/>
    <n v="131082.26"/>
    <n v="32188.15"/>
    <x v="2"/>
  </r>
  <r>
    <x v="0"/>
    <x v="4"/>
    <x v="3"/>
    <n v="23756"/>
    <n v="132"/>
    <n v="28168.47"/>
    <n v="14712.97"/>
    <x v="1"/>
  </r>
  <r>
    <x v="0"/>
    <x v="4"/>
    <x v="3"/>
    <n v="24326"/>
    <n v="197"/>
    <n v="27204"/>
    <n v="7479.72"/>
    <x v="4"/>
  </r>
  <r>
    <x v="1"/>
    <x v="4"/>
    <x v="3"/>
    <n v="12184"/>
    <n v="30"/>
    <n v="3853.89"/>
    <n v="2023.55"/>
    <x v="0"/>
  </r>
  <r>
    <x v="1"/>
    <x v="4"/>
    <x v="3"/>
    <n v="12622"/>
    <n v="21"/>
    <n v="4711.2700000000004"/>
    <n v="2162.79"/>
    <x v="1"/>
  </r>
  <r>
    <x v="1"/>
    <x v="4"/>
    <x v="3"/>
    <n v="13527"/>
    <n v="248"/>
    <n v="39111.089999999997"/>
    <n v="7297.5"/>
    <x v="2"/>
  </r>
  <r>
    <x v="1"/>
    <x v="4"/>
    <x v="3"/>
    <n v="13618"/>
    <n v="3"/>
    <n v="1135.0899999999999"/>
    <n v="555.23"/>
    <x v="1"/>
  </r>
  <r>
    <x v="1"/>
    <x v="4"/>
    <x v="3"/>
    <n v="16024"/>
    <n v="120"/>
    <n v="47679.72"/>
    <n v="14359.33"/>
    <x v="3"/>
  </r>
  <r>
    <x v="1"/>
    <x v="4"/>
    <x v="3"/>
    <n v="16650"/>
    <n v="26"/>
    <n v="4257.1099999999997"/>
    <n v="2259.64"/>
    <x v="0"/>
  </r>
  <r>
    <x v="1"/>
    <x v="4"/>
    <x v="3"/>
    <n v="17892"/>
    <n v="62"/>
    <n v="9013.17"/>
    <n v="2170.88"/>
    <x v="4"/>
  </r>
  <r>
    <x v="1"/>
    <x v="4"/>
    <x v="3"/>
    <n v="18342"/>
    <n v="17"/>
    <n v="13985.65"/>
    <n v="3630.89"/>
    <x v="3"/>
  </r>
  <r>
    <x v="1"/>
    <x v="4"/>
    <x v="3"/>
    <n v="20177"/>
    <n v="12"/>
    <n v="1245.1600000000001"/>
    <n v="466.17"/>
    <x v="5"/>
  </r>
  <r>
    <x v="1"/>
    <x v="4"/>
    <x v="3"/>
    <n v="21179"/>
    <n v="32"/>
    <n v="3702.18"/>
    <n v="2414.59"/>
    <x v="0"/>
  </r>
  <r>
    <x v="1"/>
    <x v="4"/>
    <x v="3"/>
    <n v="21260"/>
    <n v="49"/>
    <n v="9597.14"/>
    <n v="2333.65"/>
    <x v="4"/>
  </r>
  <r>
    <x v="1"/>
    <x v="4"/>
    <x v="3"/>
    <n v="22317"/>
    <n v="6"/>
    <n v="570.72"/>
    <n v="255.25"/>
    <x v="5"/>
  </r>
  <r>
    <x v="1"/>
    <x v="4"/>
    <x v="3"/>
    <n v="22940"/>
    <n v="154"/>
    <n v="19257.39"/>
    <n v="4731.6400000000003"/>
    <x v="2"/>
  </r>
  <r>
    <x v="1"/>
    <x v="4"/>
    <x v="3"/>
    <n v="23178"/>
    <n v="209"/>
    <n v="37933.620000000003"/>
    <n v="11085.59"/>
    <x v="2"/>
  </r>
  <r>
    <x v="1"/>
    <x v="4"/>
    <x v="3"/>
    <n v="23600"/>
    <n v="701"/>
    <n v="75091.31"/>
    <n v="21666.39"/>
    <x v="2"/>
  </r>
  <r>
    <x v="1"/>
    <x v="4"/>
    <x v="3"/>
    <n v="23756"/>
    <n v="94"/>
    <n v="18745.29"/>
    <n v="9030.34"/>
    <x v="1"/>
  </r>
  <r>
    <x v="1"/>
    <x v="4"/>
    <x v="3"/>
    <n v="24326"/>
    <n v="18"/>
    <n v="2853.09"/>
    <n v="982.78"/>
    <x v="4"/>
  </r>
  <r>
    <x v="2"/>
    <x v="4"/>
    <x v="3"/>
    <n v="12184"/>
    <n v="71"/>
    <n v="11054.52"/>
    <n v="8297.57"/>
    <x v="0"/>
  </r>
  <r>
    <x v="2"/>
    <x v="4"/>
    <x v="3"/>
    <n v="12622"/>
    <n v="35"/>
    <n v="10759.74"/>
    <n v="6487.96"/>
    <x v="1"/>
  </r>
  <r>
    <x v="2"/>
    <x v="4"/>
    <x v="3"/>
    <n v="13527"/>
    <n v="515"/>
    <n v="89780.71"/>
    <n v="24876.3"/>
    <x v="2"/>
  </r>
  <r>
    <x v="2"/>
    <x v="4"/>
    <x v="3"/>
    <n v="13618"/>
    <n v="26"/>
    <n v="10695.29"/>
    <n v="6980.26"/>
    <x v="1"/>
  </r>
  <r>
    <x v="2"/>
    <x v="4"/>
    <x v="3"/>
    <n v="16024"/>
    <n v="223"/>
    <n v="86984.72"/>
    <n v="29314.27"/>
    <x v="3"/>
  </r>
  <r>
    <x v="2"/>
    <x v="4"/>
    <x v="3"/>
    <n v="16650"/>
    <n v="45"/>
    <n v="5540.76"/>
    <n v="3938.97"/>
    <x v="0"/>
  </r>
  <r>
    <x v="2"/>
    <x v="4"/>
    <x v="3"/>
    <n v="17892"/>
    <n v="117"/>
    <n v="17907.22"/>
    <n v="6104.93"/>
    <x v="4"/>
  </r>
  <r>
    <x v="2"/>
    <x v="4"/>
    <x v="3"/>
    <n v="18342"/>
    <n v="142"/>
    <n v="124357.56"/>
    <n v="40355.949999999997"/>
    <x v="3"/>
  </r>
  <r>
    <x v="2"/>
    <x v="4"/>
    <x v="3"/>
    <n v="20177"/>
    <n v="55"/>
    <n v="4880.91"/>
    <n v="2496.46"/>
    <x v="5"/>
  </r>
  <r>
    <x v="2"/>
    <x v="4"/>
    <x v="3"/>
    <n v="21179"/>
    <n v="53"/>
    <n v="7326.77"/>
    <n v="4885.6400000000003"/>
    <x v="0"/>
  </r>
  <r>
    <x v="2"/>
    <x v="4"/>
    <x v="3"/>
    <n v="21260"/>
    <n v="27"/>
    <n v="4877.22"/>
    <n v="1556.56"/>
    <x v="4"/>
  </r>
  <r>
    <x v="2"/>
    <x v="4"/>
    <x v="3"/>
    <n v="22317"/>
    <n v="37"/>
    <n v="3813.34"/>
    <n v="1554.18"/>
    <x v="5"/>
  </r>
  <r>
    <x v="2"/>
    <x v="4"/>
    <x v="3"/>
    <n v="22940"/>
    <n v="451"/>
    <n v="64906.6"/>
    <n v="14505.45"/>
    <x v="2"/>
  </r>
  <r>
    <x v="2"/>
    <x v="4"/>
    <x v="3"/>
    <n v="23178"/>
    <n v="212"/>
    <n v="41647.58"/>
    <n v="9453.44"/>
    <x v="2"/>
  </r>
  <r>
    <x v="2"/>
    <x v="4"/>
    <x v="3"/>
    <n v="23600"/>
    <n v="795"/>
    <n v="92347.839999999997"/>
    <n v="22878.59"/>
    <x v="2"/>
  </r>
  <r>
    <x v="2"/>
    <x v="4"/>
    <x v="3"/>
    <n v="23756"/>
    <n v="115"/>
    <n v="16974.900000000001"/>
    <n v="8939.14"/>
    <x v="1"/>
  </r>
  <r>
    <x v="2"/>
    <x v="4"/>
    <x v="3"/>
    <n v="24326"/>
    <n v="116"/>
    <n v="17748.27"/>
    <n v="6163.04"/>
    <x v="4"/>
  </r>
  <r>
    <x v="3"/>
    <x v="4"/>
    <x v="3"/>
    <n v="12184"/>
    <n v="64"/>
    <n v="9281.2199999999993"/>
    <n v="5196.18"/>
    <x v="0"/>
  </r>
  <r>
    <x v="3"/>
    <x v="4"/>
    <x v="3"/>
    <n v="12622"/>
    <n v="62"/>
    <n v="15883.78"/>
    <n v="7423.94"/>
    <x v="1"/>
  </r>
  <r>
    <x v="3"/>
    <x v="4"/>
    <x v="3"/>
    <n v="13527"/>
    <n v="289"/>
    <n v="46627.839999999997"/>
    <n v="10903.87"/>
    <x v="2"/>
  </r>
  <r>
    <x v="3"/>
    <x v="4"/>
    <x v="3"/>
    <n v="13618"/>
    <n v="9"/>
    <n v="3111.17"/>
    <n v="1374.89"/>
    <x v="1"/>
  </r>
  <r>
    <x v="3"/>
    <x v="4"/>
    <x v="3"/>
    <n v="16024"/>
    <n v="223"/>
    <n v="104342.23"/>
    <n v="29351.72"/>
    <x v="3"/>
  </r>
  <r>
    <x v="3"/>
    <x v="4"/>
    <x v="3"/>
    <n v="16650"/>
    <n v="46"/>
    <n v="8498.06"/>
    <n v="4988.13"/>
    <x v="0"/>
  </r>
  <r>
    <x v="3"/>
    <x v="4"/>
    <x v="3"/>
    <n v="17892"/>
    <n v="66"/>
    <n v="8441.83"/>
    <n v="2329.0500000000002"/>
    <x v="4"/>
  </r>
  <r>
    <x v="3"/>
    <x v="4"/>
    <x v="3"/>
    <n v="18342"/>
    <n v="98"/>
    <n v="75337.81"/>
    <n v="19395.75"/>
    <x v="3"/>
  </r>
  <r>
    <x v="3"/>
    <x v="4"/>
    <x v="3"/>
    <n v="20177"/>
    <n v="50"/>
    <n v="5754.43"/>
    <n v="2088.56"/>
    <x v="5"/>
  </r>
  <r>
    <x v="3"/>
    <x v="4"/>
    <x v="3"/>
    <n v="21179"/>
    <n v="28"/>
    <n v="3493.85"/>
    <n v="2046.71"/>
    <x v="0"/>
  </r>
  <r>
    <x v="3"/>
    <x v="4"/>
    <x v="3"/>
    <n v="21260"/>
    <n v="42"/>
    <n v="7221.34"/>
    <n v="1747.97"/>
    <x v="4"/>
  </r>
  <r>
    <x v="3"/>
    <x v="4"/>
    <x v="3"/>
    <n v="22317"/>
    <n v="81"/>
    <n v="7537.41"/>
    <n v="2533.08"/>
    <x v="5"/>
  </r>
  <r>
    <x v="3"/>
    <x v="4"/>
    <x v="3"/>
    <n v="22940"/>
    <n v="592"/>
    <n v="76441.72"/>
    <n v="15660.68"/>
    <x v="2"/>
  </r>
  <r>
    <x v="3"/>
    <x v="4"/>
    <x v="3"/>
    <n v="23178"/>
    <n v="140"/>
    <n v="23750.42"/>
    <n v="4701.05"/>
    <x v="2"/>
  </r>
  <r>
    <x v="3"/>
    <x v="4"/>
    <x v="3"/>
    <n v="23600"/>
    <n v="762"/>
    <n v="84329.99"/>
    <n v="20086.29"/>
    <x v="2"/>
  </r>
  <r>
    <x v="3"/>
    <x v="4"/>
    <x v="3"/>
    <n v="23756"/>
    <n v="66"/>
    <n v="11743.14"/>
    <n v="5531.12"/>
    <x v="1"/>
  </r>
  <r>
    <x v="3"/>
    <x v="4"/>
    <x v="3"/>
    <n v="24326"/>
    <n v="128"/>
    <n v="19298.63"/>
    <n v="5117.71"/>
    <x v="4"/>
  </r>
  <r>
    <x v="0"/>
    <x v="4"/>
    <x v="4"/>
    <n v="12184"/>
    <n v="65"/>
    <n v="6865.76"/>
    <n v="3222.35"/>
    <x v="0"/>
  </r>
  <r>
    <x v="0"/>
    <x v="4"/>
    <x v="4"/>
    <n v="12622"/>
    <n v="75"/>
    <n v="20986.04"/>
    <n v="9599.9599999999991"/>
    <x v="1"/>
  </r>
  <r>
    <x v="0"/>
    <x v="4"/>
    <x v="4"/>
    <n v="13527"/>
    <n v="346"/>
    <n v="52385.11"/>
    <n v="11506.97"/>
    <x v="2"/>
  </r>
  <r>
    <x v="0"/>
    <x v="4"/>
    <x v="4"/>
    <n v="13618"/>
    <n v="20"/>
    <n v="6921.12"/>
    <n v="3123.25"/>
    <x v="1"/>
  </r>
  <r>
    <x v="0"/>
    <x v="4"/>
    <x v="4"/>
    <n v="16024"/>
    <n v="177"/>
    <n v="75280.19"/>
    <n v="23510.52"/>
    <x v="3"/>
  </r>
  <r>
    <x v="0"/>
    <x v="4"/>
    <x v="4"/>
    <n v="16650"/>
    <n v="76"/>
    <n v="13379.44"/>
    <n v="6069.95"/>
    <x v="0"/>
  </r>
  <r>
    <x v="0"/>
    <x v="4"/>
    <x v="4"/>
    <n v="17892"/>
    <n v="85"/>
    <n v="11792.75"/>
    <n v="3581.79"/>
    <x v="4"/>
  </r>
  <r>
    <x v="0"/>
    <x v="4"/>
    <x v="4"/>
    <n v="18342"/>
    <n v="158"/>
    <n v="135012.69"/>
    <n v="38903.379999999997"/>
    <x v="3"/>
  </r>
  <r>
    <x v="0"/>
    <x v="4"/>
    <x v="4"/>
    <n v="20177"/>
    <n v="55"/>
    <n v="6416.13"/>
    <n v="2667.69"/>
    <x v="5"/>
  </r>
  <r>
    <x v="0"/>
    <x v="4"/>
    <x v="4"/>
    <n v="21179"/>
    <n v="77"/>
    <n v="9824.14"/>
    <n v="4831.84"/>
    <x v="0"/>
  </r>
  <r>
    <x v="0"/>
    <x v="4"/>
    <x v="4"/>
    <n v="21260"/>
    <n v="88"/>
    <n v="18789.64"/>
    <n v="5821.19"/>
    <x v="4"/>
  </r>
  <r>
    <x v="0"/>
    <x v="4"/>
    <x v="4"/>
    <n v="22317"/>
    <n v="101"/>
    <n v="7485.36"/>
    <n v="3218.61"/>
    <x v="5"/>
  </r>
  <r>
    <x v="0"/>
    <x v="4"/>
    <x v="4"/>
    <n v="22940"/>
    <n v="921"/>
    <n v="110986.02"/>
    <n v="19094.64"/>
    <x v="2"/>
  </r>
  <r>
    <x v="0"/>
    <x v="4"/>
    <x v="4"/>
    <n v="23178"/>
    <n v="193"/>
    <n v="35282.49"/>
    <n v="7376.69"/>
    <x v="2"/>
  </r>
  <r>
    <x v="0"/>
    <x v="4"/>
    <x v="4"/>
    <n v="23600"/>
    <n v="532"/>
    <n v="57090.44"/>
    <n v="12398.44"/>
    <x v="2"/>
  </r>
  <r>
    <x v="0"/>
    <x v="4"/>
    <x v="4"/>
    <n v="23756"/>
    <n v="126"/>
    <n v="23235.31"/>
    <n v="10900.75"/>
    <x v="1"/>
  </r>
  <r>
    <x v="0"/>
    <x v="4"/>
    <x v="4"/>
    <n v="24326"/>
    <n v="89"/>
    <n v="11070.02"/>
    <n v="3583.84"/>
    <x v="4"/>
  </r>
  <r>
    <x v="1"/>
    <x v="4"/>
    <x v="4"/>
    <n v="12184"/>
    <n v="38"/>
    <n v="5208.29"/>
    <n v="2716.3"/>
    <x v="0"/>
  </r>
  <r>
    <x v="1"/>
    <x v="4"/>
    <x v="4"/>
    <n v="12622"/>
    <n v="12"/>
    <n v="3557.22"/>
    <n v="1294.75"/>
    <x v="1"/>
  </r>
  <r>
    <x v="1"/>
    <x v="4"/>
    <x v="4"/>
    <n v="13527"/>
    <n v="229"/>
    <n v="35157.040000000001"/>
    <n v="5939.34"/>
    <x v="2"/>
  </r>
  <r>
    <x v="1"/>
    <x v="4"/>
    <x v="4"/>
    <n v="13618"/>
    <n v="6"/>
    <n v="2417.4899999999998"/>
    <n v="1097.77"/>
    <x v="1"/>
  </r>
  <r>
    <x v="1"/>
    <x v="4"/>
    <x v="4"/>
    <n v="16024"/>
    <n v="232"/>
    <n v="100416.32000000001"/>
    <n v="29794.38"/>
    <x v="3"/>
  </r>
  <r>
    <x v="1"/>
    <x v="4"/>
    <x v="4"/>
    <n v="16650"/>
    <n v="13"/>
    <n v="2235.69"/>
    <n v="1283.1600000000001"/>
    <x v="0"/>
  </r>
  <r>
    <x v="1"/>
    <x v="4"/>
    <x v="4"/>
    <n v="17892"/>
    <n v="69"/>
    <n v="8988.59"/>
    <n v="2356.34"/>
    <x v="4"/>
  </r>
  <r>
    <x v="1"/>
    <x v="4"/>
    <x v="4"/>
    <n v="18342"/>
    <n v="30"/>
    <n v="27336.77"/>
    <n v="7140.62"/>
    <x v="3"/>
  </r>
  <r>
    <x v="1"/>
    <x v="4"/>
    <x v="4"/>
    <n v="20177"/>
    <n v="33"/>
    <n v="3549.28"/>
    <n v="1545.68"/>
    <x v="5"/>
  </r>
  <r>
    <x v="1"/>
    <x v="4"/>
    <x v="4"/>
    <n v="21179"/>
    <n v="36"/>
    <n v="5249.53"/>
    <n v="3075.09"/>
    <x v="0"/>
  </r>
  <r>
    <x v="1"/>
    <x v="4"/>
    <x v="4"/>
    <n v="21260"/>
    <n v="29"/>
    <n v="5919.14"/>
    <n v="1255.02"/>
    <x v="4"/>
  </r>
  <r>
    <x v="1"/>
    <x v="4"/>
    <x v="4"/>
    <n v="22317"/>
    <n v="18"/>
    <n v="1544.09"/>
    <n v="710.21"/>
    <x v="5"/>
  </r>
  <r>
    <x v="1"/>
    <x v="4"/>
    <x v="4"/>
    <n v="22940"/>
    <n v="95"/>
    <n v="11857.16"/>
    <n v="2759.13"/>
    <x v="2"/>
  </r>
  <r>
    <x v="1"/>
    <x v="4"/>
    <x v="4"/>
    <n v="23178"/>
    <n v="159"/>
    <n v="25825.040000000001"/>
    <n v="7589.39"/>
    <x v="2"/>
  </r>
  <r>
    <x v="1"/>
    <x v="4"/>
    <x v="4"/>
    <n v="23600"/>
    <n v="299"/>
    <n v="33530.85"/>
    <n v="9629.2000000000007"/>
    <x v="2"/>
  </r>
  <r>
    <x v="1"/>
    <x v="4"/>
    <x v="4"/>
    <n v="23756"/>
    <n v="52"/>
    <n v="8440.6299999999992"/>
    <n v="3906.66"/>
    <x v="1"/>
  </r>
  <r>
    <x v="1"/>
    <x v="4"/>
    <x v="4"/>
    <n v="24326"/>
    <n v="26"/>
    <n v="3669.74"/>
    <n v="949.68"/>
    <x v="4"/>
  </r>
  <r>
    <x v="2"/>
    <x v="4"/>
    <x v="4"/>
    <n v="12184"/>
    <n v="71"/>
    <n v="8411.49"/>
    <n v="5710.86"/>
    <x v="0"/>
  </r>
  <r>
    <x v="2"/>
    <x v="4"/>
    <x v="4"/>
    <n v="12622"/>
    <n v="45"/>
    <n v="14701.87"/>
    <n v="7973.78"/>
    <x v="1"/>
  </r>
  <r>
    <x v="2"/>
    <x v="4"/>
    <x v="4"/>
    <n v="13527"/>
    <n v="397"/>
    <n v="59903.47"/>
    <n v="13059.69"/>
    <x v="2"/>
  </r>
  <r>
    <x v="2"/>
    <x v="4"/>
    <x v="4"/>
    <n v="13618"/>
    <n v="13"/>
    <n v="4848.8100000000004"/>
    <n v="3176.72"/>
    <x v="1"/>
  </r>
  <r>
    <x v="2"/>
    <x v="4"/>
    <x v="4"/>
    <n v="16024"/>
    <n v="122"/>
    <n v="50170.720000000001"/>
    <n v="14472.39"/>
    <x v="3"/>
  </r>
  <r>
    <x v="2"/>
    <x v="4"/>
    <x v="4"/>
    <n v="16650"/>
    <n v="33"/>
    <n v="4717.41"/>
    <n v="3175.11"/>
    <x v="0"/>
  </r>
  <r>
    <x v="2"/>
    <x v="4"/>
    <x v="4"/>
    <n v="17892"/>
    <n v="80"/>
    <n v="10823.33"/>
    <n v="3671.06"/>
    <x v="4"/>
  </r>
  <r>
    <x v="2"/>
    <x v="4"/>
    <x v="4"/>
    <n v="18342"/>
    <n v="154"/>
    <n v="119082.46"/>
    <n v="32678.92"/>
    <x v="3"/>
  </r>
  <r>
    <x v="2"/>
    <x v="4"/>
    <x v="4"/>
    <n v="20177"/>
    <n v="72"/>
    <n v="6295.12"/>
    <n v="2956.82"/>
    <x v="5"/>
  </r>
  <r>
    <x v="2"/>
    <x v="4"/>
    <x v="4"/>
    <n v="21179"/>
    <n v="64"/>
    <n v="9834.7800000000007"/>
    <n v="6814.27"/>
    <x v="0"/>
  </r>
  <r>
    <x v="2"/>
    <x v="4"/>
    <x v="4"/>
    <n v="21260"/>
    <n v="57"/>
    <n v="9831.24"/>
    <n v="2670.01"/>
    <x v="4"/>
  </r>
  <r>
    <x v="2"/>
    <x v="4"/>
    <x v="4"/>
    <n v="22317"/>
    <n v="36"/>
    <n v="2943.83"/>
    <n v="1448.62"/>
    <x v="5"/>
  </r>
  <r>
    <x v="2"/>
    <x v="4"/>
    <x v="4"/>
    <n v="22940"/>
    <n v="266"/>
    <n v="36528.78"/>
    <n v="10046.99"/>
    <x v="2"/>
  </r>
  <r>
    <x v="2"/>
    <x v="4"/>
    <x v="4"/>
    <n v="23178"/>
    <n v="245"/>
    <n v="42744.01"/>
    <n v="12018.7"/>
    <x v="2"/>
  </r>
  <r>
    <x v="2"/>
    <x v="4"/>
    <x v="4"/>
    <n v="23600"/>
    <n v="782"/>
    <n v="85643.44"/>
    <n v="21781.57"/>
    <x v="2"/>
  </r>
  <r>
    <x v="2"/>
    <x v="4"/>
    <x v="4"/>
    <n v="23756"/>
    <n v="53"/>
    <n v="10199.92"/>
    <n v="5479.38"/>
    <x v="1"/>
  </r>
  <r>
    <x v="2"/>
    <x v="4"/>
    <x v="4"/>
    <n v="24326"/>
    <n v="132"/>
    <n v="16918.509999999998"/>
    <n v="4984.66"/>
    <x v="4"/>
  </r>
  <r>
    <x v="3"/>
    <x v="4"/>
    <x v="4"/>
    <n v="12184"/>
    <n v="73"/>
    <n v="10633.69"/>
    <n v="6196.08"/>
    <x v="0"/>
  </r>
  <r>
    <x v="3"/>
    <x v="4"/>
    <x v="4"/>
    <n v="12622"/>
    <n v="26"/>
    <n v="8179.31"/>
    <n v="4429.51"/>
    <x v="1"/>
  </r>
  <r>
    <x v="3"/>
    <x v="4"/>
    <x v="4"/>
    <n v="13527"/>
    <n v="527"/>
    <n v="80401.289999999994"/>
    <n v="17514.07"/>
    <x v="2"/>
  </r>
  <r>
    <x v="3"/>
    <x v="4"/>
    <x v="4"/>
    <n v="13618"/>
    <n v="12"/>
    <n v="5526.18"/>
    <n v="2566.7800000000002"/>
    <x v="1"/>
  </r>
  <r>
    <x v="3"/>
    <x v="4"/>
    <x v="4"/>
    <n v="16024"/>
    <n v="124"/>
    <n v="53522.13"/>
    <n v="13918.13"/>
    <x v="3"/>
  </r>
  <r>
    <x v="3"/>
    <x v="4"/>
    <x v="4"/>
    <n v="16650"/>
    <n v="28"/>
    <n v="4277.26"/>
    <n v="2794.29"/>
    <x v="0"/>
  </r>
  <r>
    <x v="3"/>
    <x v="4"/>
    <x v="4"/>
    <n v="17892"/>
    <n v="70"/>
    <n v="10816.68"/>
    <n v="2815.44"/>
    <x v="4"/>
  </r>
  <r>
    <x v="3"/>
    <x v="4"/>
    <x v="4"/>
    <n v="18342"/>
    <n v="201"/>
    <n v="176429.46"/>
    <n v="39095.33"/>
    <x v="3"/>
  </r>
  <r>
    <x v="3"/>
    <x v="4"/>
    <x v="4"/>
    <n v="20177"/>
    <n v="79"/>
    <n v="9018.0400000000009"/>
    <n v="3185.24"/>
    <x v="5"/>
  </r>
  <r>
    <x v="3"/>
    <x v="4"/>
    <x v="4"/>
    <n v="21179"/>
    <n v="48"/>
    <n v="7068.62"/>
    <n v="4058.93"/>
    <x v="0"/>
  </r>
  <r>
    <x v="3"/>
    <x v="4"/>
    <x v="4"/>
    <n v="21260"/>
    <n v="71"/>
    <n v="12785.43"/>
    <n v="3383.47"/>
    <x v="4"/>
  </r>
  <r>
    <x v="3"/>
    <x v="4"/>
    <x v="4"/>
    <n v="22317"/>
    <n v="62"/>
    <n v="5581.02"/>
    <n v="2126"/>
    <x v="5"/>
  </r>
  <r>
    <x v="3"/>
    <x v="4"/>
    <x v="4"/>
    <n v="22940"/>
    <n v="327"/>
    <n v="43624.33"/>
    <n v="8538.06"/>
    <x v="2"/>
  </r>
  <r>
    <x v="3"/>
    <x v="4"/>
    <x v="4"/>
    <n v="23178"/>
    <n v="274"/>
    <n v="44418.720000000001"/>
    <n v="9330.66"/>
    <x v="2"/>
  </r>
  <r>
    <x v="3"/>
    <x v="4"/>
    <x v="4"/>
    <n v="23600"/>
    <n v="874"/>
    <n v="92029.29"/>
    <n v="22025.65"/>
    <x v="2"/>
  </r>
  <r>
    <x v="3"/>
    <x v="4"/>
    <x v="4"/>
    <n v="23756"/>
    <n v="118"/>
    <n v="20738.919999999998"/>
    <n v="10821.61"/>
    <x v="1"/>
  </r>
  <r>
    <x v="3"/>
    <x v="4"/>
    <x v="4"/>
    <n v="24326"/>
    <n v="60"/>
    <n v="9027.4699999999993"/>
    <n v="2123.17"/>
    <x v="4"/>
  </r>
  <r>
    <x v="0"/>
    <x v="4"/>
    <x v="5"/>
    <n v="12184"/>
    <n v="111"/>
    <n v="13764.58"/>
    <n v="6246.01"/>
    <x v="0"/>
  </r>
  <r>
    <x v="0"/>
    <x v="4"/>
    <x v="5"/>
    <n v="12622"/>
    <n v="28"/>
    <n v="7343.25"/>
    <n v="4037.03"/>
    <x v="1"/>
  </r>
  <r>
    <x v="0"/>
    <x v="4"/>
    <x v="5"/>
    <n v="13527"/>
    <n v="599"/>
    <n v="97426.89"/>
    <n v="19615.09"/>
    <x v="2"/>
  </r>
  <r>
    <x v="0"/>
    <x v="4"/>
    <x v="5"/>
    <n v="13618"/>
    <n v="16"/>
    <n v="5409.44"/>
    <n v="2962.12"/>
    <x v="1"/>
  </r>
  <r>
    <x v="0"/>
    <x v="4"/>
    <x v="5"/>
    <n v="16024"/>
    <n v="256"/>
    <n v="122165.58"/>
    <n v="37055.61"/>
    <x v="3"/>
  </r>
  <r>
    <x v="0"/>
    <x v="4"/>
    <x v="5"/>
    <n v="16650"/>
    <n v="36"/>
    <n v="4773.79"/>
    <n v="2049.23"/>
    <x v="0"/>
  </r>
  <r>
    <x v="0"/>
    <x v="4"/>
    <x v="5"/>
    <n v="17892"/>
    <n v="135"/>
    <n v="20972.2"/>
    <n v="5122.28"/>
    <x v="4"/>
  </r>
  <r>
    <x v="0"/>
    <x v="4"/>
    <x v="5"/>
    <n v="18342"/>
    <n v="122"/>
    <n v="90034.92"/>
    <n v="22511.64"/>
    <x v="3"/>
  </r>
  <r>
    <x v="0"/>
    <x v="4"/>
    <x v="5"/>
    <n v="20177"/>
    <n v="109"/>
    <n v="10056.81"/>
    <n v="4167.3599999999997"/>
    <x v="5"/>
  </r>
  <r>
    <x v="0"/>
    <x v="4"/>
    <x v="5"/>
    <n v="21179"/>
    <n v="70"/>
    <n v="7747.56"/>
    <n v="3756.19"/>
    <x v="0"/>
  </r>
  <r>
    <x v="0"/>
    <x v="4"/>
    <x v="5"/>
    <n v="21260"/>
    <n v="60"/>
    <n v="10675.54"/>
    <n v="2693.26"/>
    <x v="4"/>
  </r>
  <r>
    <x v="0"/>
    <x v="4"/>
    <x v="5"/>
    <n v="22317"/>
    <n v="120"/>
    <n v="11534.49"/>
    <n v="4785.97"/>
    <x v="5"/>
  </r>
  <r>
    <x v="0"/>
    <x v="4"/>
    <x v="5"/>
    <n v="22940"/>
    <n v="911"/>
    <n v="111012.91"/>
    <n v="22001.57"/>
    <x v="2"/>
  </r>
  <r>
    <x v="0"/>
    <x v="4"/>
    <x v="5"/>
    <n v="23178"/>
    <n v="456"/>
    <n v="81771.100000000006"/>
    <n v="13104.11"/>
    <x v="2"/>
  </r>
  <r>
    <x v="0"/>
    <x v="4"/>
    <x v="5"/>
    <n v="23600"/>
    <n v="1270"/>
    <n v="142589.22"/>
    <n v="28649.11"/>
    <x v="2"/>
  </r>
  <r>
    <x v="0"/>
    <x v="4"/>
    <x v="5"/>
    <n v="23756"/>
    <n v="52"/>
    <n v="10611.6"/>
    <n v="4457.67"/>
    <x v="1"/>
  </r>
  <r>
    <x v="0"/>
    <x v="4"/>
    <x v="5"/>
    <n v="24326"/>
    <n v="175"/>
    <n v="24483.82"/>
    <n v="7647.62"/>
    <x v="4"/>
  </r>
  <r>
    <x v="1"/>
    <x v="4"/>
    <x v="5"/>
    <n v="12184"/>
    <n v="24"/>
    <n v="3154.03"/>
    <n v="1807.59"/>
    <x v="0"/>
  </r>
  <r>
    <x v="1"/>
    <x v="4"/>
    <x v="5"/>
    <n v="12622"/>
    <n v="21"/>
    <n v="5903.9"/>
    <n v="2776.18"/>
    <x v="1"/>
  </r>
  <r>
    <x v="1"/>
    <x v="4"/>
    <x v="5"/>
    <n v="13527"/>
    <n v="247"/>
    <n v="39589.919999999998"/>
    <n v="6676.65"/>
    <x v="2"/>
  </r>
  <r>
    <x v="1"/>
    <x v="4"/>
    <x v="5"/>
    <n v="13618"/>
    <n v="6"/>
    <n v="1944.91"/>
    <n v="969.75"/>
    <x v="1"/>
  </r>
  <r>
    <x v="1"/>
    <x v="4"/>
    <x v="5"/>
    <n v="16024"/>
    <n v="233"/>
    <n v="102604.65"/>
    <n v="34528.15"/>
    <x v="3"/>
  </r>
  <r>
    <x v="1"/>
    <x v="4"/>
    <x v="5"/>
    <n v="16650"/>
    <n v="34"/>
    <n v="5434.88"/>
    <n v="3704.17"/>
    <x v="0"/>
  </r>
  <r>
    <x v="1"/>
    <x v="4"/>
    <x v="5"/>
    <n v="17892"/>
    <n v="50"/>
    <n v="7354.08"/>
    <n v="1522.68"/>
    <x v="4"/>
  </r>
  <r>
    <x v="1"/>
    <x v="4"/>
    <x v="5"/>
    <n v="18342"/>
    <n v="25"/>
    <n v="18706.14"/>
    <n v="6217.76"/>
    <x v="3"/>
  </r>
  <r>
    <x v="1"/>
    <x v="4"/>
    <x v="5"/>
    <n v="20177"/>
    <n v="30"/>
    <n v="3230.84"/>
    <n v="1195.1500000000001"/>
    <x v="5"/>
  </r>
  <r>
    <x v="1"/>
    <x v="4"/>
    <x v="5"/>
    <n v="21179"/>
    <n v="25"/>
    <n v="3290.69"/>
    <n v="1700.84"/>
    <x v="0"/>
  </r>
  <r>
    <x v="1"/>
    <x v="4"/>
    <x v="5"/>
    <n v="21260"/>
    <n v="21"/>
    <n v="3664.09"/>
    <n v="909.93"/>
    <x v="4"/>
  </r>
  <r>
    <x v="1"/>
    <x v="4"/>
    <x v="5"/>
    <n v="22317"/>
    <n v="18"/>
    <n v="1504.27"/>
    <n v="699.19"/>
    <x v="5"/>
  </r>
  <r>
    <x v="1"/>
    <x v="4"/>
    <x v="5"/>
    <n v="22940"/>
    <n v="231"/>
    <n v="32869.74"/>
    <n v="7594.71"/>
    <x v="2"/>
  </r>
  <r>
    <x v="1"/>
    <x v="4"/>
    <x v="5"/>
    <n v="23178"/>
    <n v="268"/>
    <n v="49729.86"/>
    <n v="13128.63"/>
    <x v="2"/>
  </r>
  <r>
    <x v="1"/>
    <x v="4"/>
    <x v="5"/>
    <n v="23600"/>
    <n v="471"/>
    <n v="50711.93"/>
    <n v="13059.06"/>
    <x v="2"/>
  </r>
  <r>
    <x v="1"/>
    <x v="4"/>
    <x v="5"/>
    <n v="23756"/>
    <n v="65"/>
    <n v="10518.96"/>
    <n v="4890.21"/>
    <x v="1"/>
  </r>
  <r>
    <x v="1"/>
    <x v="4"/>
    <x v="5"/>
    <n v="24326"/>
    <n v="42"/>
    <n v="5984.67"/>
    <n v="1564.32"/>
    <x v="4"/>
  </r>
  <r>
    <x v="2"/>
    <x v="4"/>
    <x v="5"/>
    <n v="12184"/>
    <n v="41"/>
    <n v="5639.06"/>
    <n v="3301.11"/>
    <x v="0"/>
  </r>
  <r>
    <x v="2"/>
    <x v="4"/>
    <x v="5"/>
    <n v="12622"/>
    <n v="37"/>
    <n v="8470.39"/>
    <n v="4262.24"/>
    <x v="1"/>
  </r>
  <r>
    <x v="2"/>
    <x v="4"/>
    <x v="5"/>
    <n v="13527"/>
    <n v="346"/>
    <n v="60825"/>
    <n v="14305.83"/>
    <x v="2"/>
  </r>
  <r>
    <x v="2"/>
    <x v="4"/>
    <x v="5"/>
    <n v="13618"/>
    <n v="19"/>
    <n v="9206.42"/>
    <n v="4978"/>
    <x v="1"/>
  </r>
  <r>
    <x v="2"/>
    <x v="4"/>
    <x v="5"/>
    <n v="16024"/>
    <n v="129"/>
    <n v="55150.91"/>
    <n v="15356.31"/>
    <x v="3"/>
  </r>
  <r>
    <x v="2"/>
    <x v="4"/>
    <x v="5"/>
    <n v="16650"/>
    <n v="17"/>
    <n v="2519.66"/>
    <n v="1621.23"/>
    <x v="0"/>
  </r>
  <r>
    <x v="2"/>
    <x v="4"/>
    <x v="5"/>
    <n v="17892"/>
    <n v="109"/>
    <n v="16691.86"/>
    <n v="4930.41"/>
    <x v="4"/>
  </r>
  <r>
    <x v="2"/>
    <x v="4"/>
    <x v="5"/>
    <n v="18342"/>
    <n v="168"/>
    <n v="152615.46"/>
    <n v="43644.7"/>
    <x v="3"/>
  </r>
  <r>
    <x v="2"/>
    <x v="4"/>
    <x v="5"/>
    <n v="20177"/>
    <n v="49"/>
    <n v="5536.8"/>
    <n v="2766.64"/>
    <x v="5"/>
  </r>
  <r>
    <x v="2"/>
    <x v="4"/>
    <x v="5"/>
    <n v="21179"/>
    <n v="42"/>
    <n v="5986.8"/>
    <n v="4654.6099999999997"/>
    <x v="0"/>
  </r>
  <r>
    <x v="2"/>
    <x v="4"/>
    <x v="5"/>
    <n v="21260"/>
    <n v="69"/>
    <n v="12015.92"/>
    <n v="3445.19"/>
    <x v="4"/>
  </r>
  <r>
    <x v="2"/>
    <x v="4"/>
    <x v="5"/>
    <n v="22317"/>
    <n v="39"/>
    <n v="3914.99"/>
    <n v="1690.03"/>
    <x v="5"/>
  </r>
  <r>
    <x v="2"/>
    <x v="4"/>
    <x v="5"/>
    <n v="22940"/>
    <n v="675"/>
    <n v="80869.19"/>
    <n v="21699.81"/>
    <x v="2"/>
  </r>
  <r>
    <x v="2"/>
    <x v="4"/>
    <x v="5"/>
    <n v="23178"/>
    <n v="268"/>
    <n v="44078.09"/>
    <n v="10165.25"/>
    <x v="2"/>
  </r>
  <r>
    <x v="2"/>
    <x v="4"/>
    <x v="5"/>
    <n v="23600"/>
    <n v="1064"/>
    <n v="122975.08"/>
    <n v="31149.69"/>
    <x v="2"/>
  </r>
  <r>
    <x v="2"/>
    <x v="4"/>
    <x v="5"/>
    <n v="23756"/>
    <n v="130"/>
    <n v="27247.77"/>
    <n v="15879.52"/>
    <x v="1"/>
  </r>
  <r>
    <x v="2"/>
    <x v="4"/>
    <x v="5"/>
    <n v="24326"/>
    <n v="63"/>
    <n v="9664.76"/>
    <n v="3050.35"/>
    <x v="4"/>
  </r>
  <r>
    <x v="3"/>
    <x v="4"/>
    <x v="5"/>
    <n v="12184"/>
    <n v="63"/>
    <n v="8212.75"/>
    <n v="4480.66"/>
    <x v="0"/>
  </r>
  <r>
    <x v="3"/>
    <x v="4"/>
    <x v="5"/>
    <n v="12622"/>
    <n v="25"/>
    <n v="6805.58"/>
    <n v="2806.02"/>
    <x v="1"/>
  </r>
  <r>
    <x v="3"/>
    <x v="4"/>
    <x v="5"/>
    <n v="13527"/>
    <n v="322"/>
    <n v="47514.1"/>
    <n v="11298.97"/>
    <x v="2"/>
  </r>
  <r>
    <x v="3"/>
    <x v="4"/>
    <x v="5"/>
    <n v="13618"/>
    <n v="18"/>
    <n v="6713.75"/>
    <n v="2863.52"/>
    <x v="1"/>
  </r>
  <r>
    <x v="3"/>
    <x v="4"/>
    <x v="5"/>
    <n v="16024"/>
    <n v="226"/>
    <n v="98441.97"/>
    <n v="21507.65"/>
    <x v="3"/>
  </r>
  <r>
    <x v="3"/>
    <x v="4"/>
    <x v="5"/>
    <n v="16650"/>
    <n v="35"/>
    <n v="6045.39"/>
    <n v="3536.09"/>
    <x v="0"/>
  </r>
  <r>
    <x v="3"/>
    <x v="4"/>
    <x v="5"/>
    <n v="17892"/>
    <n v="83"/>
    <n v="12310.77"/>
    <n v="2679.71"/>
    <x v="4"/>
  </r>
  <r>
    <x v="3"/>
    <x v="4"/>
    <x v="5"/>
    <n v="18342"/>
    <n v="93"/>
    <n v="76100.710000000006"/>
    <n v="17775.14"/>
    <x v="3"/>
  </r>
  <r>
    <x v="3"/>
    <x v="4"/>
    <x v="5"/>
    <n v="20177"/>
    <n v="59"/>
    <n v="5194.32"/>
    <n v="1783.16"/>
    <x v="5"/>
  </r>
  <r>
    <x v="3"/>
    <x v="4"/>
    <x v="5"/>
    <n v="21179"/>
    <n v="61"/>
    <n v="7085.88"/>
    <n v="4022.96"/>
    <x v="0"/>
  </r>
  <r>
    <x v="3"/>
    <x v="4"/>
    <x v="5"/>
    <n v="21260"/>
    <n v="76"/>
    <n v="15486.53"/>
    <n v="4338.57"/>
    <x v="4"/>
  </r>
  <r>
    <x v="3"/>
    <x v="4"/>
    <x v="5"/>
    <n v="22317"/>
    <n v="29"/>
    <n v="2775.43"/>
    <n v="1218.5899999999999"/>
    <x v="5"/>
  </r>
  <r>
    <x v="3"/>
    <x v="4"/>
    <x v="5"/>
    <n v="22940"/>
    <n v="373"/>
    <n v="43617.26"/>
    <n v="8117.99"/>
    <x v="2"/>
  </r>
  <r>
    <x v="3"/>
    <x v="4"/>
    <x v="5"/>
    <n v="23178"/>
    <n v="206"/>
    <n v="35520.54"/>
    <n v="7083.03"/>
    <x v="2"/>
  </r>
  <r>
    <x v="3"/>
    <x v="4"/>
    <x v="5"/>
    <n v="23600"/>
    <n v="513"/>
    <n v="58876.32"/>
    <n v="15237.74"/>
    <x v="2"/>
  </r>
  <r>
    <x v="3"/>
    <x v="4"/>
    <x v="5"/>
    <n v="23756"/>
    <n v="120"/>
    <n v="19195.16"/>
    <n v="9580.25"/>
    <x v="1"/>
  </r>
  <r>
    <x v="3"/>
    <x v="4"/>
    <x v="5"/>
    <n v="24326"/>
    <n v="121"/>
    <n v="17080.849999999999"/>
    <n v="4191.3100000000004"/>
    <x v="4"/>
  </r>
  <r>
    <x v="0"/>
    <x v="4"/>
    <x v="6"/>
    <n v="12184"/>
    <n v="98"/>
    <n v="10241.879999999999"/>
    <n v="4229.0200000000004"/>
    <x v="0"/>
  </r>
  <r>
    <x v="0"/>
    <x v="4"/>
    <x v="6"/>
    <n v="12622"/>
    <n v="74"/>
    <n v="23413.01"/>
    <n v="11683.1"/>
    <x v="1"/>
  </r>
  <r>
    <x v="0"/>
    <x v="4"/>
    <x v="6"/>
    <n v="13527"/>
    <n v="553"/>
    <n v="94644.64"/>
    <n v="18904.77"/>
    <x v="2"/>
  </r>
  <r>
    <x v="0"/>
    <x v="4"/>
    <x v="6"/>
    <n v="13618"/>
    <n v="11"/>
    <n v="4568.84"/>
    <n v="2008.3"/>
    <x v="1"/>
  </r>
  <r>
    <x v="0"/>
    <x v="4"/>
    <x v="6"/>
    <n v="16024"/>
    <n v="327"/>
    <n v="137933.62"/>
    <n v="35896.78"/>
    <x v="3"/>
  </r>
  <r>
    <x v="0"/>
    <x v="4"/>
    <x v="6"/>
    <n v="16650"/>
    <n v="53"/>
    <n v="9006.61"/>
    <n v="3978.62"/>
    <x v="0"/>
  </r>
  <r>
    <x v="0"/>
    <x v="4"/>
    <x v="6"/>
    <n v="17892"/>
    <n v="114"/>
    <n v="16774.3"/>
    <n v="4595.54"/>
    <x v="4"/>
  </r>
  <r>
    <x v="0"/>
    <x v="4"/>
    <x v="6"/>
    <n v="18342"/>
    <n v="227"/>
    <n v="182244.59"/>
    <n v="43898.32"/>
    <x v="3"/>
  </r>
  <r>
    <x v="0"/>
    <x v="4"/>
    <x v="6"/>
    <n v="20177"/>
    <n v="62"/>
    <n v="6599.75"/>
    <n v="2627.74"/>
    <x v="5"/>
  </r>
  <r>
    <x v="0"/>
    <x v="4"/>
    <x v="6"/>
    <n v="21179"/>
    <n v="61"/>
    <n v="8608.57"/>
    <n v="4311.8599999999997"/>
    <x v="0"/>
  </r>
  <r>
    <x v="0"/>
    <x v="4"/>
    <x v="6"/>
    <n v="21260"/>
    <n v="102"/>
    <n v="20030.57"/>
    <n v="5602.59"/>
    <x v="4"/>
  </r>
  <r>
    <x v="0"/>
    <x v="4"/>
    <x v="6"/>
    <n v="22317"/>
    <n v="88"/>
    <n v="8462.19"/>
    <n v="2793.75"/>
    <x v="5"/>
  </r>
  <r>
    <x v="0"/>
    <x v="4"/>
    <x v="6"/>
    <n v="22940"/>
    <n v="357"/>
    <n v="42220.9"/>
    <n v="8135.59"/>
    <x v="2"/>
  </r>
  <r>
    <x v="0"/>
    <x v="4"/>
    <x v="6"/>
    <n v="23178"/>
    <n v="240"/>
    <n v="40209.870000000003"/>
    <n v="7714.11"/>
    <x v="2"/>
  </r>
  <r>
    <x v="0"/>
    <x v="4"/>
    <x v="6"/>
    <n v="23600"/>
    <n v="664"/>
    <n v="72025.429999999993"/>
    <n v="19606.169999999998"/>
    <x v="2"/>
  </r>
  <r>
    <x v="0"/>
    <x v="4"/>
    <x v="6"/>
    <n v="23756"/>
    <n v="117"/>
    <n v="18320.57"/>
    <n v="7580.69"/>
    <x v="1"/>
  </r>
  <r>
    <x v="0"/>
    <x v="4"/>
    <x v="6"/>
    <n v="24326"/>
    <n v="193"/>
    <n v="28834.19"/>
    <n v="7254.43"/>
    <x v="4"/>
  </r>
  <r>
    <x v="1"/>
    <x v="4"/>
    <x v="6"/>
    <n v="12184"/>
    <n v="38"/>
    <n v="4137.6099999999997"/>
    <n v="2382.42"/>
    <x v="0"/>
  </r>
  <r>
    <x v="1"/>
    <x v="4"/>
    <x v="6"/>
    <n v="12622"/>
    <n v="8"/>
    <n v="2168.19"/>
    <n v="914.97"/>
    <x v="1"/>
  </r>
  <r>
    <x v="1"/>
    <x v="4"/>
    <x v="6"/>
    <n v="13527"/>
    <n v="212"/>
    <n v="33987.129999999997"/>
    <n v="6503.9"/>
    <x v="2"/>
  </r>
  <r>
    <x v="1"/>
    <x v="4"/>
    <x v="6"/>
    <n v="13618"/>
    <n v="9"/>
    <n v="3240.05"/>
    <n v="1424.3"/>
    <x v="1"/>
  </r>
  <r>
    <x v="1"/>
    <x v="4"/>
    <x v="6"/>
    <n v="16024"/>
    <n v="153"/>
    <n v="63724.36"/>
    <n v="19735.29"/>
    <x v="3"/>
  </r>
  <r>
    <x v="1"/>
    <x v="4"/>
    <x v="6"/>
    <n v="16650"/>
    <n v="23"/>
    <n v="3769.13"/>
    <n v="2318.4"/>
    <x v="0"/>
  </r>
  <r>
    <x v="1"/>
    <x v="4"/>
    <x v="6"/>
    <n v="17892"/>
    <n v="38"/>
    <n v="4893.38"/>
    <n v="1189.97"/>
    <x v="4"/>
  </r>
  <r>
    <x v="1"/>
    <x v="4"/>
    <x v="6"/>
    <n v="18342"/>
    <n v="15"/>
    <n v="13826.32"/>
    <n v="4312.2700000000004"/>
    <x v="3"/>
  </r>
  <r>
    <x v="1"/>
    <x v="4"/>
    <x v="6"/>
    <n v="20177"/>
    <n v="12"/>
    <n v="1049.18"/>
    <n v="438.95"/>
    <x v="5"/>
  </r>
  <r>
    <x v="1"/>
    <x v="4"/>
    <x v="6"/>
    <n v="21179"/>
    <n v="35"/>
    <n v="3538.84"/>
    <n v="2145.1799999999998"/>
    <x v="0"/>
  </r>
  <r>
    <x v="1"/>
    <x v="4"/>
    <x v="6"/>
    <n v="21260"/>
    <n v="57"/>
    <n v="11912.35"/>
    <n v="3008.46"/>
    <x v="4"/>
  </r>
  <r>
    <x v="1"/>
    <x v="4"/>
    <x v="6"/>
    <n v="22317"/>
    <n v="13"/>
    <n v="1192.42"/>
    <n v="529.42999999999995"/>
    <x v="5"/>
  </r>
  <r>
    <x v="1"/>
    <x v="4"/>
    <x v="6"/>
    <n v="22940"/>
    <n v="207"/>
    <n v="24175.13"/>
    <n v="6171.27"/>
    <x v="2"/>
  </r>
  <r>
    <x v="1"/>
    <x v="4"/>
    <x v="6"/>
    <n v="23178"/>
    <n v="292"/>
    <n v="51567.44"/>
    <n v="12777.41"/>
    <x v="2"/>
  </r>
  <r>
    <x v="1"/>
    <x v="4"/>
    <x v="6"/>
    <n v="23600"/>
    <n v="448"/>
    <n v="47228.46"/>
    <n v="13440.59"/>
    <x v="2"/>
  </r>
  <r>
    <x v="1"/>
    <x v="4"/>
    <x v="6"/>
    <n v="23756"/>
    <n v="40"/>
    <n v="6521"/>
    <n v="2513.81"/>
    <x v="1"/>
  </r>
  <r>
    <x v="1"/>
    <x v="4"/>
    <x v="6"/>
    <n v="24326"/>
    <n v="45"/>
    <n v="5727"/>
    <n v="1461.3"/>
    <x v="4"/>
  </r>
  <r>
    <x v="2"/>
    <x v="4"/>
    <x v="6"/>
    <n v="12184"/>
    <n v="69"/>
    <n v="9399.48"/>
    <n v="6147.14"/>
    <x v="0"/>
  </r>
  <r>
    <x v="2"/>
    <x v="4"/>
    <x v="6"/>
    <n v="12622"/>
    <n v="46"/>
    <n v="10961.49"/>
    <n v="5643.83"/>
    <x v="1"/>
  </r>
  <r>
    <x v="2"/>
    <x v="4"/>
    <x v="6"/>
    <n v="13527"/>
    <n v="355"/>
    <n v="60386.9"/>
    <n v="14475.88"/>
    <x v="2"/>
  </r>
  <r>
    <x v="2"/>
    <x v="4"/>
    <x v="6"/>
    <n v="13618"/>
    <n v="15"/>
    <n v="6816.2"/>
    <n v="3335.45"/>
    <x v="1"/>
  </r>
  <r>
    <x v="2"/>
    <x v="4"/>
    <x v="6"/>
    <n v="16024"/>
    <n v="260"/>
    <n v="121558.62"/>
    <n v="32310.51"/>
    <x v="3"/>
  </r>
  <r>
    <x v="2"/>
    <x v="4"/>
    <x v="6"/>
    <n v="16650"/>
    <n v="35"/>
    <n v="5042.2299999999996"/>
    <n v="3128.13"/>
    <x v="0"/>
  </r>
  <r>
    <x v="2"/>
    <x v="4"/>
    <x v="6"/>
    <n v="17892"/>
    <n v="71"/>
    <n v="10731.61"/>
    <n v="2990.04"/>
    <x v="4"/>
  </r>
  <r>
    <x v="2"/>
    <x v="4"/>
    <x v="6"/>
    <n v="18342"/>
    <n v="100"/>
    <n v="82131.58"/>
    <n v="24849.64"/>
    <x v="3"/>
  </r>
  <r>
    <x v="2"/>
    <x v="4"/>
    <x v="6"/>
    <n v="20177"/>
    <n v="73"/>
    <n v="8062.48"/>
    <n v="4027.63"/>
    <x v="5"/>
  </r>
  <r>
    <x v="2"/>
    <x v="4"/>
    <x v="6"/>
    <n v="21179"/>
    <n v="41"/>
    <n v="4677.22"/>
    <n v="3251.12"/>
    <x v="0"/>
  </r>
  <r>
    <x v="2"/>
    <x v="4"/>
    <x v="6"/>
    <n v="21260"/>
    <n v="48"/>
    <n v="8593.1"/>
    <n v="2810.95"/>
    <x v="4"/>
  </r>
  <r>
    <x v="2"/>
    <x v="4"/>
    <x v="6"/>
    <n v="22317"/>
    <n v="47"/>
    <n v="4958.53"/>
    <n v="1918.99"/>
    <x v="5"/>
  </r>
  <r>
    <x v="2"/>
    <x v="4"/>
    <x v="6"/>
    <n v="22940"/>
    <n v="474"/>
    <n v="64040.15"/>
    <n v="16074.95"/>
    <x v="2"/>
  </r>
  <r>
    <x v="2"/>
    <x v="4"/>
    <x v="6"/>
    <n v="23178"/>
    <n v="201"/>
    <n v="34699.75"/>
    <n v="8738.14"/>
    <x v="2"/>
  </r>
  <r>
    <x v="2"/>
    <x v="4"/>
    <x v="6"/>
    <n v="23600"/>
    <n v="864"/>
    <n v="108209.68"/>
    <n v="31146.75"/>
    <x v="2"/>
  </r>
  <r>
    <x v="2"/>
    <x v="4"/>
    <x v="6"/>
    <n v="23756"/>
    <n v="124"/>
    <n v="26526.99"/>
    <n v="14173.4"/>
    <x v="1"/>
  </r>
  <r>
    <x v="2"/>
    <x v="4"/>
    <x v="6"/>
    <n v="24326"/>
    <n v="63"/>
    <n v="9865.9599999999991"/>
    <n v="3323.61"/>
    <x v="4"/>
  </r>
  <r>
    <x v="3"/>
    <x v="4"/>
    <x v="6"/>
    <n v="12184"/>
    <n v="66"/>
    <n v="7096.53"/>
    <n v="3688.05"/>
    <x v="0"/>
  </r>
  <r>
    <x v="3"/>
    <x v="4"/>
    <x v="6"/>
    <n v="12622"/>
    <n v="25"/>
    <n v="6648.09"/>
    <n v="2912.89"/>
    <x v="1"/>
  </r>
  <r>
    <x v="3"/>
    <x v="4"/>
    <x v="6"/>
    <n v="13527"/>
    <n v="265"/>
    <n v="39494.31"/>
    <n v="9147.06"/>
    <x v="2"/>
  </r>
  <r>
    <x v="3"/>
    <x v="4"/>
    <x v="6"/>
    <n v="13618"/>
    <n v="12"/>
    <n v="3971.32"/>
    <n v="1759.97"/>
    <x v="1"/>
  </r>
  <r>
    <x v="3"/>
    <x v="4"/>
    <x v="6"/>
    <n v="16024"/>
    <n v="119"/>
    <n v="47817.33"/>
    <n v="12419.75"/>
    <x v="3"/>
  </r>
  <r>
    <x v="3"/>
    <x v="4"/>
    <x v="6"/>
    <n v="16650"/>
    <n v="60"/>
    <n v="9689.5300000000007"/>
    <n v="5969.28"/>
    <x v="0"/>
  </r>
  <r>
    <x v="3"/>
    <x v="4"/>
    <x v="6"/>
    <n v="17892"/>
    <n v="111"/>
    <n v="16862.78"/>
    <n v="3666.76"/>
    <x v="4"/>
  </r>
  <r>
    <x v="3"/>
    <x v="4"/>
    <x v="6"/>
    <n v="18342"/>
    <n v="111"/>
    <n v="95051.520000000004"/>
    <n v="20079.82"/>
    <x v="3"/>
  </r>
  <r>
    <x v="3"/>
    <x v="4"/>
    <x v="6"/>
    <n v="20177"/>
    <n v="66"/>
    <n v="7249.46"/>
    <n v="2585.4699999999998"/>
    <x v="5"/>
  </r>
  <r>
    <x v="3"/>
    <x v="4"/>
    <x v="6"/>
    <n v="21179"/>
    <n v="25"/>
    <n v="3054.73"/>
    <n v="1871.93"/>
    <x v="0"/>
  </r>
  <r>
    <x v="3"/>
    <x v="4"/>
    <x v="6"/>
    <n v="21260"/>
    <n v="50"/>
    <n v="8880.06"/>
    <n v="2128.81"/>
    <x v="4"/>
  </r>
  <r>
    <x v="3"/>
    <x v="4"/>
    <x v="6"/>
    <n v="22317"/>
    <n v="36"/>
    <n v="3125.43"/>
    <n v="1146.76"/>
    <x v="5"/>
  </r>
  <r>
    <x v="3"/>
    <x v="4"/>
    <x v="6"/>
    <n v="22940"/>
    <n v="685"/>
    <n v="92763.15"/>
    <n v="17141.669999999998"/>
    <x v="2"/>
  </r>
  <r>
    <x v="3"/>
    <x v="4"/>
    <x v="6"/>
    <n v="23178"/>
    <n v="237"/>
    <n v="44091.94"/>
    <n v="9733.7800000000007"/>
    <x v="2"/>
  </r>
  <r>
    <x v="3"/>
    <x v="4"/>
    <x v="6"/>
    <n v="23600"/>
    <n v="1072"/>
    <n v="110375.95"/>
    <n v="26218.34"/>
    <x v="2"/>
  </r>
  <r>
    <x v="3"/>
    <x v="4"/>
    <x v="6"/>
    <n v="23756"/>
    <n v="79"/>
    <n v="14903.99"/>
    <n v="7843.48"/>
    <x v="1"/>
  </r>
  <r>
    <x v="3"/>
    <x v="4"/>
    <x v="6"/>
    <n v="24326"/>
    <n v="108"/>
    <n v="16529.830000000002"/>
    <n v="3818.52"/>
    <x v="4"/>
  </r>
  <r>
    <x v="0"/>
    <x v="4"/>
    <x v="7"/>
    <n v="12184"/>
    <n v="46"/>
    <n v="4965.2299999999996"/>
    <n v="2115.87"/>
    <x v="0"/>
  </r>
  <r>
    <x v="0"/>
    <x v="4"/>
    <x v="7"/>
    <n v="12622"/>
    <n v="64"/>
    <n v="15423.72"/>
    <n v="7977.3"/>
    <x v="1"/>
  </r>
  <r>
    <x v="0"/>
    <x v="4"/>
    <x v="7"/>
    <n v="13527"/>
    <n v="519"/>
    <n v="89417.96"/>
    <n v="14317.71"/>
    <x v="2"/>
  </r>
  <r>
    <x v="0"/>
    <x v="4"/>
    <x v="7"/>
    <n v="13618"/>
    <n v="23"/>
    <n v="7649.56"/>
    <n v="3271.34"/>
    <x v="1"/>
  </r>
  <r>
    <x v="0"/>
    <x v="4"/>
    <x v="7"/>
    <n v="16024"/>
    <n v="170"/>
    <n v="79576.56"/>
    <n v="21650.48"/>
    <x v="3"/>
  </r>
  <r>
    <x v="0"/>
    <x v="4"/>
    <x v="7"/>
    <n v="16650"/>
    <n v="35"/>
    <n v="6153.71"/>
    <n v="3326.46"/>
    <x v="0"/>
  </r>
  <r>
    <x v="0"/>
    <x v="4"/>
    <x v="7"/>
    <n v="17892"/>
    <n v="114"/>
    <n v="15145.91"/>
    <n v="3835.22"/>
    <x v="4"/>
  </r>
  <r>
    <x v="0"/>
    <x v="4"/>
    <x v="7"/>
    <n v="18342"/>
    <n v="101"/>
    <n v="86774.82"/>
    <n v="26083.93"/>
    <x v="3"/>
  </r>
  <r>
    <x v="0"/>
    <x v="4"/>
    <x v="7"/>
    <n v="20177"/>
    <n v="161"/>
    <n v="15727.69"/>
    <n v="6388.73"/>
    <x v="5"/>
  </r>
  <r>
    <x v="0"/>
    <x v="4"/>
    <x v="7"/>
    <n v="21179"/>
    <n v="31"/>
    <n v="3086.14"/>
    <n v="1567.44"/>
    <x v="0"/>
  </r>
  <r>
    <x v="0"/>
    <x v="4"/>
    <x v="7"/>
    <n v="21260"/>
    <n v="102"/>
    <n v="17405.25"/>
    <n v="4239.22"/>
    <x v="4"/>
  </r>
  <r>
    <x v="0"/>
    <x v="4"/>
    <x v="7"/>
    <n v="22317"/>
    <n v="112"/>
    <n v="8335.49"/>
    <n v="2932.87"/>
    <x v="5"/>
  </r>
  <r>
    <x v="0"/>
    <x v="4"/>
    <x v="7"/>
    <n v="22940"/>
    <n v="407"/>
    <n v="50185.67"/>
    <n v="9481.77"/>
    <x v="2"/>
  </r>
  <r>
    <x v="0"/>
    <x v="4"/>
    <x v="7"/>
    <n v="23178"/>
    <n v="371"/>
    <n v="64595.9"/>
    <n v="13398.89"/>
    <x v="2"/>
  </r>
  <r>
    <x v="0"/>
    <x v="4"/>
    <x v="7"/>
    <n v="23600"/>
    <n v="1069"/>
    <n v="108853.88"/>
    <n v="26474.16"/>
    <x v="2"/>
  </r>
  <r>
    <x v="0"/>
    <x v="4"/>
    <x v="7"/>
    <n v="23756"/>
    <n v="85"/>
    <n v="15953.44"/>
    <n v="6707.39"/>
    <x v="1"/>
  </r>
  <r>
    <x v="0"/>
    <x v="4"/>
    <x v="7"/>
    <n v="24326"/>
    <n v="115"/>
    <n v="14704.53"/>
    <n v="4229.13"/>
    <x v="4"/>
  </r>
  <r>
    <x v="1"/>
    <x v="4"/>
    <x v="7"/>
    <n v="12184"/>
    <n v="32"/>
    <n v="3178.51"/>
    <n v="1693.87"/>
    <x v="0"/>
  </r>
  <r>
    <x v="1"/>
    <x v="4"/>
    <x v="7"/>
    <n v="12622"/>
    <n v="13"/>
    <n v="3165.55"/>
    <n v="1309.8599999999999"/>
    <x v="1"/>
  </r>
  <r>
    <x v="1"/>
    <x v="4"/>
    <x v="7"/>
    <n v="13527"/>
    <n v="306"/>
    <n v="50534.89"/>
    <n v="8465.01"/>
    <x v="2"/>
  </r>
  <r>
    <x v="1"/>
    <x v="4"/>
    <x v="7"/>
    <n v="13618"/>
    <n v="10"/>
    <n v="4111.0200000000004"/>
    <n v="1827.99"/>
    <x v="1"/>
  </r>
  <r>
    <x v="1"/>
    <x v="4"/>
    <x v="7"/>
    <n v="16024"/>
    <n v="103"/>
    <n v="48728.6"/>
    <n v="16613.41"/>
    <x v="3"/>
  </r>
  <r>
    <x v="1"/>
    <x v="4"/>
    <x v="7"/>
    <n v="16650"/>
    <n v="27"/>
    <n v="3657.22"/>
    <n v="2331.69"/>
    <x v="0"/>
  </r>
  <r>
    <x v="1"/>
    <x v="4"/>
    <x v="7"/>
    <n v="17892"/>
    <n v="99"/>
    <n v="14505.59"/>
    <n v="3969.33"/>
    <x v="4"/>
  </r>
  <r>
    <x v="1"/>
    <x v="4"/>
    <x v="7"/>
    <n v="18342"/>
    <n v="20"/>
    <n v="16331.08"/>
    <n v="4889.74"/>
    <x v="3"/>
  </r>
  <r>
    <x v="1"/>
    <x v="4"/>
    <x v="7"/>
    <n v="20177"/>
    <n v="12"/>
    <n v="1218.1400000000001"/>
    <n v="538.33000000000004"/>
    <x v="5"/>
  </r>
  <r>
    <x v="1"/>
    <x v="4"/>
    <x v="7"/>
    <n v="21179"/>
    <n v="33"/>
    <n v="3760.41"/>
    <n v="2231.3000000000002"/>
    <x v="0"/>
  </r>
  <r>
    <x v="1"/>
    <x v="4"/>
    <x v="7"/>
    <n v="21260"/>
    <n v="56"/>
    <n v="9659.77"/>
    <n v="2406.9499999999998"/>
    <x v="4"/>
  </r>
  <r>
    <x v="1"/>
    <x v="4"/>
    <x v="7"/>
    <n v="22317"/>
    <n v="8"/>
    <n v="781.03"/>
    <n v="334.09"/>
    <x v="5"/>
  </r>
  <r>
    <x v="1"/>
    <x v="4"/>
    <x v="7"/>
    <n v="22940"/>
    <n v="167"/>
    <n v="22903.119999999999"/>
    <n v="6296.81"/>
    <x v="2"/>
  </r>
  <r>
    <x v="1"/>
    <x v="4"/>
    <x v="7"/>
    <n v="23178"/>
    <n v="123"/>
    <n v="19913.12"/>
    <n v="4736.08"/>
    <x v="2"/>
  </r>
  <r>
    <x v="1"/>
    <x v="4"/>
    <x v="7"/>
    <n v="23600"/>
    <n v="647"/>
    <n v="79961.850000000006"/>
    <n v="22147.05"/>
    <x v="2"/>
  </r>
  <r>
    <x v="1"/>
    <x v="4"/>
    <x v="7"/>
    <n v="23756"/>
    <n v="66"/>
    <n v="12409.78"/>
    <n v="6100.23"/>
    <x v="1"/>
  </r>
  <r>
    <x v="1"/>
    <x v="4"/>
    <x v="7"/>
    <n v="24326"/>
    <n v="40"/>
    <n v="5549.28"/>
    <n v="1605.03"/>
    <x v="4"/>
  </r>
  <r>
    <x v="2"/>
    <x v="4"/>
    <x v="7"/>
    <n v="12184"/>
    <n v="104"/>
    <n v="13802.89"/>
    <n v="8380.5400000000009"/>
    <x v="0"/>
  </r>
  <r>
    <x v="2"/>
    <x v="4"/>
    <x v="7"/>
    <n v="12622"/>
    <n v="26"/>
    <n v="8366.07"/>
    <n v="5378.68"/>
    <x v="1"/>
  </r>
  <r>
    <x v="2"/>
    <x v="4"/>
    <x v="7"/>
    <n v="13527"/>
    <n v="205"/>
    <n v="33547.57"/>
    <n v="7905.79"/>
    <x v="2"/>
  </r>
  <r>
    <x v="2"/>
    <x v="4"/>
    <x v="7"/>
    <n v="13618"/>
    <n v="23"/>
    <n v="9401.0300000000007"/>
    <n v="5307.6"/>
    <x v="1"/>
  </r>
  <r>
    <x v="2"/>
    <x v="4"/>
    <x v="7"/>
    <n v="16024"/>
    <n v="191"/>
    <n v="85418.84"/>
    <n v="27099.8"/>
    <x v="3"/>
  </r>
  <r>
    <x v="2"/>
    <x v="4"/>
    <x v="7"/>
    <n v="16650"/>
    <n v="20"/>
    <n v="3838.23"/>
    <n v="2312.98"/>
    <x v="0"/>
  </r>
  <r>
    <x v="2"/>
    <x v="4"/>
    <x v="7"/>
    <n v="17892"/>
    <n v="102"/>
    <n v="15573.03"/>
    <n v="5266.8"/>
    <x v="4"/>
  </r>
  <r>
    <x v="2"/>
    <x v="4"/>
    <x v="7"/>
    <n v="18342"/>
    <n v="90"/>
    <n v="70665.42"/>
    <n v="17784.759999999998"/>
    <x v="3"/>
  </r>
  <r>
    <x v="2"/>
    <x v="4"/>
    <x v="7"/>
    <n v="20177"/>
    <n v="88"/>
    <n v="10537.73"/>
    <n v="5516.53"/>
    <x v="5"/>
  </r>
  <r>
    <x v="2"/>
    <x v="4"/>
    <x v="7"/>
    <n v="21179"/>
    <n v="49"/>
    <n v="8014.18"/>
    <n v="4869.67"/>
    <x v="0"/>
  </r>
  <r>
    <x v="2"/>
    <x v="4"/>
    <x v="7"/>
    <n v="21260"/>
    <n v="48"/>
    <n v="10294.32"/>
    <n v="3632.94"/>
    <x v="4"/>
  </r>
  <r>
    <x v="2"/>
    <x v="4"/>
    <x v="7"/>
    <n v="22317"/>
    <n v="29"/>
    <n v="2774.28"/>
    <n v="1161.28"/>
    <x v="5"/>
  </r>
  <r>
    <x v="2"/>
    <x v="4"/>
    <x v="7"/>
    <n v="22940"/>
    <n v="754"/>
    <n v="93549"/>
    <n v="23785.759999999998"/>
    <x v="2"/>
  </r>
  <r>
    <x v="2"/>
    <x v="4"/>
    <x v="7"/>
    <n v="23178"/>
    <n v="258"/>
    <n v="50248.800000000003"/>
    <n v="13748.43"/>
    <x v="2"/>
  </r>
  <r>
    <x v="2"/>
    <x v="4"/>
    <x v="7"/>
    <n v="23600"/>
    <n v="1056"/>
    <n v="109487.48"/>
    <n v="35858.79"/>
    <x v="2"/>
  </r>
  <r>
    <x v="2"/>
    <x v="4"/>
    <x v="7"/>
    <n v="23756"/>
    <n v="51"/>
    <n v="7617.42"/>
    <n v="4468.12"/>
    <x v="1"/>
  </r>
  <r>
    <x v="2"/>
    <x v="4"/>
    <x v="7"/>
    <n v="24326"/>
    <n v="59"/>
    <n v="8020.61"/>
    <n v="2792.41"/>
    <x v="4"/>
  </r>
  <r>
    <x v="3"/>
    <x v="4"/>
    <x v="7"/>
    <n v="12184"/>
    <n v="62"/>
    <n v="7645.66"/>
    <n v="3796.75"/>
    <x v="0"/>
  </r>
  <r>
    <x v="3"/>
    <x v="4"/>
    <x v="7"/>
    <n v="12622"/>
    <n v="51"/>
    <n v="12300.38"/>
    <n v="6430.31"/>
    <x v="1"/>
  </r>
  <r>
    <x v="3"/>
    <x v="4"/>
    <x v="7"/>
    <n v="13527"/>
    <n v="248"/>
    <n v="39790.870000000003"/>
    <n v="7464.23"/>
    <x v="2"/>
  </r>
  <r>
    <x v="3"/>
    <x v="4"/>
    <x v="7"/>
    <n v="13618"/>
    <n v="15"/>
    <n v="6320.25"/>
    <n v="3118.98"/>
    <x v="1"/>
  </r>
  <r>
    <x v="3"/>
    <x v="4"/>
    <x v="7"/>
    <n v="16024"/>
    <n v="219"/>
    <n v="93078.62"/>
    <n v="20943.52"/>
    <x v="3"/>
  </r>
  <r>
    <x v="3"/>
    <x v="4"/>
    <x v="7"/>
    <n v="16650"/>
    <n v="54"/>
    <n v="9085.02"/>
    <n v="4763.6000000000004"/>
    <x v="0"/>
  </r>
  <r>
    <x v="3"/>
    <x v="4"/>
    <x v="7"/>
    <n v="17892"/>
    <n v="103"/>
    <n v="15724.67"/>
    <n v="3533.65"/>
    <x v="4"/>
  </r>
  <r>
    <x v="3"/>
    <x v="4"/>
    <x v="7"/>
    <n v="18342"/>
    <n v="203"/>
    <n v="181674.5"/>
    <n v="48139"/>
    <x v="3"/>
  </r>
  <r>
    <x v="3"/>
    <x v="4"/>
    <x v="7"/>
    <n v="20177"/>
    <n v="66"/>
    <n v="7248.84"/>
    <n v="2560"/>
    <x v="5"/>
  </r>
  <r>
    <x v="3"/>
    <x v="4"/>
    <x v="7"/>
    <n v="21179"/>
    <n v="64"/>
    <n v="7341.87"/>
    <n v="4166.1499999999996"/>
    <x v="0"/>
  </r>
  <r>
    <x v="3"/>
    <x v="4"/>
    <x v="7"/>
    <n v="21260"/>
    <n v="39"/>
    <n v="7315.39"/>
    <n v="1782.99"/>
    <x v="4"/>
  </r>
  <r>
    <x v="3"/>
    <x v="4"/>
    <x v="7"/>
    <n v="22317"/>
    <n v="48"/>
    <n v="3584.52"/>
    <n v="1268.19"/>
    <x v="5"/>
  </r>
  <r>
    <x v="3"/>
    <x v="4"/>
    <x v="7"/>
    <n v="22940"/>
    <n v="290"/>
    <n v="37811.24"/>
    <n v="7661.21"/>
    <x v="2"/>
  </r>
  <r>
    <x v="3"/>
    <x v="4"/>
    <x v="7"/>
    <n v="23178"/>
    <n v="148"/>
    <n v="26727.15"/>
    <n v="5753.66"/>
    <x v="2"/>
  </r>
  <r>
    <x v="3"/>
    <x v="4"/>
    <x v="7"/>
    <n v="23600"/>
    <n v="508"/>
    <n v="55762.83"/>
    <n v="11269.32"/>
    <x v="2"/>
  </r>
  <r>
    <x v="3"/>
    <x v="4"/>
    <x v="7"/>
    <n v="23756"/>
    <n v="142"/>
    <n v="27526.06"/>
    <n v="14023.84"/>
    <x v="1"/>
  </r>
  <r>
    <x v="3"/>
    <x v="4"/>
    <x v="7"/>
    <n v="24326"/>
    <n v="143"/>
    <n v="21303.33"/>
    <n v="4811.43"/>
    <x v="4"/>
  </r>
  <r>
    <x v="0"/>
    <x v="4"/>
    <x v="8"/>
    <n v="12184"/>
    <n v="46"/>
    <n v="5246.48"/>
    <n v="2670.29"/>
    <x v="0"/>
  </r>
  <r>
    <x v="0"/>
    <x v="4"/>
    <x v="8"/>
    <n v="12622"/>
    <n v="81"/>
    <n v="20045.02"/>
    <n v="9881.42"/>
    <x v="1"/>
  </r>
  <r>
    <x v="0"/>
    <x v="4"/>
    <x v="8"/>
    <n v="13527"/>
    <n v="627"/>
    <n v="108272.74"/>
    <n v="22569.35"/>
    <x v="2"/>
  </r>
  <r>
    <x v="0"/>
    <x v="4"/>
    <x v="8"/>
    <n v="13618"/>
    <n v="32"/>
    <n v="13770.25"/>
    <n v="6084"/>
    <x v="1"/>
  </r>
  <r>
    <x v="0"/>
    <x v="4"/>
    <x v="8"/>
    <n v="16024"/>
    <n v="221"/>
    <n v="106732.3"/>
    <n v="26921.48"/>
    <x v="3"/>
  </r>
  <r>
    <x v="0"/>
    <x v="4"/>
    <x v="8"/>
    <n v="16650"/>
    <n v="60"/>
    <n v="9454.9"/>
    <n v="4727.34"/>
    <x v="0"/>
  </r>
  <r>
    <x v="0"/>
    <x v="4"/>
    <x v="8"/>
    <n v="17892"/>
    <n v="126"/>
    <n v="15933.84"/>
    <n v="4904.3500000000004"/>
    <x v="4"/>
  </r>
  <r>
    <x v="0"/>
    <x v="4"/>
    <x v="8"/>
    <n v="18342"/>
    <n v="139"/>
    <n v="104020.57"/>
    <n v="26912.35"/>
    <x v="3"/>
  </r>
  <r>
    <x v="0"/>
    <x v="4"/>
    <x v="8"/>
    <n v="20177"/>
    <n v="57"/>
    <n v="5534.86"/>
    <n v="2242.84"/>
    <x v="5"/>
  </r>
  <r>
    <x v="0"/>
    <x v="4"/>
    <x v="8"/>
    <n v="21179"/>
    <n v="73"/>
    <n v="7695.97"/>
    <n v="3243.94"/>
    <x v="0"/>
  </r>
  <r>
    <x v="0"/>
    <x v="4"/>
    <x v="8"/>
    <n v="21260"/>
    <n v="44"/>
    <n v="8541.35"/>
    <n v="2318.81"/>
    <x v="4"/>
  </r>
  <r>
    <x v="0"/>
    <x v="4"/>
    <x v="8"/>
    <n v="22317"/>
    <n v="73"/>
    <n v="7141.3"/>
    <n v="2734.24"/>
    <x v="5"/>
  </r>
  <r>
    <x v="0"/>
    <x v="4"/>
    <x v="8"/>
    <n v="22940"/>
    <n v="498"/>
    <n v="65830.990000000005"/>
    <n v="12034.44"/>
    <x v="2"/>
  </r>
  <r>
    <x v="0"/>
    <x v="4"/>
    <x v="8"/>
    <n v="23178"/>
    <n v="418"/>
    <n v="73701.97"/>
    <n v="15501.04"/>
    <x v="2"/>
  </r>
  <r>
    <x v="0"/>
    <x v="4"/>
    <x v="8"/>
    <n v="23600"/>
    <n v="1225"/>
    <n v="143369.79"/>
    <n v="38292.980000000003"/>
    <x v="2"/>
  </r>
  <r>
    <x v="0"/>
    <x v="4"/>
    <x v="8"/>
    <n v="23756"/>
    <n v="145"/>
    <n v="23056.09"/>
    <n v="10025.23"/>
    <x v="1"/>
  </r>
  <r>
    <x v="0"/>
    <x v="4"/>
    <x v="8"/>
    <n v="24326"/>
    <n v="145"/>
    <n v="20286.78"/>
    <n v="6208.53"/>
    <x v="4"/>
  </r>
  <r>
    <x v="1"/>
    <x v="4"/>
    <x v="8"/>
    <n v="12184"/>
    <n v="23"/>
    <n v="3036.32"/>
    <n v="1720.29"/>
    <x v="0"/>
  </r>
  <r>
    <x v="1"/>
    <x v="4"/>
    <x v="8"/>
    <n v="12622"/>
    <n v="10"/>
    <n v="2988.72"/>
    <n v="1134.18"/>
    <x v="1"/>
  </r>
  <r>
    <x v="1"/>
    <x v="4"/>
    <x v="8"/>
    <n v="13527"/>
    <n v="132"/>
    <n v="20037.43"/>
    <n v="3644.03"/>
    <x v="2"/>
  </r>
  <r>
    <x v="1"/>
    <x v="4"/>
    <x v="8"/>
    <n v="13618"/>
    <n v="10"/>
    <n v="4137.66"/>
    <n v="1991.72"/>
    <x v="1"/>
  </r>
  <r>
    <x v="1"/>
    <x v="4"/>
    <x v="8"/>
    <n v="16024"/>
    <n v="191"/>
    <n v="89068.44"/>
    <n v="31585.03"/>
    <x v="3"/>
  </r>
  <r>
    <x v="1"/>
    <x v="4"/>
    <x v="8"/>
    <n v="16650"/>
    <n v="21"/>
    <n v="3334.98"/>
    <n v="1952.01"/>
    <x v="0"/>
  </r>
  <r>
    <x v="1"/>
    <x v="4"/>
    <x v="8"/>
    <n v="17892"/>
    <n v="92"/>
    <n v="12657.44"/>
    <n v="2858.02"/>
    <x v="4"/>
  </r>
  <r>
    <x v="1"/>
    <x v="4"/>
    <x v="8"/>
    <n v="18342"/>
    <n v="27"/>
    <n v="21307.040000000001"/>
    <n v="7025.84"/>
    <x v="3"/>
  </r>
  <r>
    <x v="1"/>
    <x v="4"/>
    <x v="8"/>
    <n v="20177"/>
    <n v="30"/>
    <n v="2645.47"/>
    <n v="1133.21"/>
    <x v="5"/>
  </r>
  <r>
    <x v="1"/>
    <x v="4"/>
    <x v="8"/>
    <n v="21179"/>
    <n v="27"/>
    <n v="3205.03"/>
    <n v="1554.48"/>
    <x v="0"/>
  </r>
  <r>
    <x v="1"/>
    <x v="4"/>
    <x v="8"/>
    <n v="21260"/>
    <n v="30"/>
    <n v="5674.28"/>
    <n v="1540.9"/>
    <x v="4"/>
  </r>
  <r>
    <x v="1"/>
    <x v="4"/>
    <x v="8"/>
    <n v="22317"/>
    <n v="6"/>
    <n v="638.80999999999995"/>
    <n v="254.2"/>
    <x v="5"/>
  </r>
  <r>
    <x v="1"/>
    <x v="4"/>
    <x v="8"/>
    <n v="22940"/>
    <n v="129"/>
    <n v="15846.32"/>
    <n v="3904.31"/>
    <x v="2"/>
  </r>
  <r>
    <x v="1"/>
    <x v="4"/>
    <x v="8"/>
    <n v="23178"/>
    <n v="171"/>
    <n v="32041.31"/>
    <n v="8089.26"/>
    <x v="2"/>
  </r>
  <r>
    <x v="1"/>
    <x v="4"/>
    <x v="8"/>
    <n v="23600"/>
    <n v="273"/>
    <n v="31144.400000000001"/>
    <n v="7475.94"/>
    <x v="2"/>
  </r>
  <r>
    <x v="1"/>
    <x v="4"/>
    <x v="8"/>
    <n v="23756"/>
    <n v="45"/>
    <n v="8248.61"/>
    <n v="3601.27"/>
    <x v="1"/>
  </r>
  <r>
    <x v="1"/>
    <x v="4"/>
    <x v="8"/>
    <n v="24326"/>
    <n v="25"/>
    <n v="3493.51"/>
    <n v="1201.57"/>
    <x v="4"/>
  </r>
  <r>
    <x v="2"/>
    <x v="4"/>
    <x v="8"/>
    <n v="12184"/>
    <n v="96"/>
    <n v="15124.72"/>
    <n v="11907.39"/>
    <x v="0"/>
  </r>
  <r>
    <x v="2"/>
    <x v="4"/>
    <x v="8"/>
    <n v="12622"/>
    <n v="22"/>
    <n v="6650.94"/>
    <n v="3947.19"/>
    <x v="1"/>
  </r>
  <r>
    <x v="2"/>
    <x v="4"/>
    <x v="8"/>
    <n v="13527"/>
    <n v="377"/>
    <n v="63982.37"/>
    <n v="14293.19"/>
    <x v="2"/>
  </r>
  <r>
    <x v="2"/>
    <x v="4"/>
    <x v="8"/>
    <n v="13618"/>
    <n v="15"/>
    <n v="5561.32"/>
    <n v="2878.12"/>
    <x v="1"/>
  </r>
  <r>
    <x v="2"/>
    <x v="4"/>
    <x v="8"/>
    <n v="16024"/>
    <n v="282"/>
    <n v="132305.97"/>
    <n v="42517.760000000002"/>
    <x v="3"/>
  </r>
  <r>
    <x v="2"/>
    <x v="4"/>
    <x v="8"/>
    <n v="16650"/>
    <n v="37"/>
    <n v="5262.7"/>
    <n v="3270.67"/>
    <x v="0"/>
  </r>
  <r>
    <x v="2"/>
    <x v="4"/>
    <x v="8"/>
    <n v="17892"/>
    <n v="73"/>
    <n v="9746.51"/>
    <n v="3095.8"/>
    <x v="4"/>
  </r>
  <r>
    <x v="2"/>
    <x v="4"/>
    <x v="8"/>
    <n v="18342"/>
    <n v="95"/>
    <n v="72990.080000000002"/>
    <n v="20390.47"/>
    <x v="3"/>
  </r>
  <r>
    <x v="2"/>
    <x v="4"/>
    <x v="8"/>
    <n v="20177"/>
    <n v="70"/>
    <n v="7406.02"/>
    <n v="3069.84"/>
    <x v="5"/>
  </r>
  <r>
    <x v="2"/>
    <x v="4"/>
    <x v="8"/>
    <n v="21179"/>
    <n v="45"/>
    <n v="4635.05"/>
    <n v="3194.75"/>
    <x v="0"/>
  </r>
  <r>
    <x v="2"/>
    <x v="4"/>
    <x v="8"/>
    <n v="21260"/>
    <n v="29"/>
    <n v="5180.47"/>
    <n v="1500.77"/>
    <x v="4"/>
  </r>
  <r>
    <x v="2"/>
    <x v="4"/>
    <x v="8"/>
    <n v="22317"/>
    <n v="40"/>
    <n v="2980.93"/>
    <n v="1324.73"/>
    <x v="5"/>
  </r>
  <r>
    <x v="2"/>
    <x v="4"/>
    <x v="8"/>
    <n v="22940"/>
    <n v="723"/>
    <n v="95246.47"/>
    <n v="26908.7"/>
    <x v="2"/>
  </r>
  <r>
    <x v="2"/>
    <x v="4"/>
    <x v="8"/>
    <n v="23178"/>
    <n v="240"/>
    <n v="41109.46"/>
    <n v="11174.21"/>
    <x v="2"/>
  </r>
  <r>
    <x v="2"/>
    <x v="4"/>
    <x v="8"/>
    <n v="23600"/>
    <n v="1200"/>
    <n v="122743.4"/>
    <n v="36578.54"/>
    <x v="2"/>
  </r>
  <r>
    <x v="2"/>
    <x v="4"/>
    <x v="8"/>
    <n v="23756"/>
    <n v="73"/>
    <n v="13883.52"/>
    <n v="7064.01"/>
    <x v="1"/>
  </r>
  <r>
    <x v="2"/>
    <x v="4"/>
    <x v="8"/>
    <n v="24326"/>
    <n v="99"/>
    <n v="14180.67"/>
    <n v="3974.53"/>
    <x v="4"/>
  </r>
  <r>
    <x v="3"/>
    <x v="4"/>
    <x v="8"/>
    <n v="12184"/>
    <n v="36"/>
    <n v="5414.67"/>
    <n v="2740.45"/>
    <x v="0"/>
  </r>
  <r>
    <x v="3"/>
    <x v="4"/>
    <x v="8"/>
    <n v="12622"/>
    <n v="64"/>
    <n v="17192.54"/>
    <n v="9035.92"/>
    <x v="1"/>
  </r>
  <r>
    <x v="3"/>
    <x v="4"/>
    <x v="8"/>
    <n v="13527"/>
    <n v="682"/>
    <n v="114284.67"/>
    <n v="27556.799999999999"/>
    <x v="2"/>
  </r>
  <r>
    <x v="3"/>
    <x v="4"/>
    <x v="8"/>
    <n v="13618"/>
    <n v="18"/>
    <n v="7793.83"/>
    <n v="3778.76"/>
    <x v="1"/>
  </r>
  <r>
    <x v="3"/>
    <x v="4"/>
    <x v="8"/>
    <n v="16024"/>
    <n v="220"/>
    <n v="86364.03"/>
    <n v="21983.32"/>
    <x v="3"/>
  </r>
  <r>
    <x v="3"/>
    <x v="4"/>
    <x v="8"/>
    <n v="16650"/>
    <n v="35"/>
    <n v="5489.46"/>
    <n v="3235.18"/>
    <x v="0"/>
  </r>
  <r>
    <x v="3"/>
    <x v="4"/>
    <x v="8"/>
    <n v="17892"/>
    <n v="107"/>
    <n v="15203.62"/>
    <n v="3357.75"/>
    <x v="4"/>
  </r>
  <r>
    <x v="3"/>
    <x v="4"/>
    <x v="8"/>
    <n v="18342"/>
    <n v="109"/>
    <n v="93195.01"/>
    <n v="25364.5"/>
    <x v="3"/>
  </r>
  <r>
    <x v="3"/>
    <x v="4"/>
    <x v="8"/>
    <n v="20177"/>
    <n v="93"/>
    <n v="10246.280000000001"/>
    <n v="3282.36"/>
    <x v="5"/>
  </r>
  <r>
    <x v="3"/>
    <x v="4"/>
    <x v="8"/>
    <n v="21179"/>
    <n v="45"/>
    <n v="4668.83"/>
    <n v="2436.84"/>
    <x v="0"/>
  </r>
  <r>
    <x v="3"/>
    <x v="4"/>
    <x v="8"/>
    <n v="21260"/>
    <n v="51"/>
    <n v="9737.3799999999992"/>
    <n v="2104.88"/>
    <x v="4"/>
  </r>
  <r>
    <x v="3"/>
    <x v="4"/>
    <x v="8"/>
    <n v="22317"/>
    <n v="61"/>
    <n v="6107.63"/>
    <n v="2478.92"/>
    <x v="5"/>
  </r>
  <r>
    <x v="3"/>
    <x v="4"/>
    <x v="8"/>
    <n v="22940"/>
    <n v="447"/>
    <n v="60969.86"/>
    <n v="12846.1"/>
    <x v="2"/>
  </r>
  <r>
    <x v="3"/>
    <x v="4"/>
    <x v="8"/>
    <n v="23178"/>
    <n v="240"/>
    <n v="41062.46"/>
    <n v="9709.42"/>
    <x v="2"/>
  </r>
  <r>
    <x v="3"/>
    <x v="4"/>
    <x v="8"/>
    <n v="23600"/>
    <n v="985"/>
    <n v="114655.59"/>
    <n v="23164.93"/>
    <x v="2"/>
  </r>
  <r>
    <x v="3"/>
    <x v="4"/>
    <x v="8"/>
    <n v="23756"/>
    <n v="88"/>
    <n v="15138.89"/>
    <n v="8119.27"/>
    <x v="1"/>
  </r>
  <r>
    <x v="3"/>
    <x v="4"/>
    <x v="8"/>
    <n v="24326"/>
    <n v="90"/>
    <n v="13516.32"/>
    <n v="3971.62"/>
    <x v="4"/>
  </r>
  <r>
    <x v="0"/>
    <x v="4"/>
    <x v="9"/>
    <n v="12184"/>
    <n v="82"/>
    <n v="11349.3"/>
    <n v="6222.33"/>
    <x v="0"/>
  </r>
  <r>
    <x v="0"/>
    <x v="4"/>
    <x v="9"/>
    <n v="12622"/>
    <n v="61"/>
    <n v="14997.1"/>
    <n v="7044.99"/>
    <x v="1"/>
  </r>
  <r>
    <x v="0"/>
    <x v="4"/>
    <x v="9"/>
    <n v="13527"/>
    <n v="540"/>
    <n v="82489.58"/>
    <n v="13682.7"/>
    <x v="2"/>
  </r>
  <r>
    <x v="0"/>
    <x v="4"/>
    <x v="9"/>
    <n v="13618"/>
    <n v="17"/>
    <n v="7764.08"/>
    <n v="3266.14"/>
    <x v="1"/>
  </r>
  <r>
    <x v="0"/>
    <x v="4"/>
    <x v="9"/>
    <n v="16024"/>
    <n v="228"/>
    <n v="90545.84"/>
    <n v="24112.74"/>
    <x v="3"/>
  </r>
  <r>
    <x v="0"/>
    <x v="4"/>
    <x v="9"/>
    <n v="16650"/>
    <n v="57"/>
    <n v="8306.57"/>
    <n v="3887.66"/>
    <x v="0"/>
  </r>
  <r>
    <x v="0"/>
    <x v="4"/>
    <x v="9"/>
    <n v="17892"/>
    <n v="109"/>
    <n v="14972.92"/>
    <n v="4049.32"/>
    <x v="4"/>
  </r>
  <r>
    <x v="0"/>
    <x v="4"/>
    <x v="9"/>
    <n v="18342"/>
    <n v="120"/>
    <n v="91775.35"/>
    <n v="26723.59"/>
    <x v="3"/>
  </r>
  <r>
    <x v="0"/>
    <x v="4"/>
    <x v="9"/>
    <n v="20177"/>
    <n v="81"/>
    <n v="7581.44"/>
    <n v="2562.2800000000002"/>
    <x v="5"/>
  </r>
  <r>
    <x v="0"/>
    <x v="4"/>
    <x v="9"/>
    <n v="21179"/>
    <n v="28"/>
    <n v="3070.9"/>
    <n v="1371.14"/>
    <x v="0"/>
  </r>
  <r>
    <x v="0"/>
    <x v="4"/>
    <x v="9"/>
    <n v="21260"/>
    <n v="108"/>
    <n v="20341.97"/>
    <n v="5857.99"/>
    <x v="4"/>
  </r>
  <r>
    <x v="0"/>
    <x v="4"/>
    <x v="9"/>
    <n v="22317"/>
    <n v="79"/>
    <n v="7463"/>
    <n v="2860.23"/>
    <x v="5"/>
  </r>
  <r>
    <x v="0"/>
    <x v="4"/>
    <x v="9"/>
    <n v="22940"/>
    <n v="574"/>
    <n v="75646.5"/>
    <n v="15695.35"/>
    <x v="2"/>
  </r>
  <r>
    <x v="0"/>
    <x v="4"/>
    <x v="9"/>
    <n v="23178"/>
    <n v="225"/>
    <n v="42175.16"/>
    <n v="6983.93"/>
    <x v="2"/>
  </r>
  <r>
    <x v="0"/>
    <x v="4"/>
    <x v="9"/>
    <n v="23600"/>
    <n v="1371"/>
    <n v="154200.54"/>
    <n v="39265.75"/>
    <x v="2"/>
  </r>
  <r>
    <x v="0"/>
    <x v="4"/>
    <x v="9"/>
    <n v="23756"/>
    <n v="136"/>
    <n v="22810.74"/>
    <n v="11531.07"/>
    <x v="1"/>
  </r>
  <r>
    <x v="0"/>
    <x v="4"/>
    <x v="9"/>
    <n v="24326"/>
    <n v="114"/>
    <n v="16951.57"/>
    <n v="4495.42"/>
    <x v="4"/>
  </r>
  <r>
    <x v="1"/>
    <x v="4"/>
    <x v="9"/>
    <n v="12184"/>
    <n v="24"/>
    <n v="2477.61"/>
    <n v="1087.96"/>
    <x v="0"/>
  </r>
  <r>
    <x v="1"/>
    <x v="4"/>
    <x v="9"/>
    <n v="12622"/>
    <n v="16"/>
    <n v="4664.37"/>
    <n v="1988.2"/>
    <x v="1"/>
  </r>
  <r>
    <x v="1"/>
    <x v="4"/>
    <x v="9"/>
    <n v="13527"/>
    <n v="334"/>
    <n v="53095.73"/>
    <n v="8940.9500000000007"/>
    <x v="2"/>
  </r>
  <r>
    <x v="1"/>
    <x v="4"/>
    <x v="9"/>
    <n v="13618"/>
    <n v="9"/>
    <n v="3588.3"/>
    <n v="1799.71"/>
    <x v="1"/>
  </r>
  <r>
    <x v="1"/>
    <x v="4"/>
    <x v="9"/>
    <n v="16024"/>
    <n v="79"/>
    <n v="30557.25"/>
    <n v="9316.91"/>
    <x v="3"/>
  </r>
  <r>
    <x v="1"/>
    <x v="4"/>
    <x v="9"/>
    <n v="16650"/>
    <n v="17"/>
    <n v="2897.16"/>
    <n v="1836.14"/>
    <x v="0"/>
  </r>
  <r>
    <x v="1"/>
    <x v="4"/>
    <x v="9"/>
    <n v="17892"/>
    <n v="76"/>
    <n v="10055.459999999999"/>
    <n v="2563.9499999999998"/>
    <x v="4"/>
  </r>
  <r>
    <x v="1"/>
    <x v="4"/>
    <x v="9"/>
    <n v="18342"/>
    <n v="16"/>
    <n v="13562.11"/>
    <n v="4275.7"/>
    <x v="3"/>
  </r>
  <r>
    <x v="1"/>
    <x v="4"/>
    <x v="9"/>
    <n v="20177"/>
    <n v="22"/>
    <n v="2508.39"/>
    <n v="1126.45"/>
    <x v="5"/>
  </r>
  <r>
    <x v="1"/>
    <x v="4"/>
    <x v="9"/>
    <n v="21179"/>
    <n v="20"/>
    <n v="2067.62"/>
    <n v="1287.25"/>
    <x v="0"/>
  </r>
  <r>
    <x v="1"/>
    <x v="4"/>
    <x v="9"/>
    <n v="21260"/>
    <n v="62"/>
    <n v="11417.47"/>
    <n v="2928.99"/>
    <x v="4"/>
  </r>
  <r>
    <x v="1"/>
    <x v="4"/>
    <x v="9"/>
    <n v="22317"/>
    <n v="8"/>
    <n v="731.73"/>
    <n v="322.23"/>
    <x v="5"/>
  </r>
  <r>
    <x v="1"/>
    <x v="4"/>
    <x v="9"/>
    <n v="22940"/>
    <n v="108"/>
    <n v="14875.81"/>
    <n v="4147.96"/>
    <x v="2"/>
  </r>
  <r>
    <x v="1"/>
    <x v="4"/>
    <x v="9"/>
    <n v="23178"/>
    <n v="134"/>
    <n v="23071.42"/>
    <n v="5809.5"/>
    <x v="2"/>
  </r>
  <r>
    <x v="1"/>
    <x v="4"/>
    <x v="9"/>
    <n v="23600"/>
    <n v="443"/>
    <n v="45608.92"/>
    <n v="13557.98"/>
    <x v="2"/>
  </r>
  <r>
    <x v="1"/>
    <x v="4"/>
    <x v="9"/>
    <n v="23756"/>
    <n v="94"/>
    <n v="16566.47"/>
    <n v="7159.22"/>
    <x v="1"/>
  </r>
  <r>
    <x v="1"/>
    <x v="4"/>
    <x v="9"/>
    <n v="24326"/>
    <n v="19"/>
    <n v="2915.53"/>
    <n v="869.18"/>
    <x v="4"/>
  </r>
  <r>
    <x v="2"/>
    <x v="4"/>
    <x v="9"/>
    <n v="12184"/>
    <n v="63"/>
    <n v="9287.75"/>
    <n v="5874.49"/>
    <x v="0"/>
  </r>
  <r>
    <x v="2"/>
    <x v="4"/>
    <x v="9"/>
    <n v="12622"/>
    <n v="54"/>
    <n v="14120.47"/>
    <n v="8068.83"/>
    <x v="1"/>
  </r>
  <r>
    <x v="2"/>
    <x v="4"/>
    <x v="9"/>
    <n v="13527"/>
    <n v="481"/>
    <n v="73957.960000000006"/>
    <n v="16085.92"/>
    <x v="2"/>
  </r>
  <r>
    <x v="2"/>
    <x v="4"/>
    <x v="9"/>
    <n v="13618"/>
    <n v="27"/>
    <n v="9582.49"/>
    <n v="4969.8599999999997"/>
    <x v="1"/>
  </r>
  <r>
    <x v="2"/>
    <x v="4"/>
    <x v="9"/>
    <n v="16024"/>
    <n v="139"/>
    <n v="60332.39"/>
    <n v="15402.42"/>
    <x v="3"/>
  </r>
  <r>
    <x v="2"/>
    <x v="4"/>
    <x v="9"/>
    <n v="16650"/>
    <n v="32"/>
    <n v="5123.5600000000004"/>
    <n v="3745.07"/>
    <x v="0"/>
  </r>
  <r>
    <x v="2"/>
    <x v="4"/>
    <x v="9"/>
    <n v="17892"/>
    <n v="75"/>
    <n v="10359.06"/>
    <n v="3619.29"/>
    <x v="4"/>
  </r>
  <r>
    <x v="2"/>
    <x v="4"/>
    <x v="9"/>
    <n v="18342"/>
    <n v="143"/>
    <n v="123028.54"/>
    <n v="38718.74"/>
    <x v="3"/>
  </r>
  <r>
    <x v="2"/>
    <x v="4"/>
    <x v="9"/>
    <n v="20177"/>
    <n v="42"/>
    <n v="4392.05"/>
    <n v="1859.86"/>
    <x v="5"/>
  </r>
  <r>
    <x v="2"/>
    <x v="4"/>
    <x v="9"/>
    <n v="21179"/>
    <n v="34"/>
    <n v="5548.25"/>
    <n v="3707.8"/>
    <x v="0"/>
  </r>
  <r>
    <x v="2"/>
    <x v="4"/>
    <x v="9"/>
    <n v="21260"/>
    <n v="49"/>
    <n v="10439.44"/>
    <n v="3416.59"/>
    <x v="4"/>
  </r>
  <r>
    <x v="2"/>
    <x v="4"/>
    <x v="9"/>
    <n v="22317"/>
    <n v="41"/>
    <n v="3859.29"/>
    <n v="1572.78"/>
    <x v="5"/>
  </r>
  <r>
    <x v="2"/>
    <x v="4"/>
    <x v="9"/>
    <n v="22940"/>
    <n v="351"/>
    <n v="42865.49"/>
    <n v="10934.88"/>
    <x v="2"/>
  </r>
  <r>
    <x v="2"/>
    <x v="4"/>
    <x v="9"/>
    <n v="23178"/>
    <n v="218"/>
    <n v="41442.720000000001"/>
    <n v="9481.31"/>
    <x v="2"/>
  </r>
  <r>
    <x v="2"/>
    <x v="4"/>
    <x v="9"/>
    <n v="23600"/>
    <n v="726"/>
    <n v="72963.31"/>
    <n v="18986.740000000002"/>
    <x v="2"/>
  </r>
  <r>
    <x v="2"/>
    <x v="4"/>
    <x v="9"/>
    <n v="23756"/>
    <n v="126"/>
    <n v="18995.14"/>
    <n v="10302.81"/>
    <x v="1"/>
  </r>
  <r>
    <x v="2"/>
    <x v="4"/>
    <x v="9"/>
    <n v="24326"/>
    <n v="83"/>
    <n v="12601.8"/>
    <n v="4018.6"/>
    <x v="4"/>
  </r>
  <r>
    <x v="3"/>
    <x v="4"/>
    <x v="9"/>
    <n v="12184"/>
    <n v="38"/>
    <n v="5671.84"/>
    <n v="3042.85"/>
    <x v="0"/>
  </r>
  <r>
    <x v="3"/>
    <x v="4"/>
    <x v="9"/>
    <n v="12622"/>
    <n v="41"/>
    <n v="12678.97"/>
    <n v="5410.19"/>
    <x v="1"/>
  </r>
  <r>
    <x v="3"/>
    <x v="4"/>
    <x v="9"/>
    <n v="13527"/>
    <n v="686"/>
    <n v="111776.61"/>
    <n v="21565.01"/>
    <x v="2"/>
  </r>
  <r>
    <x v="3"/>
    <x v="4"/>
    <x v="9"/>
    <n v="13618"/>
    <n v="12"/>
    <n v="4155.63"/>
    <n v="2087.64"/>
    <x v="1"/>
  </r>
  <r>
    <x v="3"/>
    <x v="4"/>
    <x v="9"/>
    <n v="16024"/>
    <n v="176"/>
    <n v="78861.539999999994"/>
    <n v="19836.3"/>
    <x v="3"/>
  </r>
  <r>
    <x v="3"/>
    <x v="4"/>
    <x v="9"/>
    <n v="16650"/>
    <n v="43"/>
    <n v="6023.08"/>
    <n v="3744.3"/>
    <x v="0"/>
  </r>
  <r>
    <x v="3"/>
    <x v="4"/>
    <x v="9"/>
    <n v="17892"/>
    <n v="100"/>
    <n v="13112.92"/>
    <n v="3834.96"/>
    <x v="4"/>
  </r>
  <r>
    <x v="3"/>
    <x v="4"/>
    <x v="9"/>
    <n v="18342"/>
    <n v="122"/>
    <n v="107481.60000000001"/>
    <n v="28778.48"/>
    <x v="3"/>
  </r>
  <r>
    <x v="3"/>
    <x v="4"/>
    <x v="9"/>
    <n v="20177"/>
    <n v="46"/>
    <n v="4330.1400000000003"/>
    <n v="1713.73"/>
    <x v="5"/>
  </r>
  <r>
    <x v="3"/>
    <x v="4"/>
    <x v="9"/>
    <n v="21179"/>
    <n v="65"/>
    <n v="9183.57"/>
    <n v="6039.52"/>
    <x v="0"/>
  </r>
  <r>
    <x v="3"/>
    <x v="4"/>
    <x v="9"/>
    <n v="21260"/>
    <n v="69"/>
    <n v="11974.24"/>
    <n v="3210.84"/>
    <x v="4"/>
  </r>
  <r>
    <x v="3"/>
    <x v="4"/>
    <x v="9"/>
    <n v="22317"/>
    <n v="81"/>
    <n v="6647.65"/>
    <n v="2340.13"/>
    <x v="5"/>
  </r>
  <r>
    <x v="3"/>
    <x v="4"/>
    <x v="9"/>
    <n v="22940"/>
    <n v="555"/>
    <n v="72316.100000000006"/>
    <n v="17132.169999999998"/>
    <x v="2"/>
  </r>
  <r>
    <x v="3"/>
    <x v="4"/>
    <x v="9"/>
    <n v="23178"/>
    <n v="166"/>
    <n v="26696.92"/>
    <n v="5471.07"/>
    <x v="2"/>
  </r>
  <r>
    <x v="3"/>
    <x v="4"/>
    <x v="9"/>
    <n v="23600"/>
    <n v="489"/>
    <n v="53661.75"/>
    <n v="12807.78"/>
    <x v="2"/>
  </r>
  <r>
    <x v="3"/>
    <x v="4"/>
    <x v="9"/>
    <n v="23756"/>
    <n v="131"/>
    <n v="23491.52"/>
    <n v="11004.25"/>
    <x v="1"/>
  </r>
  <r>
    <x v="3"/>
    <x v="4"/>
    <x v="9"/>
    <n v="24326"/>
    <n v="68"/>
    <n v="9812.0300000000007"/>
    <n v="2122.54"/>
    <x v="4"/>
  </r>
  <r>
    <x v="0"/>
    <x v="4"/>
    <x v="10"/>
    <n v="12184"/>
    <n v="66"/>
    <n v="7881.95"/>
    <n v="3629.86"/>
    <x v="0"/>
  </r>
  <r>
    <x v="0"/>
    <x v="4"/>
    <x v="10"/>
    <n v="12622"/>
    <n v="74"/>
    <n v="20066.98"/>
    <n v="10414.83"/>
    <x v="1"/>
  </r>
  <r>
    <x v="0"/>
    <x v="4"/>
    <x v="10"/>
    <n v="13527"/>
    <n v="598"/>
    <n v="97011.63"/>
    <n v="19205.93"/>
    <x v="2"/>
  </r>
  <r>
    <x v="0"/>
    <x v="4"/>
    <x v="10"/>
    <n v="13618"/>
    <n v="11"/>
    <n v="4784.0600000000004"/>
    <n v="1916.53"/>
    <x v="1"/>
  </r>
  <r>
    <x v="0"/>
    <x v="4"/>
    <x v="10"/>
    <n v="16024"/>
    <n v="316"/>
    <n v="140445.68"/>
    <n v="44929.42"/>
    <x v="3"/>
  </r>
  <r>
    <x v="0"/>
    <x v="4"/>
    <x v="10"/>
    <n v="16650"/>
    <n v="38"/>
    <n v="4795.9799999999996"/>
    <n v="2518.65"/>
    <x v="0"/>
  </r>
  <r>
    <x v="0"/>
    <x v="4"/>
    <x v="10"/>
    <n v="17892"/>
    <n v="195"/>
    <n v="27362.29"/>
    <n v="8881.15"/>
    <x v="4"/>
  </r>
  <r>
    <x v="0"/>
    <x v="4"/>
    <x v="10"/>
    <n v="18342"/>
    <n v="182"/>
    <n v="138741.69"/>
    <n v="45273.95"/>
    <x v="3"/>
  </r>
  <r>
    <x v="0"/>
    <x v="4"/>
    <x v="10"/>
    <n v="20177"/>
    <n v="100"/>
    <n v="10530.33"/>
    <n v="4413.03"/>
    <x v="5"/>
  </r>
  <r>
    <x v="0"/>
    <x v="4"/>
    <x v="10"/>
    <n v="21179"/>
    <n v="65"/>
    <n v="6641.76"/>
    <n v="3510.25"/>
    <x v="0"/>
  </r>
  <r>
    <x v="0"/>
    <x v="4"/>
    <x v="10"/>
    <n v="21260"/>
    <n v="54"/>
    <n v="9250.5400000000009"/>
    <n v="2881.23"/>
    <x v="4"/>
  </r>
  <r>
    <x v="0"/>
    <x v="4"/>
    <x v="10"/>
    <n v="22317"/>
    <n v="46"/>
    <n v="4144.6899999999996"/>
    <n v="1661.31"/>
    <x v="5"/>
  </r>
  <r>
    <x v="0"/>
    <x v="4"/>
    <x v="10"/>
    <n v="22940"/>
    <n v="730"/>
    <n v="98425.75"/>
    <n v="17373.939999999999"/>
    <x v="2"/>
  </r>
  <r>
    <x v="0"/>
    <x v="4"/>
    <x v="10"/>
    <n v="23178"/>
    <n v="474"/>
    <n v="83041.710000000006"/>
    <n v="13458.97"/>
    <x v="2"/>
  </r>
  <r>
    <x v="0"/>
    <x v="4"/>
    <x v="10"/>
    <n v="23600"/>
    <n v="1319"/>
    <n v="131581.39000000001"/>
    <n v="35516.42"/>
    <x v="2"/>
  </r>
  <r>
    <x v="0"/>
    <x v="4"/>
    <x v="10"/>
    <n v="23756"/>
    <n v="146"/>
    <n v="28082.09"/>
    <n v="13923.04"/>
    <x v="1"/>
  </r>
  <r>
    <x v="0"/>
    <x v="4"/>
    <x v="10"/>
    <n v="24326"/>
    <n v="72"/>
    <n v="9805.2099999999991"/>
    <n v="2674.31"/>
    <x v="4"/>
  </r>
  <r>
    <x v="1"/>
    <x v="4"/>
    <x v="10"/>
    <n v="12184"/>
    <n v="42"/>
    <n v="5529.32"/>
    <n v="2771.38"/>
    <x v="0"/>
  </r>
  <r>
    <x v="1"/>
    <x v="4"/>
    <x v="10"/>
    <n v="12622"/>
    <n v="9"/>
    <n v="1982.64"/>
    <n v="709.51"/>
    <x v="1"/>
  </r>
  <r>
    <x v="1"/>
    <x v="4"/>
    <x v="10"/>
    <n v="13527"/>
    <n v="139"/>
    <n v="23607.8"/>
    <n v="4408.45"/>
    <x v="2"/>
  </r>
  <r>
    <x v="1"/>
    <x v="4"/>
    <x v="10"/>
    <n v="13618"/>
    <n v="10"/>
    <n v="4170.99"/>
    <n v="2083.16"/>
    <x v="1"/>
  </r>
  <r>
    <x v="1"/>
    <x v="4"/>
    <x v="10"/>
    <n v="16024"/>
    <n v="81"/>
    <n v="33557.68"/>
    <n v="10357.129999999999"/>
    <x v="3"/>
  </r>
  <r>
    <x v="1"/>
    <x v="4"/>
    <x v="10"/>
    <n v="16650"/>
    <n v="14"/>
    <n v="2238.7199999999998"/>
    <n v="1299.83"/>
    <x v="0"/>
  </r>
  <r>
    <x v="1"/>
    <x v="4"/>
    <x v="10"/>
    <n v="17892"/>
    <n v="47"/>
    <n v="6527.77"/>
    <n v="1595.51"/>
    <x v="4"/>
  </r>
  <r>
    <x v="1"/>
    <x v="4"/>
    <x v="10"/>
    <n v="18342"/>
    <n v="21"/>
    <n v="18331.240000000002"/>
    <n v="4946.3100000000004"/>
    <x v="3"/>
  </r>
  <r>
    <x v="1"/>
    <x v="4"/>
    <x v="10"/>
    <n v="20177"/>
    <n v="33"/>
    <n v="3069.94"/>
    <n v="1302.18"/>
    <x v="5"/>
  </r>
  <r>
    <x v="1"/>
    <x v="4"/>
    <x v="10"/>
    <n v="21179"/>
    <n v="36"/>
    <n v="4064.73"/>
    <n v="2239.81"/>
    <x v="0"/>
  </r>
  <r>
    <x v="1"/>
    <x v="4"/>
    <x v="10"/>
    <n v="21260"/>
    <n v="48"/>
    <n v="8487.61"/>
    <n v="1784.47"/>
    <x v="4"/>
  </r>
  <r>
    <x v="1"/>
    <x v="4"/>
    <x v="10"/>
    <n v="22317"/>
    <n v="17"/>
    <n v="1358.49"/>
    <n v="618.33000000000004"/>
    <x v="5"/>
  </r>
  <r>
    <x v="1"/>
    <x v="4"/>
    <x v="10"/>
    <n v="22940"/>
    <n v="213"/>
    <n v="27827.07"/>
    <n v="8186.49"/>
    <x v="2"/>
  </r>
  <r>
    <x v="1"/>
    <x v="4"/>
    <x v="10"/>
    <n v="23178"/>
    <n v="322"/>
    <n v="63240.43"/>
    <n v="18219.34"/>
    <x v="2"/>
  </r>
  <r>
    <x v="1"/>
    <x v="4"/>
    <x v="10"/>
    <n v="23600"/>
    <n v="776"/>
    <n v="84067.79"/>
    <n v="20503.95"/>
    <x v="2"/>
  </r>
  <r>
    <x v="1"/>
    <x v="4"/>
    <x v="10"/>
    <n v="23756"/>
    <n v="74"/>
    <n v="15030.66"/>
    <n v="6215.13"/>
    <x v="1"/>
  </r>
  <r>
    <x v="1"/>
    <x v="4"/>
    <x v="10"/>
    <n v="24326"/>
    <n v="44"/>
    <n v="6389.27"/>
    <n v="1946.37"/>
    <x v="4"/>
  </r>
  <r>
    <x v="2"/>
    <x v="4"/>
    <x v="10"/>
    <n v="12184"/>
    <n v="92"/>
    <n v="13565.35"/>
    <n v="10557.99"/>
    <x v="0"/>
  </r>
  <r>
    <x v="2"/>
    <x v="4"/>
    <x v="10"/>
    <n v="12622"/>
    <n v="22"/>
    <n v="4908.41"/>
    <n v="2634.23"/>
    <x v="1"/>
  </r>
  <r>
    <x v="2"/>
    <x v="4"/>
    <x v="10"/>
    <n v="13527"/>
    <n v="270"/>
    <n v="41942.71"/>
    <n v="10229.84"/>
    <x v="2"/>
  </r>
  <r>
    <x v="2"/>
    <x v="4"/>
    <x v="10"/>
    <n v="13618"/>
    <n v="23"/>
    <n v="8622.17"/>
    <n v="4389.96"/>
    <x v="1"/>
  </r>
  <r>
    <x v="2"/>
    <x v="4"/>
    <x v="10"/>
    <n v="16024"/>
    <n v="317"/>
    <n v="152915.72"/>
    <n v="40529.980000000003"/>
    <x v="3"/>
  </r>
  <r>
    <x v="2"/>
    <x v="4"/>
    <x v="10"/>
    <n v="16650"/>
    <n v="17"/>
    <n v="3081.21"/>
    <n v="2186.08"/>
    <x v="0"/>
  </r>
  <r>
    <x v="2"/>
    <x v="4"/>
    <x v="10"/>
    <n v="17892"/>
    <n v="104"/>
    <n v="15398.24"/>
    <n v="4571.63"/>
    <x v="4"/>
  </r>
  <r>
    <x v="2"/>
    <x v="4"/>
    <x v="10"/>
    <n v="18342"/>
    <n v="152"/>
    <n v="134365.44"/>
    <n v="33618.07"/>
    <x v="3"/>
  </r>
  <r>
    <x v="2"/>
    <x v="4"/>
    <x v="10"/>
    <n v="20177"/>
    <n v="80"/>
    <n v="7209.74"/>
    <n v="3136.05"/>
    <x v="5"/>
  </r>
  <r>
    <x v="2"/>
    <x v="4"/>
    <x v="10"/>
    <n v="21179"/>
    <n v="70"/>
    <n v="7679.16"/>
    <n v="5086.62"/>
    <x v="0"/>
  </r>
  <r>
    <x v="2"/>
    <x v="4"/>
    <x v="10"/>
    <n v="21260"/>
    <n v="28"/>
    <n v="6117.04"/>
    <n v="2149.9"/>
    <x v="4"/>
  </r>
  <r>
    <x v="2"/>
    <x v="4"/>
    <x v="10"/>
    <n v="22317"/>
    <n v="28"/>
    <n v="2621.39"/>
    <n v="1227.93"/>
    <x v="5"/>
  </r>
  <r>
    <x v="2"/>
    <x v="4"/>
    <x v="10"/>
    <n v="22940"/>
    <n v="301"/>
    <n v="41117.53"/>
    <n v="10298.879999999999"/>
    <x v="2"/>
  </r>
  <r>
    <x v="2"/>
    <x v="4"/>
    <x v="10"/>
    <n v="23178"/>
    <n v="134"/>
    <n v="22608.69"/>
    <n v="6059.37"/>
    <x v="2"/>
  </r>
  <r>
    <x v="2"/>
    <x v="4"/>
    <x v="10"/>
    <n v="23600"/>
    <n v="1013"/>
    <n v="102593.81"/>
    <n v="27807.63"/>
    <x v="2"/>
  </r>
  <r>
    <x v="2"/>
    <x v="4"/>
    <x v="10"/>
    <n v="23756"/>
    <n v="47"/>
    <n v="8772.17"/>
    <n v="4334.7700000000004"/>
    <x v="1"/>
  </r>
  <r>
    <x v="2"/>
    <x v="4"/>
    <x v="10"/>
    <n v="24326"/>
    <n v="128"/>
    <n v="17301.099999999999"/>
    <n v="5718.53"/>
    <x v="4"/>
  </r>
  <r>
    <x v="3"/>
    <x v="4"/>
    <x v="10"/>
    <n v="12184"/>
    <n v="49"/>
    <n v="5124.12"/>
    <n v="3048.9"/>
    <x v="0"/>
  </r>
  <r>
    <x v="3"/>
    <x v="4"/>
    <x v="10"/>
    <n v="12622"/>
    <n v="36"/>
    <n v="9806.5400000000009"/>
    <n v="5153.16"/>
    <x v="1"/>
  </r>
  <r>
    <x v="3"/>
    <x v="4"/>
    <x v="10"/>
    <n v="13527"/>
    <n v="631"/>
    <n v="95002.35"/>
    <n v="22477.77"/>
    <x v="2"/>
  </r>
  <r>
    <x v="3"/>
    <x v="4"/>
    <x v="10"/>
    <n v="13618"/>
    <n v="14"/>
    <n v="5702.1"/>
    <n v="2477.48"/>
    <x v="1"/>
  </r>
  <r>
    <x v="3"/>
    <x v="4"/>
    <x v="10"/>
    <n v="16024"/>
    <n v="126"/>
    <n v="55945.440000000002"/>
    <n v="13967.55"/>
    <x v="3"/>
  </r>
  <r>
    <x v="3"/>
    <x v="4"/>
    <x v="10"/>
    <n v="16650"/>
    <n v="48"/>
    <n v="8651.42"/>
    <n v="5194.41"/>
    <x v="0"/>
  </r>
  <r>
    <x v="3"/>
    <x v="4"/>
    <x v="10"/>
    <n v="17892"/>
    <n v="50"/>
    <n v="7444.62"/>
    <n v="2018.42"/>
    <x v="4"/>
  </r>
  <r>
    <x v="3"/>
    <x v="4"/>
    <x v="10"/>
    <n v="18342"/>
    <n v="96"/>
    <n v="85675.91"/>
    <n v="20895.72"/>
    <x v="3"/>
  </r>
  <r>
    <x v="3"/>
    <x v="4"/>
    <x v="10"/>
    <n v="20177"/>
    <n v="58"/>
    <n v="5552.84"/>
    <n v="2106.92"/>
    <x v="5"/>
  </r>
  <r>
    <x v="3"/>
    <x v="4"/>
    <x v="10"/>
    <n v="21179"/>
    <n v="56"/>
    <n v="6904.56"/>
    <n v="3978.51"/>
    <x v="0"/>
  </r>
  <r>
    <x v="3"/>
    <x v="4"/>
    <x v="10"/>
    <n v="21260"/>
    <n v="87"/>
    <n v="16609.93"/>
    <n v="3641.46"/>
    <x v="4"/>
  </r>
  <r>
    <x v="3"/>
    <x v="4"/>
    <x v="10"/>
    <n v="22317"/>
    <n v="67"/>
    <n v="6238.35"/>
    <n v="2210.0100000000002"/>
    <x v="5"/>
  </r>
  <r>
    <x v="3"/>
    <x v="4"/>
    <x v="10"/>
    <n v="22940"/>
    <n v="435"/>
    <n v="56794.67"/>
    <n v="12978.8"/>
    <x v="2"/>
  </r>
  <r>
    <x v="3"/>
    <x v="4"/>
    <x v="10"/>
    <n v="23178"/>
    <n v="149"/>
    <n v="25457.19"/>
    <n v="5370.33"/>
    <x v="2"/>
  </r>
  <r>
    <x v="3"/>
    <x v="4"/>
    <x v="10"/>
    <n v="23600"/>
    <n v="920"/>
    <n v="95840.639999999999"/>
    <n v="21054.5"/>
    <x v="2"/>
  </r>
  <r>
    <x v="3"/>
    <x v="4"/>
    <x v="10"/>
    <n v="23756"/>
    <n v="90"/>
    <n v="17768.05"/>
    <n v="8085.84"/>
    <x v="1"/>
  </r>
  <r>
    <x v="3"/>
    <x v="4"/>
    <x v="10"/>
    <n v="24326"/>
    <n v="121"/>
    <n v="18522.7"/>
    <n v="4745.78"/>
    <x v="4"/>
  </r>
  <r>
    <x v="0"/>
    <x v="4"/>
    <x v="11"/>
    <n v="12184"/>
    <n v="107"/>
    <n v="11005.61"/>
    <n v="5333.19"/>
    <x v="0"/>
  </r>
  <r>
    <x v="0"/>
    <x v="4"/>
    <x v="11"/>
    <n v="12622"/>
    <n v="35"/>
    <n v="9005.48"/>
    <n v="3682"/>
    <x v="1"/>
  </r>
  <r>
    <x v="0"/>
    <x v="4"/>
    <x v="11"/>
    <n v="13527"/>
    <n v="700"/>
    <n v="113525.65"/>
    <n v="19033.830000000002"/>
    <x v="2"/>
  </r>
  <r>
    <x v="0"/>
    <x v="4"/>
    <x v="11"/>
    <n v="13618"/>
    <n v="21"/>
    <n v="8587.2099999999991"/>
    <n v="3655.28"/>
    <x v="1"/>
  </r>
  <r>
    <x v="0"/>
    <x v="4"/>
    <x v="11"/>
    <n v="16024"/>
    <n v="121"/>
    <n v="52869.45"/>
    <n v="16567.87"/>
    <x v="3"/>
  </r>
  <r>
    <x v="0"/>
    <x v="4"/>
    <x v="11"/>
    <n v="16650"/>
    <n v="71"/>
    <n v="11454.66"/>
    <n v="5883.79"/>
    <x v="0"/>
  </r>
  <r>
    <x v="0"/>
    <x v="4"/>
    <x v="11"/>
    <n v="17892"/>
    <n v="114"/>
    <n v="16821.77"/>
    <n v="4946.79"/>
    <x v="4"/>
  </r>
  <r>
    <x v="0"/>
    <x v="4"/>
    <x v="11"/>
    <n v="18342"/>
    <n v="104"/>
    <n v="90865.12"/>
    <n v="29384.95"/>
    <x v="3"/>
  </r>
  <r>
    <x v="0"/>
    <x v="4"/>
    <x v="11"/>
    <n v="20177"/>
    <n v="61"/>
    <n v="5721.72"/>
    <n v="2158.88"/>
    <x v="5"/>
  </r>
  <r>
    <x v="0"/>
    <x v="4"/>
    <x v="11"/>
    <n v="21179"/>
    <n v="34"/>
    <n v="4030.15"/>
    <n v="1848"/>
    <x v="0"/>
  </r>
  <r>
    <x v="0"/>
    <x v="4"/>
    <x v="11"/>
    <n v="21260"/>
    <n v="80"/>
    <n v="13647.36"/>
    <n v="4124.54"/>
    <x v="4"/>
  </r>
  <r>
    <x v="0"/>
    <x v="4"/>
    <x v="11"/>
    <n v="22317"/>
    <n v="91"/>
    <n v="7381.69"/>
    <n v="3006.94"/>
    <x v="5"/>
  </r>
  <r>
    <x v="0"/>
    <x v="4"/>
    <x v="11"/>
    <n v="22940"/>
    <n v="1006"/>
    <n v="133235.81"/>
    <n v="25481.59"/>
    <x v="2"/>
  </r>
  <r>
    <x v="0"/>
    <x v="4"/>
    <x v="11"/>
    <n v="23178"/>
    <n v="297"/>
    <n v="48827.94"/>
    <n v="10325.11"/>
    <x v="2"/>
  </r>
  <r>
    <x v="0"/>
    <x v="4"/>
    <x v="11"/>
    <n v="23600"/>
    <n v="1020"/>
    <n v="121077.39"/>
    <n v="29359.87"/>
    <x v="2"/>
  </r>
  <r>
    <x v="0"/>
    <x v="4"/>
    <x v="11"/>
    <n v="23756"/>
    <n v="77"/>
    <n v="14295.92"/>
    <n v="7151.98"/>
    <x v="1"/>
  </r>
  <r>
    <x v="0"/>
    <x v="4"/>
    <x v="11"/>
    <n v="24326"/>
    <n v="152"/>
    <n v="22584.85"/>
    <n v="5736.03"/>
    <x v="4"/>
  </r>
  <r>
    <x v="1"/>
    <x v="4"/>
    <x v="11"/>
    <n v="12184"/>
    <n v="17"/>
    <n v="2048.4"/>
    <n v="902.11"/>
    <x v="0"/>
  </r>
  <r>
    <x v="1"/>
    <x v="4"/>
    <x v="11"/>
    <n v="12622"/>
    <n v="12"/>
    <n v="3412.9"/>
    <n v="1538.55"/>
    <x v="1"/>
  </r>
  <r>
    <x v="1"/>
    <x v="4"/>
    <x v="11"/>
    <n v="13527"/>
    <n v="296"/>
    <n v="49731.41"/>
    <n v="7874.75"/>
    <x v="2"/>
  </r>
  <r>
    <x v="1"/>
    <x v="4"/>
    <x v="11"/>
    <n v="13618"/>
    <n v="10"/>
    <n v="3557"/>
    <n v="1574.92"/>
    <x v="1"/>
  </r>
  <r>
    <x v="1"/>
    <x v="4"/>
    <x v="11"/>
    <n v="16024"/>
    <n v="116"/>
    <n v="44130.44"/>
    <n v="14223.72"/>
    <x v="3"/>
  </r>
  <r>
    <x v="1"/>
    <x v="4"/>
    <x v="11"/>
    <n v="16650"/>
    <n v="26"/>
    <n v="3979"/>
    <n v="2088.5"/>
    <x v="0"/>
  </r>
  <r>
    <x v="1"/>
    <x v="4"/>
    <x v="11"/>
    <n v="17892"/>
    <n v="73"/>
    <n v="10912.24"/>
    <n v="2843.03"/>
    <x v="4"/>
  </r>
  <r>
    <x v="1"/>
    <x v="4"/>
    <x v="11"/>
    <n v="18342"/>
    <n v="19"/>
    <n v="17314.150000000001"/>
    <n v="6116.35"/>
    <x v="3"/>
  </r>
  <r>
    <x v="1"/>
    <x v="4"/>
    <x v="11"/>
    <n v="20177"/>
    <n v="27"/>
    <n v="3053.21"/>
    <n v="1364.86"/>
    <x v="5"/>
  </r>
  <r>
    <x v="1"/>
    <x v="4"/>
    <x v="11"/>
    <n v="21179"/>
    <n v="39"/>
    <n v="5145.0200000000004"/>
    <n v="3192.45"/>
    <x v="0"/>
  </r>
  <r>
    <x v="1"/>
    <x v="4"/>
    <x v="11"/>
    <n v="21260"/>
    <n v="42"/>
    <n v="7388.61"/>
    <n v="2038.8"/>
    <x v="4"/>
  </r>
  <r>
    <x v="1"/>
    <x v="4"/>
    <x v="11"/>
    <n v="22317"/>
    <n v="11"/>
    <n v="1111.6500000000001"/>
    <n v="490.67"/>
    <x v="5"/>
  </r>
  <r>
    <x v="1"/>
    <x v="4"/>
    <x v="11"/>
    <n v="22940"/>
    <n v="90"/>
    <n v="12031.64"/>
    <n v="3100.74"/>
    <x v="2"/>
  </r>
  <r>
    <x v="1"/>
    <x v="4"/>
    <x v="11"/>
    <n v="23178"/>
    <n v="299"/>
    <n v="56098.73"/>
    <n v="15199.14"/>
    <x v="2"/>
  </r>
  <r>
    <x v="1"/>
    <x v="4"/>
    <x v="11"/>
    <n v="23600"/>
    <n v="319"/>
    <n v="32243.87"/>
    <n v="9543.1"/>
    <x v="2"/>
  </r>
  <r>
    <x v="1"/>
    <x v="4"/>
    <x v="11"/>
    <n v="23756"/>
    <n v="100"/>
    <n v="18933.09"/>
    <n v="8771.41"/>
    <x v="1"/>
  </r>
  <r>
    <x v="1"/>
    <x v="4"/>
    <x v="11"/>
    <n v="24326"/>
    <n v="29"/>
    <n v="4397.96"/>
    <n v="1327.96"/>
    <x v="4"/>
  </r>
  <r>
    <x v="2"/>
    <x v="4"/>
    <x v="11"/>
    <n v="12184"/>
    <n v="83"/>
    <n v="12882.26"/>
    <n v="8402.58"/>
    <x v="0"/>
  </r>
  <r>
    <x v="2"/>
    <x v="4"/>
    <x v="11"/>
    <n v="12622"/>
    <n v="38"/>
    <n v="10483.33"/>
    <n v="6819.32"/>
    <x v="1"/>
  </r>
  <r>
    <x v="2"/>
    <x v="4"/>
    <x v="11"/>
    <n v="13527"/>
    <n v="190"/>
    <n v="31426.79"/>
    <n v="7806.94"/>
    <x v="2"/>
  </r>
  <r>
    <x v="2"/>
    <x v="4"/>
    <x v="11"/>
    <n v="13618"/>
    <n v="29"/>
    <n v="12207.87"/>
    <n v="6332.18"/>
    <x v="1"/>
  </r>
  <r>
    <x v="2"/>
    <x v="4"/>
    <x v="11"/>
    <n v="16024"/>
    <n v="299"/>
    <n v="138371.70000000001"/>
    <n v="38485.82"/>
    <x v="3"/>
  </r>
  <r>
    <x v="2"/>
    <x v="4"/>
    <x v="11"/>
    <n v="16650"/>
    <n v="18"/>
    <n v="3074.09"/>
    <n v="2406.63"/>
    <x v="0"/>
  </r>
  <r>
    <x v="2"/>
    <x v="4"/>
    <x v="11"/>
    <n v="17892"/>
    <n v="90"/>
    <n v="13981.9"/>
    <n v="4903.6899999999996"/>
    <x v="4"/>
  </r>
  <r>
    <x v="2"/>
    <x v="4"/>
    <x v="11"/>
    <n v="18342"/>
    <n v="161"/>
    <n v="122964.02"/>
    <n v="36720.51"/>
    <x v="3"/>
  </r>
  <r>
    <x v="2"/>
    <x v="4"/>
    <x v="11"/>
    <n v="20177"/>
    <n v="80"/>
    <n v="9318.92"/>
    <n v="3839.97"/>
    <x v="5"/>
  </r>
  <r>
    <x v="2"/>
    <x v="4"/>
    <x v="11"/>
    <n v="21179"/>
    <n v="56"/>
    <n v="8129.89"/>
    <n v="5900.81"/>
    <x v="0"/>
  </r>
  <r>
    <x v="2"/>
    <x v="4"/>
    <x v="11"/>
    <n v="21260"/>
    <n v="47"/>
    <n v="8885.64"/>
    <n v="3081.94"/>
    <x v="4"/>
  </r>
  <r>
    <x v="2"/>
    <x v="4"/>
    <x v="11"/>
    <n v="22317"/>
    <n v="54"/>
    <n v="5170.46"/>
    <n v="2454.77"/>
    <x v="5"/>
  </r>
  <r>
    <x v="2"/>
    <x v="4"/>
    <x v="11"/>
    <n v="22940"/>
    <n v="291"/>
    <n v="34029.68"/>
    <n v="9560.44"/>
    <x v="2"/>
  </r>
  <r>
    <x v="2"/>
    <x v="4"/>
    <x v="11"/>
    <n v="23178"/>
    <n v="193"/>
    <n v="33772.870000000003"/>
    <n v="7205.15"/>
    <x v="2"/>
  </r>
  <r>
    <x v="2"/>
    <x v="4"/>
    <x v="11"/>
    <n v="23600"/>
    <n v="736"/>
    <n v="87186.27"/>
    <n v="24750.93"/>
    <x v="2"/>
  </r>
  <r>
    <x v="2"/>
    <x v="4"/>
    <x v="11"/>
    <n v="23756"/>
    <n v="95"/>
    <n v="19637.66"/>
    <n v="12852.17"/>
    <x v="1"/>
  </r>
  <r>
    <x v="2"/>
    <x v="4"/>
    <x v="11"/>
    <n v="24326"/>
    <n v="74"/>
    <n v="11721.12"/>
    <n v="3193.8"/>
    <x v="4"/>
  </r>
  <r>
    <x v="3"/>
    <x v="4"/>
    <x v="11"/>
    <n v="12184"/>
    <n v="70"/>
    <n v="7196.06"/>
    <n v="4224.24"/>
    <x v="0"/>
  </r>
  <r>
    <x v="3"/>
    <x v="4"/>
    <x v="11"/>
    <n v="12622"/>
    <n v="46"/>
    <n v="14178.65"/>
    <n v="7669.47"/>
    <x v="1"/>
  </r>
  <r>
    <x v="3"/>
    <x v="4"/>
    <x v="11"/>
    <n v="13527"/>
    <n v="287"/>
    <n v="49863.97"/>
    <n v="10514.85"/>
    <x v="2"/>
  </r>
  <r>
    <x v="3"/>
    <x v="4"/>
    <x v="11"/>
    <n v="13618"/>
    <n v="8"/>
    <n v="3575.94"/>
    <n v="1449.94"/>
    <x v="1"/>
  </r>
  <r>
    <x v="3"/>
    <x v="4"/>
    <x v="11"/>
    <n v="16024"/>
    <n v="126"/>
    <n v="56374.44"/>
    <n v="11929.47"/>
    <x v="3"/>
  </r>
  <r>
    <x v="3"/>
    <x v="4"/>
    <x v="11"/>
    <n v="16650"/>
    <n v="62"/>
    <n v="9168.84"/>
    <n v="5631.36"/>
    <x v="0"/>
  </r>
  <r>
    <x v="3"/>
    <x v="4"/>
    <x v="11"/>
    <n v="17892"/>
    <n v="85"/>
    <n v="12915.56"/>
    <n v="3582.47"/>
    <x v="4"/>
  </r>
  <r>
    <x v="3"/>
    <x v="4"/>
    <x v="11"/>
    <n v="18342"/>
    <n v="121"/>
    <n v="93641.69"/>
    <n v="20646.86"/>
    <x v="3"/>
  </r>
  <r>
    <x v="3"/>
    <x v="4"/>
    <x v="11"/>
    <n v="20177"/>
    <n v="95"/>
    <n v="9626.0300000000007"/>
    <n v="4030.36"/>
    <x v="5"/>
  </r>
  <r>
    <x v="3"/>
    <x v="4"/>
    <x v="11"/>
    <n v="21179"/>
    <n v="57"/>
    <n v="7316.95"/>
    <n v="3650.28"/>
    <x v="0"/>
  </r>
  <r>
    <x v="3"/>
    <x v="4"/>
    <x v="11"/>
    <n v="21260"/>
    <n v="73"/>
    <n v="13961.71"/>
    <n v="4080.58"/>
    <x v="4"/>
  </r>
  <r>
    <x v="3"/>
    <x v="4"/>
    <x v="11"/>
    <n v="22317"/>
    <n v="42"/>
    <n v="3490.86"/>
    <n v="1350.84"/>
    <x v="5"/>
  </r>
  <r>
    <x v="3"/>
    <x v="4"/>
    <x v="11"/>
    <n v="22940"/>
    <n v="593"/>
    <n v="72402.570000000007"/>
    <n v="15499.56"/>
    <x v="2"/>
  </r>
  <r>
    <x v="3"/>
    <x v="4"/>
    <x v="11"/>
    <n v="23178"/>
    <n v="193"/>
    <n v="36505.93"/>
    <n v="7192.25"/>
    <x v="2"/>
  </r>
  <r>
    <x v="3"/>
    <x v="4"/>
    <x v="11"/>
    <n v="23600"/>
    <n v="940"/>
    <n v="113254.11"/>
    <n v="24637.84"/>
    <x v="2"/>
  </r>
  <r>
    <x v="3"/>
    <x v="4"/>
    <x v="11"/>
    <n v="23756"/>
    <n v="84"/>
    <n v="12557.96"/>
    <n v="6724.73"/>
    <x v="1"/>
  </r>
  <r>
    <x v="3"/>
    <x v="4"/>
    <x v="11"/>
    <n v="24326"/>
    <n v="131"/>
    <n v="16594.04"/>
    <n v="4065.17"/>
    <x v="4"/>
  </r>
  <r>
    <x v="0"/>
    <x v="5"/>
    <x v="0"/>
    <n v="12184"/>
    <n v="94"/>
    <n v="12620.22"/>
    <n v="5767.55"/>
    <x v="0"/>
  </r>
  <r>
    <x v="0"/>
    <x v="5"/>
    <x v="0"/>
    <n v="12622"/>
    <n v="80"/>
    <n v="17440.03"/>
    <n v="7675.17"/>
    <x v="1"/>
  </r>
  <r>
    <x v="0"/>
    <x v="5"/>
    <x v="0"/>
    <n v="13527"/>
    <n v="687"/>
    <n v="118189.77"/>
    <n v="21950.89"/>
    <x v="2"/>
  </r>
  <r>
    <x v="0"/>
    <x v="5"/>
    <x v="0"/>
    <n v="13618"/>
    <n v="16"/>
    <n v="5140.0200000000004"/>
    <n v="2069.4"/>
    <x v="1"/>
  </r>
  <r>
    <x v="0"/>
    <x v="5"/>
    <x v="0"/>
    <n v="16024"/>
    <n v="145"/>
    <n v="69135.75"/>
    <n v="18968.29"/>
    <x v="3"/>
  </r>
  <r>
    <x v="0"/>
    <x v="5"/>
    <x v="0"/>
    <n v="16650"/>
    <n v="82"/>
    <n v="13888.67"/>
    <n v="7053.46"/>
    <x v="0"/>
  </r>
  <r>
    <x v="0"/>
    <x v="5"/>
    <x v="0"/>
    <n v="17892"/>
    <n v="76"/>
    <n v="12001.08"/>
    <n v="3049.93"/>
    <x v="4"/>
  </r>
  <r>
    <x v="0"/>
    <x v="5"/>
    <x v="0"/>
    <n v="18342"/>
    <n v="176"/>
    <n v="151711.88"/>
    <n v="36680.629999999997"/>
    <x v="3"/>
  </r>
  <r>
    <x v="0"/>
    <x v="5"/>
    <x v="0"/>
    <n v="20177"/>
    <n v="91"/>
    <n v="8662.2000000000007"/>
    <n v="2904.82"/>
    <x v="5"/>
  </r>
  <r>
    <x v="0"/>
    <x v="5"/>
    <x v="0"/>
    <n v="21179"/>
    <n v="68"/>
    <n v="7589.49"/>
    <n v="3809.31"/>
    <x v="0"/>
  </r>
  <r>
    <x v="0"/>
    <x v="5"/>
    <x v="0"/>
    <n v="21260"/>
    <n v="71"/>
    <n v="12946.24"/>
    <n v="3648.06"/>
    <x v="4"/>
  </r>
  <r>
    <x v="0"/>
    <x v="5"/>
    <x v="0"/>
    <n v="22317"/>
    <n v="51"/>
    <n v="5024.97"/>
    <n v="2079.79"/>
    <x v="5"/>
  </r>
  <r>
    <x v="0"/>
    <x v="5"/>
    <x v="0"/>
    <n v="22940"/>
    <n v="461"/>
    <n v="63179.97"/>
    <n v="11123.34"/>
    <x v="2"/>
  </r>
  <r>
    <x v="0"/>
    <x v="5"/>
    <x v="0"/>
    <n v="23178"/>
    <n v="436"/>
    <n v="80287.210000000006"/>
    <n v="14350.68"/>
    <x v="2"/>
  </r>
  <r>
    <x v="0"/>
    <x v="5"/>
    <x v="0"/>
    <n v="23600"/>
    <n v="698"/>
    <n v="78521.98"/>
    <n v="16899.009999999998"/>
    <x v="2"/>
  </r>
  <r>
    <x v="0"/>
    <x v="5"/>
    <x v="0"/>
    <n v="23756"/>
    <n v="60"/>
    <n v="11736.4"/>
    <n v="4726.13"/>
    <x v="1"/>
  </r>
  <r>
    <x v="0"/>
    <x v="5"/>
    <x v="0"/>
    <n v="24326"/>
    <n v="196"/>
    <n v="24705.52"/>
    <n v="6514.51"/>
    <x v="4"/>
  </r>
  <r>
    <x v="1"/>
    <x v="5"/>
    <x v="0"/>
    <n v="12184"/>
    <n v="23"/>
    <n v="2920.11"/>
    <n v="1414.16"/>
    <x v="0"/>
  </r>
  <r>
    <x v="1"/>
    <x v="5"/>
    <x v="0"/>
    <n v="12622"/>
    <n v="17"/>
    <n v="4174.46"/>
    <n v="1765.4"/>
    <x v="1"/>
  </r>
  <r>
    <x v="1"/>
    <x v="5"/>
    <x v="0"/>
    <n v="13527"/>
    <n v="357"/>
    <n v="54166.04"/>
    <n v="10991.95"/>
    <x v="2"/>
  </r>
  <r>
    <x v="1"/>
    <x v="5"/>
    <x v="0"/>
    <n v="13618"/>
    <n v="8"/>
    <n v="2733.2"/>
    <n v="1248.55"/>
    <x v="1"/>
  </r>
  <r>
    <x v="1"/>
    <x v="5"/>
    <x v="0"/>
    <n v="16024"/>
    <n v="133"/>
    <n v="52494.6"/>
    <n v="14004.97"/>
    <x v="3"/>
  </r>
  <r>
    <x v="1"/>
    <x v="5"/>
    <x v="0"/>
    <n v="16650"/>
    <n v="19"/>
    <n v="3554.64"/>
    <n v="1868.42"/>
    <x v="0"/>
  </r>
  <r>
    <x v="1"/>
    <x v="5"/>
    <x v="0"/>
    <n v="17892"/>
    <n v="59"/>
    <n v="7873.87"/>
    <n v="2168.4899999999998"/>
    <x v="4"/>
  </r>
  <r>
    <x v="1"/>
    <x v="5"/>
    <x v="0"/>
    <n v="18342"/>
    <n v="22"/>
    <n v="16893.04"/>
    <n v="5668.49"/>
    <x v="3"/>
  </r>
  <r>
    <x v="1"/>
    <x v="5"/>
    <x v="0"/>
    <n v="20177"/>
    <n v="22"/>
    <n v="1965.49"/>
    <n v="678.87"/>
    <x v="5"/>
  </r>
  <r>
    <x v="1"/>
    <x v="5"/>
    <x v="0"/>
    <n v="21179"/>
    <n v="47"/>
    <n v="5014.87"/>
    <n v="2736.79"/>
    <x v="0"/>
  </r>
  <r>
    <x v="1"/>
    <x v="5"/>
    <x v="0"/>
    <n v="21260"/>
    <n v="21"/>
    <n v="4221.25"/>
    <n v="1009.92"/>
    <x v="4"/>
  </r>
  <r>
    <x v="1"/>
    <x v="5"/>
    <x v="0"/>
    <n v="22317"/>
    <n v="16"/>
    <n v="1348.99"/>
    <n v="591.54"/>
    <x v="5"/>
  </r>
  <r>
    <x v="1"/>
    <x v="5"/>
    <x v="0"/>
    <n v="22940"/>
    <n v="156"/>
    <n v="21404.73"/>
    <n v="5121.4799999999996"/>
    <x v="2"/>
  </r>
  <r>
    <x v="1"/>
    <x v="5"/>
    <x v="0"/>
    <n v="23178"/>
    <n v="172"/>
    <n v="31230.09"/>
    <n v="6926.81"/>
    <x v="2"/>
  </r>
  <r>
    <x v="1"/>
    <x v="5"/>
    <x v="0"/>
    <n v="23600"/>
    <n v="616"/>
    <n v="75818.63"/>
    <n v="18759.689999999999"/>
    <x v="2"/>
  </r>
  <r>
    <x v="1"/>
    <x v="5"/>
    <x v="0"/>
    <n v="23756"/>
    <n v="67"/>
    <n v="10092.84"/>
    <n v="4990.58"/>
    <x v="1"/>
  </r>
  <r>
    <x v="1"/>
    <x v="5"/>
    <x v="0"/>
    <n v="24326"/>
    <n v="24"/>
    <n v="3212.6"/>
    <n v="832.83"/>
    <x v="4"/>
  </r>
  <r>
    <x v="2"/>
    <x v="5"/>
    <x v="0"/>
    <n v="12184"/>
    <n v="105"/>
    <n v="12809.56"/>
    <n v="7588.08"/>
    <x v="0"/>
  </r>
  <r>
    <x v="2"/>
    <x v="5"/>
    <x v="0"/>
    <n v="12622"/>
    <n v="34"/>
    <n v="11071.74"/>
    <n v="6806.19"/>
    <x v="1"/>
  </r>
  <r>
    <x v="2"/>
    <x v="5"/>
    <x v="0"/>
    <n v="13527"/>
    <n v="362"/>
    <n v="58462.16"/>
    <n v="16004.65"/>
    <x v="2"/>
  </r>
  <r>
    <x v="2"/>
    <x v="5"/>
    <x v="0"/>
    <n v="13618"/>
    <n v="28"/>
    <n v="11245.16"/>
    <n v="6255.64"/>
    <x v="1"/>
  </r>
  <r>
    <x v="2"/>
    <x v="5"/>
    <x v="0"/>
    <n v="16024"/>
    <n v="264"/>
    <n v="110601.47"/>
    <n v="37187.75"/>
    <x v="3"/>
  </r>
  <r>
    <x v="2"/>
    <x v="5"/>
    <x v="0"/>
    <n v="16650"/>
    <n v="39"/>
    <n v="6698.33"/>
    <n v="4714.04"/>
    <x v="0"/>
  </r>
  <r>
    <x v="2"/>
    <x v="5"/>
    <x v="0"/>
    <n v="17892"/>
    <n v="89"/>
    <n v="11633.02"/>
    <n v="3745.9"/>
    <x v="4"/>
  </r>
  <r>
    <x v="2"/>
    <x v="5"/>
    <x v="0"/>
    <n v="18342"/>
    <n v="92"/>
    <n v="71747.399999999994"/>
    <n v="23926.83"/>
    <x v="3"/>
  </r>
  <r>
    <x v="2"/>
    <x v="5"/>
    <x v="0"/>
    <n v="20177"/>
    <n v="50"/>
    <n v="5120.18"/>
    <n v="2426.46"/>
    <x v="5"/>
  </r>
  <r>
    <x v="2"/>
    <x v="5"/>
    <x v="0"/>
    <n v="21179"/>
    <n v="69"/>
    <n v="7569.68"/>
    <n v="4412.34"/>
    <x v="0"/>
  </r>
  <r>
    <x v="2"/>
    <x v="5"/>
    <x v="0"/>
    <n v="21260"/>
    <n v="25"/>
    <n v="5257.99"/>
    <n v="1400.11"/>
    <x v="4"/>
  </r>
  <r>
    <x v="2"/>
    <x v="5"/>
    <x v="0"/>
    <n v="22317"/>
    <n v="42"/>
    <n v="3926.04"/>
    <n v="1847.62"/>
    <x v="5"/>
  </r>
  <r>
    <x v="2"/>
    <x v="5"/>
    <x v="0"/>
    <n v="22940"/>
    <n v="430"/>
    <n v="54777.89"/>
    <n v="15740.43"/>
    <x v="2"/>
  </r>
  <r>
    <x v="2"/>
    <x v="5"/>
    <x v="0"/>
    <n v="23178"/>
    <n v="167"/>
    <n v="30030.74"/>
    <n v="6367.8"/>
    <x v="2"/>
  </r>
  <r>
    <x v="2"/>
    <x v="5"/>
    <x v="0"/>
    <n v="23600"/>
    <n v="1012"/>
    <n v="101102.05"/>
    <n v="25900"/>
    <x v="2"/>
  </r>
  <r>
    <x v="2"/>
    <x v="5"/>
    <x v="0"/>
    <n v="23756"/>
    <n v="91"/>
    <n v="14345.26"/>
    <n v="7557.18"/>
    <x v="1"/>
  </r>
  <r>
    <x v="2"/>
    <x v="5"/>
    <x v="0"/>
    <n v="24326"/>
    <n v="57"/>
    <n v="7669.57"/>
    <n v="2363.19"/>
    <x v="4"/>
  </r>
  <r>
    <x v="3"/>
    <x v="5"/>
    <x v="0"/>
    <n v="12184"/>
    <n v="40"/>
    <n v="5808.52"/>
    <n v="3558.44"/>
    <x v="0"/>
  </r>
  <r>
    <x v="3"/>
    <x v="5"/>
    <x v="0"/>
    <n v="12622"/>
    <n v="28"/>
    <n v="6772.66"/>
    <n v="2962.7"/>
    <x v="1"/>
  </r>
  <r>
    <x v="3"/>
    <x v="5"/>
    <x v="0"/>
    <n v="13527"/>
    <n v="492"/>
    <n v="73982.34"/>
    <n v="16857.080000000002"/>
    <x v="2"/>
  </r>
  <r>
    <x v="3"/>
    <x v="5"/>
    <x v="0"/>
    <n v="13618"/>
    <n v="14"/>
    <n v="6346.61"/>
    <n v="3252.13"/>
    <x v="1"/>
  </r>
  <r>
    <x v="3"/>
    <x v="5"/>
    <x v="0"/>
    <n v="16024"/>
    <n v="188"/>
    <n v="82644.429999999993"/>
    <n v="19697.02"/>
    <x v="3"/>
  </r>
  <r>
    <x v="3"/>
    <x v="5"/>
    <x v="0"/>
    <n v="16650"/>
    <n v="25"/>
    <n v="3869.09"/>
    <n v="2130.39"/>
    <x v="0"/>
  </r>
  <r>
    <x v="3"/>
    <x v="5"/>
    <x v="0"/>
    <n v="17892"/>
    <n v="102"/>
    <n v="12694.35"/>
    <n v="3076.05"/>
    <x v="4"/>
  </r>
  <r>
    <x v="3"/>
    <x v="5"/>
    <x v="0"/>
    <n v="18342"/>
    <n v="157"/>
    <n v="126141.16"/>
    <n v="31902.53"/>
    <x v="3"/>
  </r>
  <r>
    <x v="3"/>
    <x v="5"/>
    <x v="0"/>
    <n v="20177"/>
    <n v="77"/>
    <n v="8420"/>
    <n v="3251.63"/>
    <x v="5"/>
  </r>
  <r>
    <x v="3"/>
    <x v="5"/>
    <x v="0"/>
    <n v="21179"/>
    <n v="53"/>
    <n v="7967.43"/>
    <n v="4588.57"/>
    <x v="0"/>
  </r>
  <r>
    <x v="3"/>
    <x v="5"/>
    <x v="0"/>
    <n v="21260"/>
    <n v="37"/>
    <n v="6756.36"/>
    <n v="1673.77"/>
    <x v="4"/>
  </r>
  <r>
    <x v="3"/>
    <x v="5"/>
    <x v="0"/>
    <n v="22317"/>
    <n v="42"/>
    <n v="3503.55"/>
    <n v="1252.32"/>
    <x v="5"/>
  </r>
  <r>
    <x v="3"/>
    <x v="5"/>
    <x v="0"/>
    <n v="22940"/>
    <n v="698"/>
    <n v="93390.35"/>
    <n v="20802.349999999999"/>
    <x v="2"/>
  </r>
  <r>
    <x v="3"/>
    <x v="5"/>
    <x v="0"/>
    <n v="23178"/>
    <n v="191"/>
    <n v="35775.519999999997"/>
    <n v="6840.22"/>
    <x v="2"/>
  </r>
  <r>
    <x v="3"/>
    <x v="5"/>
    <x v="0"/>
    <n v="23600"/>
    <n v="890"/>
    <n v="91688.95"/>
    <n v="23181.119999999999"/>
    <x v="2"/>
  </r>
  <r>
    <x v="3"/>
    <x v="5"/>
    <x v="0"/>
    <n v="23756"/>
    <n v="51"/>
    <n v="9566"/>
    <n v="3994.69"/>
    <x v="1"/>
  </r>
  <r>
    <x v="3"/>
    <x v="5"/>
    <x v="0"/>
    <n v="24326"/>
    <n v="60"/>
    <n v="7703.08"/>
    <n v="2116.59"/>
    <x v="4"/>
  </r>
  <r>
    <x v="0"/>
    <x v="5"/>
    <x v="1"/>
    <n v="12184"/>
    <n v="101"/>
    <n v="10013.280000000001"/>
    <n v="5011.38"/>
    <x v="0"/>
  </r>
  <r>
    <x v="0"/>
    <x v="5"/>
    <x v="1"/>
    <n v="12622"/>
    <n v="66"/>
    <n v="19734.05"/>
    <n v="8642.64"/>
    <x v="1"/>
  </r>
  <r>
    <x v="0"/>
    <x v="5"/>
    <x v="1"/>
    <n v="13527"/>
    <n v="291"/>
    <n v="49229.11"/>
    <n v="10046.219999999999"/>
    <x v="2"/>
  </r>
  <r>
    <x v="0"/>
    <x v="5"/>
    <x v="1"/>
    <n v="13618"/>
    <n v="15"/>
    <n v="5891.46"/>
    <n v="2616.83"/>
    <x v="1"/>
  </r>
  <r>
    <x v="0"/>
    <x v="5"/>
    <x v="1"/>
    <n v="16024"/>
    <n v="253"/>
    <n v="103645.58"/>
    <n v="28755.07"/>
    <x v="3"/>
  </r>
  <r>
    <x v="0"/>
    <x v="5"/>
    <x v="1"/>
    <n v="16650"/>
    <n v="72"/>
    <n v="10333.34"/>
    <n v="4411.8999999999996"/>
    <x v="0"/>
  </r>
  <r>
    <x v="0"/>
    <x v="5"/>
    <x v="1"/>
    <n v="17892"/>
    <n v="189"/>
    <n v="29120.2"/>
    <n v="7228.75"/>
    <x v="4"/>
  </r>
  <r>
    <x v="0"/>
    <x v="5"/>
    <x v="1"/>
    <n v="18342"/>
    <n v="243"/>
    <n v="179307.81"/>
    <n v="52834.33"/>
    <x v="3"/>
  </r>
  <r>
    <x v="0"/>
    <x v="5"/>
    <x v="1"/>
    <n v="20177"/>
    <n v="73"/>
    <n v="8015.42"/>
    <n v="3162.64"/>
    <x v="5"/>
  </r>
  <r>
    <x v="0"/>
    <x v="5"/>
    <x v="1"/>
    <n v="21179"/>
    <n v="53"/>
    <n v="6761.87"/>
    <n v="3440.09"/>
    <x v="0"/>
  </r>
  <r>
    <x v="0"/>
    <x v="5"/>
    <x v="1"/>
    <n v="21260"/>
    <n v="100"/>
    <n v="17310.080000000002"/>
    <n v="4563.2700000000004"/>
    <x v="4"/>
  </r>
  <r>
    <x v="0"/>
    <x v="5"/>
    <x v="1"/>
    <n v="22317"/>
    <n v="71"/>
    <n v="6320.57"/>
    <n v="2316.94"/>
    <x v="5"/>
  </r>
  <r>
    <x v="0"/>
    <x v="5"/>
    <x v="1"/>
    <n v="22940"/>
    <n v="518"/>
    <n v="63699.7"/>
    <n v="12160.57"/>
    <x v="2"/>
  </r>
  <r>
    <x v="0"/>
    <x v="5"/>
    <x v="1"/>
    <n v="23178"/>
    <n v="397"/>
    <n v="71448.800000000003"/>
    <n v="14534.43"/>
    <x v="2"/>
  </r>
  <r>
    <x v="0"/>
    <x v="5"/>
    <x v="1"/>
    <n v="23600"/>
    <n v="625"/>
    <n v="63676.98"/>
    <n v="17015.02"/>
    <x v="2"/>
  </r>
  <r>
    <x v="0"/>
    <x v="5"/>
    <x v="1"/>
    <n v="23756"/>
    <n v="94"/>
    <n v="15893.3"/>
    <n v="6598.36"/>
    <x v="1"/>
  </r>
  <r>
    <x v="0"/>
    <x v="5"/>
    <x v="1"/>
    <n v="24326"/>
    <n v="182"/>
    <n v="23587.17"/>
    <n v="7082.78"/>
    <x v="4"/>
  </r>
  <r>
    <x v="1"/>
    <x v="5"/>
    <x v="1"/>
    <n v="12184"/>
    <n v="14"/>
    <n v="1778.17"/>
    <n v="751.6"/>
    <x v="0"/>
  </r>
  <r>
    <x v="1"/>
    <x v="5"/>
    <x v="1"/>
    <n v="12622"/>
    <n v="12"/>
    <n v="2869.12"/>
    <n v="1156.5899999999999"/>
    <x v="1"/>
  </r>
  <r>
    <x v="1"/>
    <x v="5"/>
    <x v="1"/>
    <n v="13527"/>
    <n v="370"/>
    <n v="60457.83"/>
    <n v="11596.01"/>
    <x v="2"/>
  </r>
  <r>
    <x v="1"/>
    <x v="5"/>
    <x v="1"/>
    <n v="13618"/>
    <n v="5"/>
    <n v="1609.83"/>
    <n v="595.54999999999995"/>
    <x v="1"/>
  </r>
  <r>
    <x v="1"/>
    <x v="5"/>
    <x v="1"/>
    <n v="16024"/>
    <n v="158"/>
    <n v="60366.65"/>
    <n v="19761.439999999999"/>
    <x v="3"/>
  </r>
  <r>
    <x v="1"/>
    <x v="5"/>
    <x v="1"/>
    <n v="16650"/>
    <n v="32"/>
    <n v="4728.16"/>
    <n v="3250.89"/>
    <x v="0"/>
  </r>
  <r>
    <x v="1"/>
    <x v="5"/>
    <x v="1"/>
    <n v="17892"/>
    <n v="82"/>
    <n v="10919.09"/>
    <n v="2493.1999999999998"/>
    <x v="4"/>
  </r>
  <r>
    <x v="1"/>
    <x v="5"/>
    <x v="1"/>
    <n v="18342"/>
    <n v="26"/>
    <n v="20698.52"/>
    <n v="5982.59"/>
    <x v="3"/>
  </r>
  <r>
    <x v="1"/>
    <x v="5"/>
    <x v="1"/>
    <n v="20177"/>
    <n v="33"/>
    <n v="3486.24"/>
    <n v="1487.74"/>
    <x v="5"/>
  </r>
  <r>
    <x v="1"/>
    <x v="5"/>
    <x v="1"/>
    <n v="21179"/>
    <n v="21"/>
    <n v="2148.4"/>
    <n v="1312.55"/>
    <x v="0"/>
  </r>
  <r>
    <x v="1"/>
    <x v="5"/>
    <x v="1"/>
    <n v="21260"/>
    <n v="47"/>
    <n v="8260.91"/>
    <n v="2194.5700000000002"/>
    <x v="4"/>
  </r>
  <r>
    <x v="1"/>
    <x v="5"/>
    <x v="1"/>
    <n v="22317"/>
    <n v="12"/>
    <n v="949.9"/>
    <n v="412.73"/>
    <x v="5"/>
  </r>
  <r>
    <x v="1"/>
    <x v="5"/>
    <x v="1"/>
    <n v="22940"/>
    <n v="200"/>
    <n v="27616.799999999999"/>
    <n v="8079.8"/>
    <x v="2"/>
  </r>
  <r>
    <x v="1"/>
    <x v="5"/>
    <x v="1"/>
    <n v="23178"/>
    <n v="282"/>
    <n v="51784.08"/>
    <n v="12041.36"/>
    <x v="2"/>
  </r>
  <r>
    <x v="1"/>
    <x v="5"/>
    <x v="1"/>
    <n v="23600"/>
    <n v="295"/>
    <n v="30423.59"/>
    <n v="7245.35"/>
    <x v="2"/>
  </r>
  <r>
    <x v="1"/>
    <x v="5"/>
    <x v="1"/>
    <n v="23756"/>
    <n v="96"/>
    <n v="17267.75"/>
    <n v="7519.91"/>
    <x v="1"/>
  </r>
  <r>
    <x v="1"/>
    <x v="5"/>
    <x v="1"/>
    <n v="24326"/>
    <n v="43"/>
    <n v="5814.77"/>
    <n v="1609.53"/>
    <x v="4"/>
  </r>
  <r>
    <x v="2"/>
    <x v="5"/>
    <x v="1"/>
    <n v="12184"/>
    <n v="86"/>
    <n v="10762.16"/>
    <n v="8254.5300000000007"/>
    <x v="0"/>
  </r>
  <r>
    <x v="2"/>
    <x v="5"/>
    <x v="1"/>
    <n v="12622"/>
    <n v="57"/>
    <n v="18162.5"/>
    <n v="11152.09"/>
    <x v="1"/>
  </r>
  <r>
    <x v="2"/>
    <x v="5"/>
    <x v="1"/>
    <n v="13527"/>
    <n v="313"/>
    <n v="53526.16"/>
    <n v="13114.73"/>
    <x v="2"/>
  </r>
  <r>
    <x v="2"/>
    <x v="5"/>
    <x v="1"/>
    <n v="13618"/>
    <n v="20"/>
    <n v="7213.96"/>
    <n v="4169.74"/>
    <x v="1"/>
  </r>
  <r>
    <x v="2"/>
    <x v="5"/>
    <x v="1"/>
    <n v="16024"/>
    <n v="314"/>
    <n v="150080.87"/>
    <n v="47443.57"/>
    <x v="3"/>
  </r>
  <r>
    <x v="2"/>
    <x v="5"/>
    <x v="1"/>
    <n v="16650"/>
    <n v="43"/>
    <n v="8486.86"/>
    <n v="5227.5"/>
    <x v="0"/>
  </r>
  <r>
    <x v="2"/>
    <x v="5"/>
    <x v="1"/>
    <n v="17892"/>
    <n v="51"/>
    <n v="7587.92"/>
    <n v="1973.94"/>
    <x v="4"/>
  </r>
  <r>
    <x v="2"/>
    <x v="5"/>
    <x v="1"/>
    <n v="18342"/>
    <n v="179"/>
    <n v="165810.12"/>
    <n v="42995.93"/>
    <x v="3"/>
  </r>
  <r>
    <x v="2"/>
    <x v="5"/>
    <x v="1"/>
    <n v="20177"/>
    <n v="69"/>
    <n v="8085.23"/>
    <n v="4108.88"/>
    <x v="5"/>
  </r>
  <r>
    <x v="2"/>
    <x v="5"/>
    <x v="1"/>
    <n v="21179"/>
    <n v="38"/>
    <n v="4392.4799999999996"/>
    <n v="2766.86"/>
    <x v="0"/>
  </r>
  <r>
    <x v="2"/>
    <x v="5"/>
    <x v="1"/>
    <n v="21260"/>
    <n v="48"/>
    <n v="10441.51"/>
    <n v="2798.82"/>
    <x v="4"/>
  </r>
  <r>
    <x v="2"/>
    <x v="5"/>
    <x v="1"/>
    <n v="22317"/>
    <n v="26"/>
    <n v="2680.41"/>
    <n v="1051.97"/>
    <x v="5"/>
  </r>
  <r>
    <x v="2"/>
    <x v="5"/>
    <x v="1"/>
    <n v="22940"/>
    <n v="551"/>
    <n v="70177.539999999994"/>
    <n v="18843.830000000002"/>
    <x v="2"/>
  </r>
  <r>
    <x v="2"/>
    <x v="5"/>
    <x v="1"/>
    <n v="23178"/>
    <n v="193"/>
    <n v="31705.21"/>
    <n v="8677.5"/>
    <x v="2"/>
  </r>
  <r>
    <x v="2"/>
    <x v="5"/>
    <x v="1"/>
    <n v="23600"/>
    <n v="551"/>
    <n v="61529.77"/>
    <n v="18579.34"/>
    <x v="2"/>
  </r>
  <r>
    <x v="2"/>
    <x v="5"/>
    <x v="1"/>
    <n v="23756"/>
    <n v="66"/>
    <n v="13336.69"/>
    <n v="7690.62"/>
    <x v="1"/>
  </r>
  <r>
    <x v="2"/>
    <x v="5"/>
    <x v="1"/>
    <n v="24326"/>
    <n v="137"/>
    <n v="21348.71"/>
    <n v="5884.51"/>
    <x v="4"/>
  </r>
  <r>
    <x v="3"/>
    <x v="5"/>
    <x v="1"/>
    <n v="12184"/>
    <n v="99"/>
    <n v="10909.11"/>
    <n v="6038.36"/>
    <x v="0"/>
  </r>
  <r>
    <x v="3"/>
    <x v="5"/>
    <x v="1"/>
    <n v="12622"/>
    <n v="49"/>
    <n v="11479.13"/>
    <n v="5102.0200000000004"/>
    <x v="1"/>
  </r>
  <r>
    <x v="3"/>
    <x v="5"/>
    <x v="1"/>
    <n v="13527"/>
    <n v="564"/>
    <n v="93028.52"/>
    <n v="17718.29"/>
    <x v="2"/>
  </r>
  <r>
    <x v="3"/>
    <x v="5"/>
    <x v="1"/>
    <n v="13618"/>
    <n v="11"/>
    <n v="4938.8100000000004"/>
    <n v="2159.86"/>
    <x v="1"/>
  </r>
  <r>
    <x v="3"/>
    <x v="5"/>
    <x v="1"/>
    <n v="16024"/>
    <n v="91"/>
    <n v="37940.68"/>
    <n v="7945.97"/>
    <x v="3"/>
  </r>
  <r>
    <x v="3"/>
    <x v="5"/>
    <x v="1"/>
    <n v="16650"/>
    <n v="61"/>
    <n v="8044.55"/>
    <n v="4585.12"/>
    <x v="0"/>
  </r>
  <r>
    <x v="3"/>
    <x v="5"/>
    <x v="1"/>
    <n v="17892"/>
    <n v="57"/>
    <n v="7294.47"/>
    <n v="1648.43"/>
    <x v="4"/>
  </r>
  <r>
    <x v="3"/>
    <x v="5"/>
    <x v="1"/>
    <n v="18342"/>
    <n v="116"/>
    <n v="93541.2"/>
    <n v="21682.68"/>
    <x v="3"/>
  </r>
  <r>
    <x v="3"/>
    <x v="5"/>
    <x v="1"/>
    <n v="20177"/>
    <n v="65"/>
    <n v="7319.36"/>
    <n v="2718.75"/>
    <x v="5"/>
  </r>
  <r>
    <x v="3"/>
    <x v="5"/>
    <x v="1"/>
    <n v="21179"/>
    <n v="26"/>
    <n v="2932.31"/>
    <n v="1657.79"/>
    <x v="0"/>
  </r>
  <r>
    <x v="3"/>
    <x v="5"/>
    <x v="1"/>
    <n v="21260"/>
    <n v="30"/>
    <n v="6220.59"/>
    <n v="1768.91"/>
    <x v="4"/>
  </r>
  <r>
    <x v="3"/>
    <x v="5"/>
    <x v="1"/>
    <n v="22317"/>
    <n v="67"/>
    <n v="5007.8599999999997"/>
    <n v="1757.32"/>
    <x v="5"/>
  </r>
  <r>
    <x v="3"/>
    <x v="5"/>
    <x v="1"/>
    <n v="22940"/>
    <n v="380"/>
    <n v="52850.68"/>
    <n v="12135.33"/>
    <x v="2"/>
  </r>
  <r>
    <x v="3"/>
    <x v="5"/>
    <x v="1"/>
    <n v="23178"/>
    <n v="115"/>
    <n v="19915.52"/>
    <n v="3702.56"/>
    <x v="2"/>
  </r>
  <r>
    <x v="3"/>
    <x v="5"/>
    <x v="1"/>
    <n v="23600"/>
    <n v="1331"/>
    <n v="157038.42000000001"/>
    <n v="35047.65"/>
    <x v="2"/>
  </r>
  <r>
    <x v="3"/>
    <x v="5"/>
    <x v="1"/>
    <n v="23756"/>
    <n v="52"/>
    <n v="10680.47"/>
    <n v="5353.61"/>
    <x v="1"/>
  </r>
  <r>
    <x v="3"/>
    <x v="5"/>
    <x v="1"/>
    <n v="24326"/>
    <n v="90"/>
    <n v="11188.07"/>
    <n v="2587.2199999999998"/>
    <x v="4"/>
  </r>
  <r>
    <x v="0"/>
    <x v="5"/>
    <x v="2"/>
    <n v="12184"/>
    <n v="53"/>
    <n v="7630.03"/>
    <n v="3836.07"/>
    <x v="0"/>
  </r>
  <r>
    <x v="0"/>
    <x v="5"/>
    <x v="2"/>
    <n v="12622"/>
    <n v="70"/>
    <n v="16101.94"/>
    <n v="8648.44"/>
    <x v="1"/>
  </r>
  <r>
    <x v="0"/>
    <x v="5"/>
    <x v="2"/>
    <n v="13527"/>
    <n v="626"/>
    <n v="96893.8"/>
    <n v="19320.599999999999"/>
    <x v="2"/>
  </r>
  <r>
    <x v="0"/>
    <x v="5"/>
    <x v="2"/>
    <n v="13618"/>
    <n v="22"/>
    <n v="8806.1200000000008"/>
    <n v="3553.72"/>
    <x v="1"/>
  </r>
  <r>
    <x v="0"/>
    <x v="5"/>
    <x v="2"/>
    <n v="16024"/>
    <n v="324"/>
    <n v="134036.4"/>
    <n v="32798.58"/>
    <x v="3"/>
  </r>
  <r>
    <x v="0"/>
    <x v="5"/>
    <x v="2"/>
    <n v="16650"/>
    <n v="51"/>
    <n v="7383.91"/>
    <n v="3985.48"/>
    <x v="0"/>
  </r>
  <r>
    <x v="0"/>
    <x v="5"/>
    <x v="2"/>
    <n v="17892"/>
    <n v="141"/>
    <n v="20145.46"/>
    <n v="5804.32"/>
    <x v="4"/>
  </r>
  <r>
    <x v="0"/>
    <x v="5"/>
    <x v="2"/>
    <n v="18342"/>
    <n v="159"/>
    <n v="135166.64000000001"/>
    <n v="35576.26"/>
    <x v="3"/>
  </r>
  <r>
    <x v="0"/>
    <x v="5"/>
    <x v="2"/>
    <n v="20177"/>
    <n v="142"/>
    <n v="14267.37"/>
    <n v="5512.59"/>
    <x v="5"/>
  </r>
  <r>
    <x v="0"/>
    <x v="5"/>
    <x v="2"/>
    <n v="21179"/>
    <n v="52"/>
    <n v="6183.23"/>
    <n v="2505.11"/>
    <x v="0"/>
  </r>
  <r>
    <x v="0"/>
    <x v="5"/>
    <x v="2"/>
    <n v="21260"/>
    <n v="110"/>
    <n v="21436.33"/>
    <n v="6294.51"/>
    <x v="4"/>
  </r>
  <r>
    <x v="0"/>
    <x v="5"/>
    <x v="2"/>
    <n v="22317"/>
    <n v="113"/>
    <n v="9494.43"/>
    <n v="4072.93"/>
    <x v="5"/>
  </r>
  <r>
    <x v="0"/>
    <x v="5"/>
    <x v="2"/>
    <n v="22940"/>
    <n v="568"/>
    <n v="72313.990000000005"/>
    <n v="15060.98"/>
    <x v="2"/>
  </r>
  <r>
    <x v="0"/>
    <x v="5"/>
    <x v="2"/>
    <n v="23178"/>
    <n v="212"/>
    <n v="35609.550000000003"/>
    <n v="7012.19"/>
    <x v="2"/>
  </r>
  <r>
    <x v="0"/>
    <x v="5"/>
    <x v="2"/>
    <n v="23600"/>
    <n v="894"/>
    <n v="101314.95"/>
    <n v="20922.95"/>
    <x v="2"/>
  </r>
  <r>
    <x v="0"/>
    <x v="5"/>
    <x v="2"/>
    <n v="23756"/>
    <n v="67"/>
    <n v="13410.41"/>
    <n v="5801.08"/>
    <x v="1"/>
  </r>
  <r>
    <x v="0"/>
    <x v="5"/>
    <x v="2"/>
    <n v="24326"/>
    <n v="99"/>
    <n v="13273.27"/>
    <n v="3218"/>
    <x v="4"/>
  </r>
  <r>
    <x v="1"/>
    <x v="5"/>
    <x v="2"/>
    <n v="12184"/>
    <n v="28"/>
    <n v="3819.89"/>
    <n v="2015.14"/>
    <x v="0"/>
  </r>
  <r>
    <x v="1"/>
    <x v="5"/>
    <x v="2"/>
    <n v="12622"/>
    <n v="16"/>
    <n v="4408.75"/>
    <n v="2010.39"/>
    <x v="1"/>
  </r>
  <r>
    <x v="1"/>
    <x v="5"/>
    <x v="2"/>
    <n v="13527"/>
    <n v="176"/>
    <n v="28758.5"/>
    <n v="5004.24"/>
    <x v="2"/>
  </r>
  <r>
    <x v="1"/>
    <x v="5"/>
    <x v="2"/>
    <n v="13618"/>
    <n v="8"/>
    <n v="3099.38"/>
    <n v="1531.08"/>
    <x v="1"/>
  </r>
  <r>
    <x v="1"/>
    <x v="5"/>
    <x v="2"/>
    <n v="16024"/>
    <n v="81"/>
    <n v="36531.25"/>
    <n v="12426.21"/>
    <x v="3"/>
  </r>
  <r>
    <x v="1"/>
    <x v="5"/>
    <x v="2"/>
    <n v="16650"/>
    <n v="33"/>
    <n v="4466.96"/>
    <n v="2823.41"/>
    <x v="0"/>
  </r>
  <r>
    <x v="1"/>
    <x v="5"/>
    <x v="2"/>
    <n v="17892"/>
    <n v="102"/>
    <n v="14801.94"/>
    <n v="3571.98"/>
    <x v="4"/>
  </r>
  <r>
    <x v="1"/>
    <x v="5"/>
    <x v="2"/>
    <n v="18342"/>
    <n v="19"/>
    <n v="15940"/>
    <n v="4508.26"/>
    <x v="3"/>
  </r>
  <r>
    <x v="1"/>
    <x v="5"/>
    <x v="2"/>
    <n v="20177"/>
    <n v="11"/>
    <n v="1222.1199999999999"/>
    <n v="539.1"/>
    <x v="5"/>
  </r>
  <r>
    <x v="1"/>
    <x v="5"/>
    <x v="2"/>
    <n v="21179"/>
    <n v="21"/>
    <n v="2244.64"/>
    <n v="1302.76"/>
    <x v="0"/>
  </r>
  <r>
    <x v="1"/>
    <x v="5"/>
    <x v="2"/>
    <n v="21260"/>
    <n v="53"/>
    <n v="10853.65"/>
    <n v="2886.44"/>
    <x v="4"/>
  </r>
  <r>
    <x v="1"/>
    <x v="5"/>
    <x v="2"/>
    <n v="22317"/>
    <n v="18"/>
    <n v="1440.78"/>
    <n v="724.34"/>
    <x v="5"/>
  </r>
  <r>
    <x v="1"/>
    <x v="5"/>
    <x v="2"/>
    <n v="22940"/>
    <n v="170"/>
    <n v="23295.69"/>
    <n v="6076.16"/>
    <x v="2"/>
  </r>
  <r>
    <x v="1"/>
    <x v="5"/>
    <x v="2"/>
    <n v="23178"/>
    <n v="222"/>
    <n v="39790.15"/>
    <n v="10062.75"/>
    <x v="2"/>
  </r>
  <r>
    <x v="1"/>
    <x v="5"/>
    <x v="2"/>
    <n v="23600"/>
    <n v="440"/>
    <n v="47513.49"/>
    <n v="13765.24"/>
    <x v="2"/>
  </r>
  <r>
    <x v="1"/>
    <x v="5"/>
    <x v="2"/>
    <n v="23756"/>
    <n v="39"/>
    <n v="8014.63"/>
    <n v="3296.28"/>
    <x v="1"/>
  </r>
  <r>
    <x v="1"/>
    <x v="5"/>
    <x v="2"/>
    <n v="24326"/>
    <n v="27"/>
    <n v="3471.2"/>
    <n v="885.92"/>
    <x v="4"/>
  </r>
  <r>
    <x v="2"/>
    <x v="5"/>
    <x v="2"/>
    <n v="12184"/>
    <n v="90"/>
    <n v="11693.34"/>
    <n v="7861.77"/>
    <x v="0"/>
  </r>
  <r>
    <x v="2"/>
    <x v="5"/>
    <x v="2"/>
    <n v="12622"/>
    <n v="44"/>
    <n v="10184.790000000001"/>
    <n v="5140.45"/>
    <x v="1"/>
  </r>
  <r>
    <x v="2"/>
    <x v="5"/>
    <x v="2"/>
    <n v="13527"/>
    <n v="429"/>
    <n v="71585.009999999995"/>
    <n v="16722.12"/>
    <x v="2"/>
  </r>
  <r>
    <x v="2"/>
    <x v="5"/>
    <x v="2"/>
    <n v="13618"/>
    <n v="25"/>
    <n v="11221.74"/>
    <n v="6043.22"/>
    <x v="1"/>
  </r>
  <r>
    <x v="2"/>
    <x v="5"/>
    <x v="2"/>
    <n v="16024"/>
    <n v="281"/>
    <n v="131329.79999999999"/>
    <n v="43418.76"/>
    <x v="3"/>
  </r>
  <r>
    <x v="2"/>
    <x v="5"/>
    <x v="2"/>
    <n v="16650"/>
    <n v="37"/>
    <n v="7291.01"/>
    <n v="4990.18"/>
    <x v="0"/>
  </r>
  <r>
    <x v="2"/>
    <x v="5"/>
    <x v="2"/>
    <n v="17892"/>
    <n v="103"/>
    <n v="14119.66"/>
    <n v="4151.03"/>
    <x v="4"/>
  </r>
  <r>
    <x v="2"/>
    <x v="5"/>
    <x v="2"/>
    <n v="18342"/>
    <n v="65"/>
    <n v="54480.3"/>
    <n v="16375.09"/>
    <x v="3"/>
  </r>
  <r>
    <x v="2"/>
    <x v="5"/>
    <x v="2"/>
    <n v="20177"/>
    <n v="44"/>
    <n v="3892.05"/>
    <n v="1825.04"/>
    <x v="5"/>
  </r>
  <r>
    <x v="2"/>
    <x v="5"/>
    <x v="2"/>
    <n v="21179"/>
    <n v="31"/>
    <n v="4635.75"/>
    <n v="3645.28"/>
    <x v="0"/>
  </r>
  <r>
    <x v="2"/>
    <x v="5"/>
    <x v="2"/>
    <n v="21260"/>
    <n v="36"/>
    <n v="6439"/>
    <n v="2248.5100000000002"/>
    <x v="4"/>
  </r>
  <r>
    <x v="2"/>
    <x v="5"/>
    <x v="2"/>
    <n v="22317"/>
    <n v="23"/>
    <n v="2377.2600000000002"/>
    <n v="943.35"/>
    <x v="5"/>
  </r>
  <r>
    <x v="2"/>
    <x v="5"/>
    <x v="2"/>
    <n v="22940"/>
    <n v="586"/>
    <n v="76254.37"/>
    <n v="17506.29"/>
    <x v="2"/>
  </r>
  <r>
    <x v="2"/>
    <x v="5"/>
    <x v="2"/>
    <n v="23178"/>
    <n v="119"/>
    <n v="20467.29"/>
    <n v="5434.76"/>
    <x v="2"/>
  </r>
  <r>
    <x v="2"/>
    <x v="5"/>
    <x v="2"/>
    <n v="23600"/>
    <n v="542"/>
    <n v="53949.77"/>
    <n v="14992.12"/>
    <x v="2"/>
  </r>
  <r>
    <x v="2"/>
    <x v="5"/>
    <x v="2"/>
    <n v="23756"/>
    <n v="112"/>
    <n v="19933.02"/>
    <n v="12052.55"/>
    <x v="1"/>
  </r>
  <r>
    <x v="2"/>
    <x v="5"/>
    <x v="2"/>
    <n v="24326"/>
    <n v="122"/>
    <n v="17014.900000000001"/>
    <n v="4792.58"/>
    <x v="4"/>
  </r>
  <r>
    <x v="3"/>
    <x v="5"/>
    <x v="2"/>
    <n v="12184"/>
    <n v="67"/>
    <n v="9966.27"/>
    <n v="6050.02"/>
    <x v="0"/>
  </r>
  <r>
    <x v="3"/>
    <x v="5"/>
    <x v="2"/>
    <n v="12622"/>
    <n v="35"/>
    <n v="8563.74"/>
    <n v="4387.58"/>
    <x v="1"/>
  </r>
  <r>
    <x v="3"/>
    <x v="5"/>
    <x v="2"/>
    <n v="13527"/>
    <n v="440"/>
    <n v="75553.23"/>
    <n v="16831.61"/>
    <x v="2"/>
  </r>
  <r>
    <x v="3"/>
    <x v="5"/>
    <x v="2"/>
    <n v="13618"/>
    <n v="6"/>
    <n v="2739"/>
    <n v="1175.69"/>
    <x v="1"/>
  </r>
  <r>
    <x v="3"/>
    <x v="5"/>
    <x v="2"/>
    <n v="16024"/>
    <n v="138"/>
    <n v="58469.51"/>
    <n v="15611.06"/>
    <x v="3"/>
  </r>
  <r>
    <x v="3"/>
    <x v="5"/>
    <x v="2"/>
    <n v="16650"/>
    <n v="29"/>
    <n v="5078.2700000000004"/>
    <n v="3303.84"/>
    <x v="0"/>
  </r>
  <r>
    <x v="3"/>
    <x v="5"/>
    <x v="2"/>
    <n v="17892"/>
    <n v="47"/>
    <n v="7087.56"/>
    <n v="1818.78"/>
    <x v="4"/>
  </r>
  <r>
    <x v="3"/>
    <x v="5"/>
    <x v="2"/>
    <n v="18342"/>
    <n v="172"/>
    <n v="155207.04999999999"/>
    <n v="36666.589999999997"/>
    <x v="3"/>
  </r>
  <r>
    <x v="3"/>
    <x v="5"/>
    <x v="2"/>
    <n v="20177"/>
    <n v="92"/>
    <n v="9194.81"/>
    <n v="3180.08"/>
    <x v="5"/>
  </r>
  <r>
    <x v="3"/>
    <x v="5"/>
    <x v="2"/>
    <n v="21179"/>
    <n v="40"/>
    <n v="4816.96"/>
    <n v="3030.92"/>
    <x v="0"/>
  </r>
  <r>
    <x v="3"/>
    <x v="5"/>
    <x v="2"/>
    <n v="21260"/>
    <n v="68"/>
    <n v="11975.79"/>
    <n v="2765.13"/>
    <x v="4"/>
  </r>
  <r>
    <x v="3"/>
    <x v="5"/>
    <x v="2"/>
    <n v="22317"/>
    <n v="67"/>
    <n v="5693.51"/>
    <n v="2312.77"/>
    <x v="5"/>
  </r>
  <r>
    <x v="3"/>
    <x v="5"/>
    <x v="2"/>
    <n v="22940"/>
    <n v="296"/>
    <n v="36902.83"/>
    <n v="7643.52"/>
    <x v="2"/>
  </r>
  <r>
    <x v="3"/>
    <x v="5"/>
    <x v="2"/>
    <n v="23178"/>
    <n v="150"/>
    <n v="26900.75"/>
    <n v="5351.48"/>
    <x v="2"/>
  </r>
  <r>
    <x v="3"/>
    <x v="5"/>
    <x v="2"/>
    <n v="23600"/>
    <n v="1296"/>
    <n v="130545.78"/>
    <n v="29608.11"/>
    <x v="2"/>
  </r>
  <r>
    <x v="3"/>
    <x v="5"/>
    <x v="2"/>
    <n v="23756"/>
    <n v="82"/>
    <n v="16972.34"/>
    <n v="8926.9699999999993"/>
    <x v="1"/>
  </r>
  <r>
    <x v="3"/>
    <x v="5"/>
    <x v="2"/>
    <n v="24326"/>
    <n v="71"/>
    <n v="9291.6200000000008"/>
    <n v="2606.86"/>
    <x v="4"/>
  </r>
  <r>
    <x v="0"/>
    <x v="5"/>
    <x v="3"/>
    <n v="12184"/>
    <n v="53"/>
    <n v="6332.98"/>
    <n v="3410.46"/>
    <x v="0"/>
  </r>
  <r>
    <x v="0"/>
    <x v="5"/>
    <x v="3"/>
    <n v="12622"/>
    <n v="48"/>
    <n v="14747.57"/>
    <n v="8058.87"/>
    <x v="1"/>
  </r>
  <r>
    <x v="0"/>
    <x v="5"/>
    <x v="3"/>
    <n v="13527"/>
    <n v="679"/>
    <n v="109531.67"/>
    <n v="23021.78"/>
    <x v="2"/>
  </r>
  <r>
    <x v="0"/>
    <x v="5"/>
    <x v="3"/>
    <n v="13618"/>
    <n v="24"/>
    <n v="10531.7"/>
    <n v="4705.8999999999996"/>
    <x v="1"/>
  </r>
  <r>
    <x v="0"/>
    <x v="5"/>
    <x v="3"/>
    <n v="16024"/>
    <n v="240"/>
    <n v="94266.34"/>
    <n v="24676.9"/>
    <x v="3"/>
  </r>
  <r>
    <x v="0"/>
    <x v="5"/>
    <x v="3"/>
    <n v="16650"/>
    <n v="61"/>
    <n v="9443.7199999999993"/>
    <n v="4744.55"/>
    <x v="0"/>
  </r>
  <r>
    <x v="0"/>
    <x v="5"/>
    <x v="3"/>
    <n v="17892"/>
    <n v="153"/>
    <n v="21868.6"/>
    <n v="5615.95"/>
    <x v="4"/>
  </r>
  <r>
    <x v="0"/>
    <x v="5"/>
    <x v="3"/>
    <n v="18342"/>
    <n v="171"/>
    <n v="151756.42000000001"/>
    <n v="38855.050000000003"/>
    <x v="3"/>
  </r>
  <r>
    <x v="0"/>
    <x v="5"/>
    <x v="3"/>
    <n v="20177"/>
    <n v="77"/>
    <n v="8525.6299999999992"/>
    <n v="2773.1"/>
    <x v="5"/>
  </r>
  <r>
    <x v="0"/>
    <x v="5"/>
    <x v="3"/>
    <n v="21179"/>
    <n v="50"/>
    <n v="5022.84"/>
    <n v="2056.73"/>
    <x v="0"/>
  </r>
  <r>
    <x v="0"/>
    <x v="5"/>
    <x v="3"/>
    <n v="21260"/>
    <n v="105"/>
    <n v="18322.759999999998"/>
    <n v="5498.94"/>
    <x v="4"/>
  </r>
  <r>
    <x v="0"/>
    <x v="5"/>
    <x v="3"/>
    <n v="22317"/>
    <n v="45"/>
    <n v="3975.46"/>
    <n v="1517.7"/>
    <x v="5"/>
  </r>
  <r>
    <x v="0"/>
    <x v="5"/>
    <x v="3"/>
    <n v="22940"/>
    <n v="850"/>
    <n v="102545.86"/>
    <n v="22439.360000000001"/>
    <x v="2"/>
  </r>
  <r>
    <x v="0"/>
    <x v="5"/>
    <x v="3"/>
    <n v="23178"/>
    <n v="450"/>
    <n v="75340.3"/>
    <n v="12141.61"/>
    <x v="2"/>
  </r>
  <r>
    <x v="0"/>
    <x v="5"/>
    <x v="3"/>
    <n v="23600"/>
    <n v="1412"/>
    <n v="144213.65"/>
    <n v="29004.57"/>
    <x v="2"/>
  </r>
  <r>
    <x v="0"/>
    <x v="5"/>
    <x v="3"/>
    <n v="23756"/>
    <n v="129"/>
    <n v="24089.040000000001"/>
    <n v="11096.88"/>
    <x v="1"/>
  </r>
  <r>
    <x v="0"/>
    <x v="5"/>
    <x v="3"/>
    <n v="24326"/>
    <n v="128"/>
    <n v="18542.349999999999"/>
    <n v="5145.75"/>
    <x v="4"/>
  </r>
  <r>
    <x v="1"/>
    <x v="5"/>
    <x v="3"/>
    <n v="12184"/>
    <n v="35"/>
    <n v="4477.43"/>
    <n v="2199.2399999999998"/>
    <x v="0"/>
  </r>
  <r>
    <x v="1"/>
    <x v="5"/>
    <x v="3"/>
    <n v="12622"/>
    <n v="19"/>
    <n v="5102.24"/>
    <n v="1816.22"/>
    <x v="1"/>
  </r>
  <r>
    <x v="1"/>
    <x v="5"/>
    <x v="3"/>
    <n v="13527"/>
    <n v="177"/>
    <n v="26232.82"/>
    <n v="5296.02"/>
    <x v="2"/>
  </r>
  <r>
    <x v="1"/>
    <x v="5"/>
    <x v="3"/>
    <n v="13618"/>
    <n v="3"/>
    <n v="1281.76"/>
    <n v="496.65"/>
    <x v="1"/>
  </r>
  <r>
    <x v="1"/>
    <x v="5"/>
    <x v="3"/>
    <n v="16024"/>
    <n v="128"/>
    <n v="51922.36"/>
    <n v="16088.97"/>
    <x v="3"/>
  </r>
  <r>
    <x v="1"/>
    <x v="5"/>
    <x v="3"/>
    <n v="16650"/>
    <n v="32"/>
    <n v="4871.34"/>
    <n v="2818.24"/>
    <x v="0"/>
  </r>
  <r>
    <x v="1"/>
    <x v="5"/>
    <x v="3"/>
    <n v="17892"/>
    <n v="53"/>
    <n v="7306.33"/>
    <n v="1991.22"/>
    <x v="4"/>
  </r>
  <r>
    <x v="1"/>
    <x v="5"/>
    <x v="3"/>
    <n v="18342"/>
    <n v="28"/>
    <n v="21527.68"/>
    <n v="6120.2"/>
    <x v="3"/>
  </r>
  <r>
    <x v="1"/>
    <x v="5"/>
    <x v="3"/>
    <n v="20177"/>
    <n v="19"/>
    <n v="2119.5700000000002"/>
    <n v="821.01"/>
    <x v="5"/>
  </r>
  <r>
    <x v="1"/>
    <x v="5"/>
    <x v="3"/>
    <n v="21179"/>
    <n v="34"/>
    <n v="3994.59"/>
    <n v="2541.87"/>
    <x v="0"/>
  </r>
  <r>
    <x v="1"/>
    <x v="5"/>
    <x v="3"/>
    <n v="21260"/>
    <n v="24"/>
    <n v="4707.28"/>
    <n v="1241.42"/>
    <x v="4"/>
  </r>
  <r>
    <x v="1"/>
    <x v="5"/>
    <x v="3"/>
    <n v="22317"/>
    <n v="14"/>
    <n v="1392.09"/>
    <n v="695.63"/>
    <x v="5"/>
  </r>
  <r>
    <x v="1"/>
    <x v="5"/>
    <x v="3"/>
    <n v="22940"/>
    <n v="178"/>
    <n v="25275.85"/>
    <n v="7011.64"/>
    <x v="2"/>
  </r>
  <r>
    <x v="1"/>
    <x v="5"/>
    <x v="3"/>
    <n v="23178"/>
    <n v="207"/>
    <n v="38541.21"/>
    <n v="8585.64"/>
    <x v="2"/>
  </r>
  <r>
    <x v="1"/>
    <x v="5"/>
    <x v="3"/>
    <n v="23600"/>
    <n v="654"/>
    <n v="78522.149999999994"/>
    <n v="19478.419999999998"/>
    <x v="2"/>
  </r>
  <r>
    <x v="1"/>
    <x v="5"/>
    <x v="3"/>
    <n v="23756"/>
    <n v="84"/>
    <n v="15694.56"/>
    <n v="7216.4"/>
    <x v="1"/>
  </r>
  <r>
    <x v="1"/>
    <x v="5"/>
    <x v="3"/>
    <n v="24326"/>
    <n v="18"/>
    <n v="2820.63"/>
    <n v="805.81"/>
    <x v="4"/>
  </r>
  <r>
    <x v="2"/>
    <x v="5"/>
    <x v="3"/>
    <n v="12184"/>
    <n v="58"/>
    <n v="5911.15"/>
    <n v="4121.8900000000003"/>
    <x v="0"/>
  </r>
  <r>
    <x v="2"/>
    <x v="5"/>
    <x v="3"/>
    <n v="12622"/>
    <n v="61"/>
    <n v="16421.28"/>
    <n v="8597.34"/>
    <x v="1"/>
  </r>
  <r>
    <x v="2"/>
    <x v="5"/>
    <x v="3"/>
    <n v="13527"/>
    <n v="278"/>
    <n v="49152.62"/>
    <n v="12186.26"/>
    <x v="2"/>
  </r>
  <r>
    <x v="2"/>
    <x v="5"/>
    <x v="3"/>
    <n v="13618"/>
    <n v="21"/>
    <n v="8494.9599999999991"/>
    <n v="4412.1000000000004"/>
    <x v="1"/>
  </r>
  <r>
    <x v="2"/>
    <x v="5"/>
    <x v="3"/>
    <n v="16024"/>
    <n v="235"/>
    <n v="101041.77"/>
    <n v="31049.7"/>
    <x v="3"/>
  </r>
  <r>
    <x v="2"/>
    <x v="5"/>
    <x v="3"/>
    <n v="16650"/>
    <n v="26"/>
    <n v="4636.59"/>
    <n v="2679.67"/>
    <x v="0"/>
  </r>
  <r>
    <x v="2"/>
    <x v="5"/>
    <x v="3"/>
    <n v="17892"/>
    <n v="104"/>
    <n v="15927.11"/>
    <n v="4425.2"/>
    <x v="4"/>
  </r>
  <r>
    <x v="2"/>
    <x v="5"/>
    <x v="3"/>
    <n v="18342"/>
    <n v="134"/>
    <n v="125532.41"/>
    <n v="34597.22"/>
    <x v="3"/>
  </r>
  <r>
    <x v="2"/>
    <x v="5"/>
    <x v="3"/>
    <n v="20177"/>
    <n v="55"/>
    <n v="5405.47"/>
    <n v="2174.98"/>
    <x v="5"/>
  </r>
  <r>
    <x v="2"/>
    <x v="5"/>
    <x v="3"/>
    <n v="21179"/>
    <n v="30"/>
    <n v="4449.96"/>
    <n v="3136.62"/>
    <x v="0"/>
  </r>
  <r>
    <x v="2"/>
    <x v="5"/>
    <x v="3"/>
    <n v="21260"/>
    <n v="55"/>
    <n v="9746.7000000000007"/>
    <n v="3459.67"/>
    <x v="4"/>
  </r>
  <r>
    <x v="2"/>
    <x v="5"/>
    <x v="3"/>
    <n v="22317"/>
    <n v="50"/>
    <n v="4789.42"/>
    <n v="2271.33"/>
    <x v="5"/>
  </r>
  <r>
    <x v="2"/>
    <x v="5"/>
    <x v="3"/>
    <n v="22940"/>
    <n v="320"/>
    <n v="45542.31"/>
    <n v="12034.09"/>
    <x v="2"/>
  </r>
  <r>
    <x v="2"/>
    <x v="5"/>
    <x v="3"/>
    <n v="23178"/>
    <n v="125"/>
    <n v="24561.040000000001"/>
    <n v="5475.2"/>
    <x v="2"/>
  </r>
  <r>
    <x v="2"/>
    <x v="5"/>
    <x v="3"/>
    <n v="23600"/>
    <n v="1036"/>
    <n v="125185"/>
    <n v="31327.82"/>
    <x v="2"/>
  </r>
  <r>
    <x v="2"/>
    <x v="5"/>
    <x v="3"/>
    <n v="23756"/>
    <n v="125"/>
    <n v="26176.46"/>
    <n v="14770.23"/>
    <x v="1"/>
  </r>
  <r>
    <x v="2"/>
    <x v="5"/>
    <x v="3"/>
    <n v="24326"/>
    <n v="119"/>
    <n v="17093.650000000001"/>
    <n v="4742.3900000000003"/>
    <x v="4"/>
  </r>
  <r>
    <x v="3"/>
    <x v="5"/>
    <x v="3"/>
    <n v="12184"/>
    <n v="89"/>
    <n v="12668.13"/>
    <n v="6894.1"/>
    <x v="0"/>
  </r>
  <r>
    <x v="3"/>
    <x v="5"/>
    <x v="3"/>
    <n v="12622"/>
    <n v="57"/>
    <n v="14861.81"/>
    <n v="6121.98"/>
    <x v="1"/>
  </r>
  <r>
    <x v="3"/>
    <x v="5"/>
    <x v="3"/>
    <n v="13527"/>
    <n v="498"/>
    <n v="85840.43"/>
    <n v="17815.18"/>
    <x v="2"/>
  </r>
  <r>
    <x v="3"/>
    <x v="5"/>
    <x v="3"/>
    <n v="13618"/>
    <n v="16"/>
    <n v="6969.13"/>
    <n v="3777.29"/>
    <x v="1"/>
  </r>
  <r>
    <x v="3"/>
    <x v="5"/>
    <x v="3"/>
    <n v="16024"/>
    <n v="126"/>
    <n v="56340.6"/>
    <n v="12435.96"/>
    <x v="3"/>
  </r>
  <r>
    <x v="3"/>
    <x v="5"/>
    <x v="3"/>
    <n v="16650"/>
    <n v="24"/>
    <n v="3535.68"/>
    <n v="2325.58"/>
    <x v="0"/>
  </r>
  <r>
    <x v="3"/>
    <x v="5"/>
    <x v="3"/>
    <n v="17892"/>
    <n v="56"/>
    <n v="8517.02"/>
    <n v="2287.85"/>
    <x v="4"/>
  </r>
  <r>
    <x v="3"/>
    <x v="5"/>
    <x v="3"/>
    <n v="18342"/>
    <n v="192"/>
    <n v="141705.39000000001"/>
    <n v="31721.73"/>
    <x v="3"/>
  </r>
  <r>
    <x v="3"/>
    <x v="5"/>
    <x v="3"/>
    <n v="20177"/>
    <n v="49"/>
    <n v="4447.01"/>
    <n v="1645.35"/>
    <x v="5"/>
  </r>
  <r>
    <x v="3"/>
    <x v="5"/>
    <x v="3"/>
    <n v="21179"/>
    <n v="61"/>
    <n v="8644.36"/>
    <n v="5024.75"/>
    <x v="0"/>
  </r>
  <r>
    <x v="3"/>
    <x v="5"/>
    <x v="3"/>
    <n v="21260"/>
    <n v="53"/>
    <n v="10031.68"/>
    <n v="2183.15"/>
    <x v="4"/>
  </r>
  <r>
    <x v="3"/>
    <x v="5"/>
    <x v="3"/>
    <n v="22317"/>
    <n v="76"/>
    <n v="5806.68"/>
    <n v="2085.62"/>
    <x v="5"/>
  </r>
  <r>
    <x v="3"/>
    <x v="5"/>
    <x v="3"/>
    <n v="22940"/>
    <n v="741"/>
    <n v="87829.88"/>
    <n v="20159.03"/>
    <x v="2"/>
  </r>
  <r>
    <x v="3"/>
    <x v="5"/>
    <x v="3"/>
    <n v="23178"/>
    <n v="214"/>
    <n v="34332.43"/>
    <n v="6581.17"/>
    <x v="2"/>
  </r>
  <r>
    <x v="3"/>
    <x v="5"/>
    <x v="3"/>
    <n v="23600"/>
    <n v="1122"/>
    <n v="123641.54"/>
    <n v="28174.76"/>
    <x v="2"/>
  </r>
  <r>
    <x v="3"/>
    <x v="5"/>
    <x v="3"/>
    <n v="23756"/>
    <n v="112"/>
    <n v="18172.43"/>
    <n v="9854.02"/>
    <x v="1"/>
  </r>
  <r>
    <x v="3"/>
    <x v="5"/>
    <x v="3"/>
    <n v="24326"/>
    <n v="135"/>
    <n v="17056.169999999998"/>
    <n v="4831.5600000000004"/>
    <x v="4"/>
  </r>
  <r>
    <x v="0"/>
    <x v="5"/>
    <x v="4"/>
    <n v="12184"/>
    <n v="72"/>
    <n v="8929.2999999999993"/>
    <n v="3593.42"/>
    <x v="0"/>
  </r>
  <r>
    <x v="0"/>
    <x v="5"/>
    <x v="4"/>
    <n v="12622"/>
    <n v="51"/>
    <n v="13176.65"/>
    <n v="6104.91"/>
    <x v="1"/>
  </r>
  <r>
    <x v="0"/>
    <x v="5"/>
    <x v="4"/>
    <n v="13527"/>
    <n v="372"/>
    <n v="61538.84"/>
    <n v="12777.28"/>
    <x v="2"/>
  </r>
  <r>
    <x v="0"/>
    <x v="5"/>
    <x v="4"/>
    <n v="13618"/>
    <n v="30"/>
    <n v="12833.96"/>
    <n v="5197.87"/>
    <x v="1"/>
  </r>
  <r>
    <x v="0"/>
    <x v="5"/>
    <x v="4"/>
    <n v="16024"/>
    <n v="189"/>
    <n v="84516.479999999996"/>
    <n v="22566.86"/>
    <x v="3"/>
  </r>
  <r>
    <x v="0"/>
    <x v="5"/>
    <x v="4"/>
    <n v="16650"/>
    <n v="76"/>
    <n v="12776.51"/>
    <n v="6833.26"/>
    <x v="0"/>
  </r>
  <r>
    <x v="0"/>
    <x v="5"/>
    <x v="4"/>
    <n v="17892"/>
    <n v="90"/>
    <n v="12772.64"/>
    <n v="3580.35"/>
    <x v="4"/>
  </r>
  <r>
    <x v="0"/>
    <x v="5"/>
    <x v="4"/>
    <n v="18342"/>
    <n v="115"/>
    <n v="96811.72"/>
    <n v="27249.72"/>
    <x v="3"/>
  </r>
  <r>
    <x v="0"/>
    <x v="5"/>
    <x v="4"/>
    <n v="20177"/>
    <n v="122"/>
    <n v="11862.57"/>
    <n v="4689.8599999999997"/>
    <x v="5"/>
  </r>
  <r>
    <x v="0"/>
    <x v="5"/>
    <x v="4"/>
    <n v="21179"/>
    <n v="59"/>
    <n v="7436.42"/>
    <n v="3896.5"/>
    <x v="0"/>
  </r>
  <r>
    <x v="0"/>
    <x v="5"/>
    <x v="4"/>
    <n v="21260"/>
    <n v="66"/>
    <n v="12966.16"/>
    <n v="3601.57"/>
    <x v="4"/>
  </r>
  <r>
    <x v="0"/>
    <x v="5"/>
    <x v="4"/>
    <n v="22317"/>
    <n v="50"/>
    <n v="4933.32"/>
    <n v="1857.37"/>
    <x v="5"/>
  </r>
  <r>
    <x v="0"/>
    <x v="5"/>
    <x v="4"/>
    <n v="22940"/>
    <n v="806"/>
    <n v="99816.01"/>
    <n v="18124.71"/>
    <x v="2"/>
  </r>
  <r>
    <x v="0"/>
    <x v="5"/>
    <x v="4"/>
    <n v="23178"/>
    <n v="295"/>
    <n v="52832.49"/>
    <n v="11436.17"/>
    <x v="2"/>
  </r>
  <r>
    <x v="0"/>
    <x v="5"/>
    <x v="4"/>
    <n v="23600"/>
    <n v="593"/>
    <n v="71153.210000000006"/>
    <n v="18989.240000000002"/>
    <x v="2"/>
  </r>
  <r>
    <x v="0"/>
    <x v="5"/>
    <x v="4"/>
    <n v="23756"/>
    <n v="88"/>
    <n v="16340.92"/>
    <n v="8272.4"/>
    <x v="1"/>
  </r>
  <r>
    <x v="0"/>
    <x v="5"/>
    <x v="4"/>
    <n v="24326"/>
    <n v="178"/>
    <n v="25765.27"/>
    <n v="6783.5"/>
    <x v="4"/>
  </r>
  <r>
    <x v="1"/>
    <x v="5"/>
    <x v="4"/>
    <n v="12184"/>
    <n v="27"/>
    <n v="3211.31"/>
    <n v="1379.21"/>
    <x v="0"/>
  </r>
  <r>
    <x v="1"/>
    <x v="5"/>
    <x v="4"/>
    <n v="12622"/>
    <n v="20"/>
    <n v="5157.46"/>
    <n v="1840.48"/>
    <x v="1"/>
  </r>
  <r>
    <x v="1"/>
    <x v="5"/>
    <x v="4"/>
    <n v="13527"/>
    <n v="336"/>
    <n v="49177.99"/>
    <n v="8148.88"/>
    <x v="2"/>
  </r>
  <r>
    <x v="1"/>
    <x v="5"/>
    <x v="4"/>
    <n v="13618"/>
    <n v="9"/>
    <n v="3946.64"/>
    <n v="1787.42"/>
    <x v="1"/>
  </r>
  <r>
    <x v="1"/>
    <x v="5"/>
    <x v="4"/>
    <n v="16024"/>
    <n v="99"/>
    <n v="47012.04"/>
    <n v="16028.07"/>
    <x v="3"/>
  </r>
  <r>
    <x v="1"/>
    <x v="5"/>
    <x v="4"/>
    <n v="16650"/>
    <n v="23"/>
    <n v="3636.16"/>
    <n v="2135.7399999999998"/>
    <x v="0"/>
  </r>
  <r>
    <x v="1"/>
    <x v="5"/>
    <x v="4"/>
    <n v="17892"/>
    <n v="44"/>
    <n v="6672.11"/>
    <n v="1394.43"/>
    <x v="4"/>
  </r>
  <r>
    <x v="1"/>
    <x v="5"/>
    <x v="4"/>
    <n v="18342"/>
    <n v="26"/>
    <n v="19294.849999999999"/>
    <n v="5359.88"/>
    <x v="3"/>
  </r>
  <r>
    <x v="1"/>
    <x v="5"/>
    <x v="4"/>
    <n v="20177"/>
    <n v="29"/>
    <n v="2699.13"/>
    <n v="1145.33"/>
    <x v="5"/>
  </r>
  <r>
    <x v="1"/>
    <x v="5"/>
    <x v="4"/>
    <n v="21179"/>
    <n v="43"/>
    <n v="4511.3100000000004"/>
    <n v="2620.0700000000002"/>
    <x v="0"/>
  </r>
  <r>
    <x v="1"/>
    <x v="5"/>
    <x v="4"/>
    <n v="21260"/>
    <n v="44"/>
    <n v="8972.4599999999991"/>
    <n v="2096.62"/>
    <x v="4"/>
  </r>
  <r>
    <x v="1"/>
    <x v="5"/>
    <x v="4"/>
    <n v="22317"/>
    <n v="6"/>
    <n v="454.17"/>
    <n v="193.85"/>
    <x v="5"/>
  </r>
  <r>
    <x v="1"/>
    <x v="5"/>
    <x v="4"/>
    <n v="22940"/>
    <n v="146"/>
    <n v="20932.400000000001"/>
    <n v="5505.75"/>
    <x v="2"/>
  </r>
  <r>
    <x v="1"/>
    <x v="5"/>
    <x v="4"/>
    <n v="23178"/>
    <n v="314"/>
    <n v="51258.51"/>
    <n v="12569.71"/>
    <x v="2"/>
  </r>
  <r>
    <x v="1"/>
    <x v="5"/>
    <x v="4"/>
    <n v="23600"/>
    <n v="458"/>
    <n v="56516.85"/>
    <n v="17713.2"/>
    <x v="2"/>
  </r>
  <r>
    <x v="1"/>
    <x v="5"/>
    <x v="4"/>
    <n v="23756"/>
    <n v="58"/>
    <n v="10744.14"/>
    <n v="5270.81"/>
    <x v="1"/>
  </r>
  <r>
    <x v="1"/>
    <x v="5"/>
    <x v="4"/>
    <n v="24326"/>
    <n v="34"/>
    <n v="4583.47"/>
    <n v="1572.21"/>
    <x v="4"/>
  </r>
  <r>
    <x v="2"/>
    <x v="5"/>
    <x v="4"/>
    <n v="12184"/>
    <n v="117"/>
    <n v="17282.29"/>
    <n v="11745.6"/>
    <x v="0"/>
  </r>
  <r>
    <x v="2"/>
    <x v="5"/>
    <x v="4"/>
    <n v="12622"/>
    <n v="48"/>
    <n v="12427.15"/>
    <n v="7714.75"/>
    <x v="1"/>
  </r>
  <r>
    <x v="2"/>
    <x v="5"/>
    <x v="4"/>
    <n v="13527"/>
    <n v="237"/>
    <n v="42901.98"/>
    <n v="12251.92"/>
    <x v="2"/>
  </r>
  <r>
    <x v="2"/>
    <x v="5"/>
    <x v="4"/>
    <n v="13618"/>
    <n v="10"/>
    <n v="4300.46"/>
    <n v="2797.62"/>
    <x v="1"/>
  </r>
  <r>
    <x v="2"/>
    <x v="5"/>
    <x v="4"/>
    <n v="16024"/>
    <n v="158"/>
    <n v="73295.05"/>
    <n v="20835.53"/>
    <x v="3"/>
  </r>
  <r>
    <x v="2"/>
    <x v="5"/>
    <x v="4"/>
    <n v="16650"/>
    <n v="34"/>
    <n v="6818.07"/>
    <n v="4724.84"/>
    <x v="0"/>
  </r>
  <r>
    <x v="2"/>
    <x v="5"/>
    <x v="4"/>
    <n v="17892"/>
    <n v="99"/>
    <n v="13952.99"/>
    <n v="4416.43"/>
    <x v="4"/>
  </r>
  <r>
    <x v="2"/>
    <x v="5"/>
    <x v="4"/>
    <n v="18342"/>
    <n v="102"/>
    <n v="94351.37"/>
    <n v="30920.74"/>
    <x v="3"/>
  </r>
  <r>
    <x v="2"/>
    <x v="5"/>
    <x v="4"/>
    <n v="20177"/>
    <n v="42"/>
    <n v="3633.34"/>
    <n v="1439.87"/>
    <x v="5"/>
  </r>
  <r>
    <x v="2"/>
    <x v="5"/>
    <x v="4"/>
    <n v="21179"/>
    <n v="63"/>
    <n v="7366.46"/>
    <n v="5546.14"/>
    <x v="0"/>
  </r>
  <r>
    <x v="2"/>
    <x v="5"/>
    <x v="4"/>
    <n v="21260"/>
    <n v="30"/>
    <n v="5967.61"/>
    <n v="1836.43"/>
    <x v="4"/>
  </r>
  <r>
    <x v="2"/>
    <x v="5"/>
    <x v="4"/>
    <n v="22317"/>
    <n v="37"/>
    <n v="3691.36"/>
    <n v="1501.28"/>
    <x v="5"/>
  </r>
  <r>
    <x v="2"/>
    <x v="5"/>
    <x v="4"/>
    <n v="22940"/>
    <n v="288"/>
    <n v="40198.71"/>
    <n v="10405.18"/>
    <x v="2"/>
  </r>
  <r>
    <x v="2"/>
    <x v="5"/>
    <x v="4"/>
    <n v="23178"/>
    <n v="215"/>
    <n v="38963.64"/>
    <n v="8486.68"/>
    <x v="2"/>
  </r>
  <r>
    <x v="2"/>
    <x v="5"/>
    <x v="4"/>
    <n v="23600"/>
    <n v="1040"/>
    <n v="122851.25"/>
    <n v="32126.21"/>
    <x v="2"/>
  </r>
  <r>
    <x v="2"/>
    <x v="5"/>
    <x v="4"/>
    <n v="23756"/>
    <n v="104"/>
    <n v="18329.509999999998"/>
    <n v="8860.6200000000008"/>
    <x v="1"/>
  </r>
  <r>
    <x v="2"/>
    <x v="5"/>
    <x v="4"/>
    <n v="24326"/>
    <n v="86"/>
    <n v="12220.74"/>
    <n v="4291.17"/>
    <x v="4"/>
  </r>
  <r>
    <x v="3"/>
    <x v="5"/>
    <x v="4"/>
    <n v="12184"/>
    <n v="43"/>
    <n v="6224.62"/>
    <n v="3370.69"/>
    <x v="0"/>
  </r>
  <r>
    <x v="3"/>
    <x v="5"/>
    <x v="4"/>
    <n v="12622"/>
    <n v="28"/>
    <n v="6805.17"/>
    <n v="2777.45"/>
    <x v="1"/>
  </r>
  <r>
    <x v="3"/>
    <x v="5"/>
    <x v="4"/>
    <n v="13527"/>
    <n v="259"/>
    <n v="45269.71"/>
    <n v="8692.1299999999992"/>
    <x v="2"/>
  </r>
  <r>
    <x v="3"/>
    <x v="5"/>
    <x v="4"/>
    <n v="13618"/>
    <n v="11"/>
    <n v="4652.25"/>
    <n v="1974.52"/>
    <x v="1"/>
  </r>
  <r>
    <x v="3"/>
    <x v="5"/>
    <x v="4"/>
    <n v="16024"/>
    <n v="166"/>
    <n v="73067.429999999993"/>
    <n v="18832.400000000001"/>
    <x v="3"/>
  </r>
  <r>
    <x v="3"/>
    <x v="5"/>
    <x v="4"/>
    <n v="16650"/>
    <n v="56"/>
    <n v="8432.17"/>
    <n v="4230.72"/>
    <x v="0"/>
  </r>
  <r>
    <x v="3"/>
    <x v="5"/>
    <x v="4"/>
    <n v="17892"/>
    <n v="108"/>
    <n v="14368.8"/>
    <n v="3416.04"/>
    <x v="4"/>
  </r>
  <r>
    <x v="3"/>
    <x v="5"/>
    <x v="4"/>
    <n v="18342"/>
    <n v="171"/>
    <n v="127071.94"/>
    <n v="34164.03"/>
    <x v="3"/>
  </r>
  <r>
    <x v="3"/>
    <x v="5"/>
    <x v="4"/>
    <n v="20177"/>
    <n v="99"/>
    <n v="9365.31"/>
    <n v="3772.14"/>
    <x v="5"/>
  </r>
  <r>
    <x v="3"/>
    <x v="5"/>
    <x v="4"/>
    <n v="21179"/>
    <n v="58"/>
    <n v="5813.99"/>
    <n v="3183.18"/>
    <x v="0"/>
  </r>
  <r>
    <x v="3"/>
    <x v="5"/>
    <x v="4"/>
    <n v="21260"/>
    <n v="39"/>
    <n v="7754.72"/>
    <n v="1698.74"/>
    <x v="4"/>
  </r>
  <r>
    <x v="3"/>
    <x v="5"/>
    <x v="4"/>
    <n v="22317"/>
    <n v="64"/>
    <n v="5851.38"/>
    <n v="2514.66"/>
    <x v="5"/>
  </r>
  <r>
    <x v="3"/>
    <x v="5"/>
    <x v="4"/>
    <n v="22940"/>
    <n v="688"/>
    <n v="94865.08"/>
    <n v="20574.650000000001"/>
    <x v="2"/>
  </r>
  <r>
    <x v="3"/>
    <x v="5"/>
    <x v="4"/>
    <n v="23178"/>
    <n v="206"/>
    <n v="35980.29"/>
    <n v="7184.98"/>
    <x v="2"/>
  </r>
  <r>
    <x v="3"/>
    <x v="5"/>
    <x v="4"/>
    <n v="23600"/>
    <n v="845"/>
    <n v="88884.52"/>
    <n v="18411.259999999998"/>
    <x v="2"/>
  </r>
  <r>
    <x v="3"/>
    <x v="5"/>
    <x v="4"/>
    <n v="23756"/>
    <n v="53"/>
    <n v="9447.7999999999993"/>
    <n v="4713.71"/>
    <x v="1"/>
  </r>
  <r>
    <x v="3"/>
    <x v="5"/>
    <x v="4"/>
    <n v="24326"/>
    <n v="124"/>
    <n v="16425.66"/>
    <n v="3707.07"/>
    <x v="4"/>
  </r>
  <r>
    <x v="0"/>
    <x v="5"/>
    <x v="5"/>
    <n v="12184"/>
    <n v="77"/>
    <n v="9519.1200000000008"/>
    <n v="4811.57"/>
    <x v="0"/>
  </r>
  <r>
    <x v="0"/>
    <x v="5"/>
    <x v="5"/>
    <n v="12622"/>
    <n v="51"/>
    <n v="15372.86"/>
    <n v="6263.34"/>
    <x v="1"/>
  </r>
  <r>
    <x v="0"/>
    <x v="5"/>
    <x v="5"/>
    <n v="13527"/>
    <n v="567"/>
    <n v="88682.16"/>
    <n v="19159.939999999999"/>
    <x v="2"/>
  </r>
  <r>
    <x v="0"/>
    <x v="5"/>
    <x v="5"/>
    <n v="13618"/>
    <n v="21"/>
    <n v="8738.7000000000007"/>
    <n v="4722.51"/>
    <x v="1"/>
  </r>
  <r>
    <x v="0"/>
    <x v="5"/>
    <x v="5"/>
    <n v="16024"/>
    <n v="349"/>
    <n v="161536.12"/>
    <n v="39565.019999999997"/>
    <x v="3"/>
  </r>
  <r>
    <x v="0"/>
    <x v="5"/>
    <x v="5"/>
    <n v="16650"/>
    <n v="78"/>
    <n v="13506.78"/>
    <n v="6013.94"/>
    <x v="0"/>
  </r>
  <r>
    <x v="0"/>
    <x v="5"/>
    <x v="5"/>
    <n v="17892"/>
    <n v="158"/>
    <n v="24847.279999999999"/>
    <n v="7086.65"/>
    <x v="4"/>
  </r>
  <r>
    <x v="0"/>
    <x v="5"/>
    <x v="5"/>
    <n v="18342"/>
    <n v="93"/>
    <n v="76549.259999999995"/>
    <n v="23728.36"/>
    <x v="3"/>
  </r>
  <r>
    <x v="0"/>
    <x v="5"/>
    <x v="5"/>
    <n v="20177"/>
    <n v="74"/>
    <n v="8294.4599999999991"/>
    <n v="3632.35"/>
    <x v="5"/>
  </r>
  <r>
    <x v="0"/>
    <x v="5"/>
    <x v="5"/>
    <n v="21179"/>
    <n v="33"/>
    <n v="3991.32"/>
    <n v="1795.45"/>
    <x v="0"/>
  </r>
  <r>
    <x v="0"/>
    <x v="5"/>
    <x v="5"/>
    <n v="21260"/>
    <n v="115"/>
    <n v="24687.42"/>
    <n v="6407.45"/>
    <x v="4"/>
  </r>
  <r>
    <x v="0"/>
    <x v="5"/>
    <x v="5"/>
    <n v="22317"/>
    <n v="54"/>
    <n v="4790.37"/>
    <n v="1616.71"/>
    <x v="5"/>
  </r>
  <r>
    <x v="0"/>
    <x v="5"/>
    <x v="5"/>
    <n v="22940"/>
    <n v="812"/>
    <n v="108225.64"/>
    <n v="21752.47"/>
    <x v="2"/>
  </r>
  <r>
    <x v="0"/>
    <x v="5"/>
    <x v="5"/>
    <n v="23178"/>
    <n v="345"/>
    <n v="55154.46"/>
    <n v="8836.4"/>
    <x v="2"/>
  </r>
  <r>
    <x v="0"/>
    <x v="5"/>
    <x v="5"/>
    <n v="23600"/>
    <n v="1355"/>
    <n v="161351.42000000001"/>
    <n v="32344.97"/>
    <x v="2"/>
  </r>
  <r>
    <x v="0"/>
    <x v="5"/>
    <x v="5"/>
    <n v="23756"/>
    <n v="121"/>
    <n v="22252.7"/>
    <n v="8989.07"/>
    <x v="1"/>
  </r>
  <r>
    <x v="0"/>
    <x v="5"/>
    <x v="5"/>
    <n v="24326"/>
    <n v="105"/>
    <n v="13578.84"/>
    <n v="4324.1499999999996"/>
    <x v="4"/>
  </r>
  <r>
    <x v="1"/>
    <x v="5"/>
    <x v="5"/>
    <n v="12184"/>
    <n v="19"/>
    <n v="2316.19"/>
    <n v="1097.24"/>
    <x v="0"/>
  </r>
  <r>
    <x v="1"/>
    <x v="5"/>
    <x v="5"/>
    <n v="12622"/>
    <n v="15"/>
    <n v="3861.25"/>
    <n v="1795.49"/>
    <x v="1"/>
  </r>
  <r>
    <x v="1"/>
    <x v="5"/>
    <x v="5"/>
    <n v="13527"/>
    <n v="200"/>
    <n v="29848.89"/>
    <n v="5194.91"/>
    <x v="2"/>
  </r>
  <r>
    <x v="1"/>
    <x v="5"/>
    <x v="5"/>
    <n v="13618"/>
    <n v="7"/>
    <n v="2258.86"/>
    <n v="1048.28"/>
    <x v="1"/>
  </r>
  <r>
    <x v="1"/>
    <x v="5"/>
    <x v="5"/>
    <n v="16024"/>
    <n v="168"/>
    <n v="72937.899999999994"/>
    <n v="21465.48"/>
    <x v="3"/>
  </r>
  <r>
    <x v="1"/>
    <x v="5"/>
    <x v="5"/>
    <n v="16650"/>
    <n v="29"/>
    <n v="4165.05"/>
    <n v="2968.98"/>
    <x v="0"/>
  </r>
  <r>
    <x v="1"/>
    <x v="5"/>
    <x v="5"/>
    <n v="17892"/>
    <n v="42"/>
    <n v="5743.43"/>
    <n v="1303.94"/>
    <x v="4"/>
  </r>
  <r>
    <x v="1"/>
    <x v="5"/>
    <x v="5"/>
    <n v="18342"/>
    <n v="12"/>
    <n v="10304.879999999999"/>
    <n v="3297.9"/>
    <x v="3"/>
  </r>
  <r>
    <x v="1"/>
    <x v="5"/>
    <x v="5"/>
    <n v="20177"/>
    <n v="30"/>
    <n v="2887.33"/>
    <n v="1076.73"/>
    <x v="5"/>
  </r>
  <r>
    <x v="1"/>
    <x v="5"/>
    <x v="5"/>
    <n v="21179"/>
    <n v="35"/>
    <n v="3996.68"/>
    <n v="2322.41"/>
    <x v="0"/>
  </r>
  <r>
    <x v="1"/>
    <x v="5"/>
    <x v="5"/>
    <n v="21260"/>
    <n v="31"/>
    <n v="6368.4"/>
    <n v="1760.28"/>
    <x v="4"/>
  </r>
  <r>
    <x v="1"/>
    <x v="5"/>
    <x v="5"/>
    <n v="22317"/>
    <n v="17"/>
    <n v="1582.43"/>
    <n v="672.77"/>
    <x v="5"/>
  </r>
  <r>
    <x v="1"/>
    <x v="5"/>
    <x v="5"/>
    <n v="22940"/>
    <n v="97"/>
    <n v="12097.27"/>
    <n v="3176.52"/>
    <x v="2"/>
  </r>
  <r>
    <x v="1"/>
    <x v="5"/>
    <x v="5"/>
    <n v="23178"/>
    <n v="322"/>
    <n v="62415.3"/>
    <n v="16863.55"/>
    <x v="2"/>
  </r>
  <r>
    <x v="1"/>
    <x v="5"/>
    <x v="5"/>
    <n v="23600"/>
    <n v="600"/>
    <n v="71134.570000000007"/>
    <n v="16764.95"/>
    <x v="2"/>
  </r>
  <r>
    <x v="1"/>
    <x v="5"/>
    <x v="5"/>
    <n v="23756"/>
    <n v="92"/>
    <n v="16136.31"/>
    <n v="6501.74"/>
    <x v="1"/>
  </r>
  <r>
    <x v="1"/>
    <x v="5"/>
    <x v="5"/>
    <n v="24326"/>
    <n v="39"/>
    <n v="5537.98"/>
    <n v="1476.21"/>
    <x v="4"/>
  </r>
  <r>
    <x v="2"/>
    <x v="5"/>
    <x v="5"/>
    <n v="12184"/>
    <n v="93"/>
    <n v="9799.3799999999992"/>
    <n v="5713.75"/>
    <x v="0"/>
  </r>
  <r>
    <x v="2"/>
    <x v="5"/>
    <x v="5"/>
    <n v="12622"/>
    <n v="61"/>
    <n v="13388.54"/>
    <n v="6627.39"/>
    <x v="1"/>
  </r>
  <r>
    <x v="2"/>
    <x v="5"/>
    <x v="5"/>
    <n v="13527"/>
    <n v="395"/>
    <n v="67353.2"/>
    <n v="15424.81"/>
    <x v="2"/>
  </r>
  <r>
    <x v="2"/>
    <x v="5"/>
    <x v="5"/>
    <n v="13618"/>
    <n v="21"/>
    <n v="9027.42"/>
    <n v="4909.4399999999996"/>
    <x v="1"/>
  </r>
  <r>
    <x v="2"/>
    <x v="5"/>
    <x v="5"/>
    <n v="16024"/>
    <n v="294"/>
    <n v="120507.85"/>
    <n v="34768.080000000002"/>
    <x v="3"/>
  </r>
  <r>
    <x v="2"/>
    <x v="5"/>
    <x v="5"/>
    <n v="16650"/>
    <n v="41"/>
    <n v="5354.88"/>
    <n v="3376.41"/>
    <x v="0"/>
  </r>
  <r>
    <x v="2"/>
    <x v="5"/>
    <x v="5"/>
    <n v="17892"/>
    <n v="117"/>
    <n v="17119.439999999999"/>
    <n v="5223.6899999999996"/>
    <x v="4"/>
  </r>
  <r>
    <x v="2"/>
    <x v="5"/>
    <x v="5"/>
    <n v="18342"/>
    <n v="181"/>
    <n v="135499.5"/>
    <n v="46444.27"/>
    <x v="3"/>
  </r>
  <r>
    <x v="2"/>
    <x v="5"/>
    <x v="5"/>
    <n v="20177"/>
    <n v="64"/>
    <n v="5503.83"/>
    <n v="2898.47"/>
    <x v="5"/>
  </r>
  <r>
    <x v="2"/>
    <x v="5"/>
    <x v="5"/>
    <n v="21179"/>
    <n v="44"/>
    <n v="4793.1000000000004"/>
    <n v="3544.13"/>
    <x v="0"/>
  </r>
  <r>
    <x v="2"/>
    <x v="5"/>
    <x v="5"/>
    <n v="21260"/>
    <n v="61"/>
    <n v="10519.61"/>
    <n v="3341.39"/>
    <x v="4"/>
  </r>
  <r>
    <x v="2"/>
    <x v="5"/>
    <x v="5"/>
    <n v="22317"/>
    <n v="33"/>
    <n v="2625.62"/>
    <n v="1349.12"/>
    <x v="5"/>
  </r>
  <r>
    <x v="2"/>
    <x v="5"/>
    <x v="5"/>
    <n v="22940"/>
    <n v="594"/>
    <n v="82929.45"/>
    <n v="22147.38"/>
    <x v="2"/>
  </r>
  <r>
    <x v="2"/>
    <x v="5"/>
    <x v="5"/>
    <n v="23178"/>
    <n v="144"/>
    <n v="27991.01"/>
    <n v="7303.18"/>
    <x v="2"/>
  </r>
  <r>
    <x v="2"/>
    <x v="5"/>
    <x v="5"/>
    <n v="23600"/>
    <n v="912"/>
    <n v="112103.35"/>
    <n v="29584.080000000002"/>
    <x v="2"/>
  </r>
  <r>
    <x v="2"/>
    <x v="5"/>
    <x v="5"/>
    <n v="23756"/>
    <n v="126"/>
    <n v="20598.12"/>
    <n v="13513.71"/>
    <x v="1"/>
  </r>
  <r>
    <x v="2"/>
    <x v="5"/>
    <x v="5"/>
    <n v="24326"/>
    <n v="69"/>
    <n v="9734.5"/>
    <n v="3461.76"/>
    <x v="4"/>
  </r>
  <r>
    <x v="3"/>
    <x v="5"/>
    <x v="5"/>
    <n v="12184"/>
    <n v="62"/>
    <n v="7008.16"/>
    <n v="4405.76"/>
    <x v="0"/>
  </r>
  <r>
    <x v="3"/>
    <x v="5"/>
    <x v="5"/>
    <n v="12622"/>
    <n v="51"/>
    <n v="13374.87"/>
    <n v="7066.95"/>
    <x v="1"/>
  </r>
  <r>
    <x v="3"/>
    <x v="5"/>
    <x v="5"/>
    <n v="13527"/>
    <n v="646"/>
    <n v="111038.73"/>
    <n v="23432.42"/>
    <x v="2"/>
  </r>
  <r>
    <x v="3"/>
    <x v="5"/>
    <x v="5"/>
    <n v="13618"/>
    <n v="9"/>
    <n v="3934.5"/>
    <n v="1584.01"/>
    <x v="1"/>
  </r>
  <r>
    <x v="3"/>
    <x v="5"/>
    <x v="5"/>
    <n v="16024"/>
    <n v="95"/>
    <n v="40213.11"/>
    <n v="11337.91"/>
    <x v="3"/>
  </r>
  <r>
    <x v="3"/>
    <x v="5"/>
    <x v="5"/>
    <n v="16650"/>
    <n v="31"/>
    <n v="5337"/>
    <n v="2808.03"/>
    <x v="0"/>
  </r>
  <r>
    <x v="3"/>
    <x v="5"/>
    <x v="5"/>
    <n v="17892"/>
    <n v="44"/>
    <n v="5972.85"/>
    <n v="1467.84"/>
    <x v="4"/>
  </r>
  <r>
    <x v="3"/>
    <x v="5"/>
    <x v="5"/>
    <n v="18342"/>
    <n v="90"/>
    <n v="69492.02"/>
    <n v="19468.03"/>
    <x v="3"/>
  </r>
  <r>
    <x v="3"/>
    <x v="5"/>
    <x v="5"/>
    <n v="20177"/>
    <n v="72"/>
    <n v="8068.71"/>
    <n v="3255.07"/>
    <x v="5"/>
  </r>
  <r>
    <x v="3"/>
    <x v="5"/>
    <x v="5"/>
    <n v="21179"/>
    <n v="54"/>
    <n v="6733.01"/>
    <n v="4268.47"/>
    <x v="0"/>
  </r>
  <r>
    <x v="3"/>
    <x v="5"/>
    <x v="5"/>
    <n v="21260"/>
    <n v="53"/>
    <n v="10394.200000000001"/>
    <n v="2415"/>
    <x v="4"/>
  </r>
  <r>
    <x v="3"/>
    <x v="5"/>
    <x v="5"/>
    <n v="22317"/>
    <n v="72"/>
    <n v="6944.36"/>
    <n v="2706.2"/>
    <x v="5"/>
  </r>
  <r>
    <x v="3"/>
    <x v="5"/>
    <x v="5"/>
    <n v="22940"/>
    <n v="490"/>
    <n v="58112.38"/>
    <n v="12827.52"/>
    <x v="2"/>
  </r>
  <r>
    <x v="3"/>
    <x v="5"/>
    <x v="5"/>
    <n v="23178"/>
    <n v="161"/>
    <n v="25731.55"/>
    <n v="4820.75"/>
    <x v="2"/>
  </r>
  <r>
    <x v="3"/>
    <x v="5"/>
    <x v="5"/>
    <n v="23600"/>
    <n v="858"/>
    <n v="91568.59"/>
    <n v="24788.71"/>
    <x v="2"/>
  </r>
  <r>
    <x v="3"/>
    <x v="5"/>
    <x v="5"/>
    <n v="23756"/>
    <n v="109"/>
    <n v="16721.060000000001"/>
    <n v="7095.35"/>
    <x v="1"/>
  </r>
  <r>
    <x v="3"/>
    <x v="5"/>
    <x v="5"/>
    <n v="24326"/>
    <n v="144"/>
    <n v="19417.669999999998"/>
    <n v="5208.03"/>
    <x v="4"/>
  </r>
  <r>
    <x v="0"/>
    <x v="5"/>
    <x v="6"/>
    <n v="12184"/>
    <n v="85"/>
    <n v="11575.58"/>
    <n v="4781.28"/>
    <x v="0"/>
  </r>
  <r>
    <x v="0"/>
    <x v="5"/>
    <x v="6"/>
    <n v="12622"/>
    <n v="33"/>
    <n v="10382.6"/>
    <n v="4354.5600000000004"/>
    <x v="1"/>
  </r>
  <r>
    <x v="0"/>
    <x v="5"/>
    <x v="6"/>
    <n v="13527"/>
    <n v="395"/>
    <n v="57808.9"/>
    <n v="9556.66"/>
    <x v="2"/>
  </r>
  <r>
    <x v="0"/>
    <x v="5"/>
    <x v="6"/>
    <n v="13618"/>
    <n v="18"/>
    <n v="5994.53"/>
    <n v="2454.88"/>
    <x v="1"/>
  </r>
  <r>
    <x v="0"/>
    <x v="5"/>
    <x v="6"/>
    <n v="16024"/>
    <n v="328"/>
    <n v="133317.20000000001"/>
    <n v="39370.53"/>
    <x v="3"/>
  </r>
  <r>
    <x v="0"/>
    <x v="5"/>
    <x v="6"/>
    <n v="16650"/>
    <n v="66"/>
    <n v="10190.790000000001"/>
    <n v="4334.22"/>
    <x v="0"/>
  </r>
  <r>
    <x v="0"/>
    <x v="5"/>
    <x v="6"/>
    <n v="17892"/>
    <n v="133"/>
    <n v="20727.189999999999"/>
    <n v="5260.28"/>
    <x v="4"/>
  </r>
  <r>
    <x v="0"/>
    <x v="5"/>
    <x v="6"/>
    <n v="18342"/>
    <n v="176"/>
    <n v="142762.92000000001"/>
    <n v="42585.48"/>
    <x v="3"/>
  </r>
  <r>
    <x v="0"/>
    <x v="5"/>
    <x v="6"/>
    <n v="20177"/>
    <n v="99"/>
    <n v="10411.52"/>
    <n v="3599.83"/>
    <x v="5"/>
  </r>
  <r>
    <x v="0"/>
    <x v="5"/>
    <x v="6"/>
    <n v="21179"/>
    <n v="37"/>
    <n v="4231.78"/>
    <n v="1701.99"/>
    <x v="0"/>
  </r>
  <r>
    <x v="0"/>
    <x v="5"/>
    <x v="6"/>
    <n v="21260"/>
    <n v="78"/>
    <n v="15822.27"/>
    <n v="4413.47"/>
    <x v="4"/>
  </r>
  <r>
    <x v="0"/>
    <x v="5"/>
    <x v="6"/>
    <n v="22317"/>
    <n v="57"/>
    <n v="5163.17"/>
    <n v="2062.7800000000002"/>
    <x v="5"/>
  </r>
  <r>
    <x v="0"/>
    <x v="5"/>
    <x v="6"/>
    <n v="22940"/>
    <n v="859"/>
    <n v="117540.61"/>
    <n v="22166.639999999999"/>
    <x v="2"/>
  </r>
  <r>
    <x v="0"/>
    <x v="5"/>
    <x v="6"/>
    <n v="23178"/>
    <n v="193"/>
    <n v="35215.519999999997"/>
    <n v="5670.56"/>
    <x v="2"/>
  </r>
  <r>
    <x v="0"/>
    <x v="5"/>
    <x v="6"/>
    <n v="23600"/>
    <n v="1062"/>
    <n v="116528.9"/>
    <n v="25257.75"/>
    <x v="2"/>
  </r>
  <r>
    <x v="0"/>
    <x v="5"/>
    <x v="6"/>
    <n v="23756"/>
    <n v="101"/>
    <n v="19556.2"/>
    <n v="10697.53"/>
    <x v="1"/>
  </r>
  <r>
    <x v="0"/>
    <x v="5"/>
    <x v="6"/>
    <n v="24326"/>
    <n v="111"/>
    <n v="16371.12"/>
    <n v="5333.13"/>
    <x v="4"/>
  </r>
  <r>
    <x v="1"/>
    <x v="5"/>
    <x v="6"/>
    <n v="12184"/>
    <n v="26"/>
    <n v="3676.81"/>
    <n v="1709.17"/>
    <x v="0"/>
  </r>
  <r>
    <x v="1"/>
    <x v="5"/>
    <x v="6"/>
    <n v="12622"/>
    <n v="11"/>
    <n v="3164.44"/>
    <n v="1492.73"/>
    <x v="1"/>
  </r>
  <r>
    <x v="1"/>
    <x v="5"/>
    <x v="6"/>
    <n v="13527"/>
    <n v="229"/>
    <n v="37715.620000000003"/>
    <n v="6661.16"/>
    <x v="2"/>
  </r>
  <r>
    <x v="1"/>
    <x v="5"/>
    <x v="6"/>
    <n v="13618"/>
    <n v="3"/>
    <n v="1160.3"/>
    <n v="451.04"/>
    <x v="1"/>
  </r>
  <r>
    <x v="1"/>
    <x v="5"/>
    <x v="6"/>
    <n v="16024"/>
    <n v="229"/>
    <n v="89967.24"/>
    <n v="24295.25"/>
    <x v="3"/>
  </r>
  <r>
    <x v="1"/>
    <x v="5"/>
    <x v="6"/>
    <n v="16650"/>
    <n v="34"/>
    <n v="5376.63"/>
    <n v="2970.56"/>
    <x v="0"/>
  </r>
  <r>
    <x v="1"/>
    <x v="5"/>
    <x v="6"/>
    <n v="17892"/>
    <n v="77"/>
    <n v="10311.209999999999"/>
    <n v="2172.15"/>
    <x v="4"/>
  </r>
  <r>
    <x v="1"/>
    <x v="5"/>
    <x v="6"/>
    <n v="18342"/>
    <n v="12"/>
    <n v="10975.79"/>
    <n v="3678.06"/>
    <x v="3"/>
  </r>
  <r>
    <x v="1"/>
    <x v="5"/>
    <x v="6"/>
    <n v="20177"/>
    <n v="20"/>
    <n v="2004.03"/>
    <n v="673.19"/>
    <x v="5"/>
  </r>
  <r>
    <x v="1"/>
    <x v="5"/>
    <x v="6"/>
    <n v="21179"/>
    <n v="52"/>
    <n v="6335.02"/>
    <n v="3882.03"/>
    <x v="0"/>
  </r>
  <r>
    <x v="1"/>
    <x v="5"/>
    <x v="6"/>
    <n v="21260"/>
    <n v="31"/>
    <n v="6225.55"/>
    <n v="1385.87"/>
    <x v="4"/>
  </r>
  <r>
    <x v="1"/>
    <x v="5"/>
    <x v="6"/>
    <n v="22317"/>
    <n v="12"/>
    <n v="953.13"/>
    <n v="461.92"/>
    <x v="5"/>
  </r>
  <r>
    <x v="1"/>
    <x v="5"/>
    <x v="6"/>
    <n v="22940"/>
    <n v="199"/>
    <n v="24977.42"/>
    <n v="7077.89"/>
    <x v="2"/>
  </r>
  <r>
    <x v="1"/>
    <x v="5"/>
    <x v="6"/>
    <n v="23178"/>
    <n v="298"/>
    <n v="50530.98"/>
    <n v="12330.72"/>
    <x v="2"/>
  </r>
  <r>
    <x v="1"/>
    <x v="5"/>
    <x v="6"/>
    <n v="23600"/>
    <n v="704"/>
    <n v="72344.399999999994"/>
    <n v="18271.84"/>
    <x v="2"/>
  </r>
  <r>
    <x v="1"/>
    <x v="5"/>
    <x v="6"/>
    <n v="23756"/>
    <n v="78"/>
    <n v="13854.13"/>
    <n v="6258.98"/>
    <x v="1"/>
  </r>
  <r>
    <x v="1"/>
    <x v="5"/>
    <x v="6"/>
    <n v="24326"/>
    <n v="21"/>
    <n v="2822.78"/>
    <n v="883.2"/>
    <x v="4"/>
  </r>
  <r>
    <x v="2"/>
    <x v="5"/>
    <x v="6"/>
    <n v="12184"/>
    <n v="99"/>
    <n v="15583.56"/>
    <n v="11107.1"/>
    <x v="0"/>
  </r>
  <r>
    <x v="2"/>
    <x v="5"/>
    <x v="6"/>
    <n v="12622"/>
    <n v="47"/>
    <n v="12641.35"/>
    <n v="6231.98"/>
    <x v="1"/>
  </r>
  <r>
    <x v="2"/>
    <x v="5"/>
    <x v="6"/>
    <n v="13527"/>
    <n v="197"/>
    <n v="34127.67"/>
    <n v="7235.66"/>
    <x v="2"/>
  </r>
  <r>
    <x v="2"/>
    <x v="5"/>
    <x v="6"/>
    <n v="13618"/>
    <n v="22"/>
    <n v="8908.57"/>
    <n v="4353.8900000000003"/>
    <x v="1"/>
  </r>
  <r>
    <x v="2"/>
    <x v="5"/>
    <x v="6"/>
    <n v="16024"/>
    <n v="329"/>
    <n v="159779.64000000001"/>
    <n v="40333.96"/>
    <x v="3"/>
  </r>
  <r>
    <x v="2"/>
    <x v="5"/>
    <x v="6"/>
    <n v="16650"/>
    <n v="32"/>
    <n v="4831.09"/>
    <n v="3537.79"/>
    <x v="0"/>
  </r>
  <r>
    <x v="2"/>
    <x v="5"/>
    <x v="6"/>
    <n v="17892"/>
    <n v="72"/>
    <n v="8966.86"/>
    <n v="2720.83"/>
    <x v="4"/>
  </r>
  <r>
    <x v="2"/>
    <x v="5"/>
    <x v="6"/>
    <n v="18342"/>
    <n v="76"/>
    <n v="65493.43"/>
    <n v="21092.6"/>
    <x v="3"/>
  </r>
  <r>
    <x v="2"/>
    <x v="5"/>
    <x v="6"/>
    <n v="20177"/>
    <n v="89"/>
    <n v="9012.5300000000007"/>
    <n v="4739.22"/>
    <x v="5"/>
  </r>
  <r>
    <x v="2"/>
    <x v="5"/>
    <x v="6"/>
    <n v="21179"/>
    <n v="48"/>
    <n v="5775.72"/>
    <n v="3358.44"/>
    <x v="0"/>
  </r>
  <r>
    <x v="2"/>
    <x v="5"/>
    <x v="6"/>
    <n v="21260"/>
    <n v="24"/>
    <n v="4606.97"/>
    <n v="1284.8800000000001"/>
    <x v="4"/>
  </r>
  <r>
    <x v="2"/>
    <x v="5"/>
    <x v="6"/>
    <n v="22317"/>
    <n v="43"/>
    <n v="4444.24"/>
    <n v="1758.4"/>
    <x v="5"/>
  </r>
  <r>
    <x v="2"/>
    <x v="5"/>
    <x v="6"/>
    <n v="22940"/>
    <n v="322"/>
    <n v="41699.449999999997"/>
    <n v="10985.68"/>
    <x v="2"/>
  </r>
  <r>
    <x v="2"/>
    <x v="5"/>
    <x v="6"/>
    <n v="23178"/>
    <n v="124"/>
    <n v="21081.13"/>
    <n v="5027.13"/>
    <x v="2"/>
  </r>
  <r>
    <x v="2"/>
    <x v="5"/>
    <x v="6"/>
    <n v="23600"/>
    <n v="890"/>
    <n v="90191.1"/>
    <n v="28807.72"/>
    <x v="2"/>
  </r>
  <r>
    <x v="2"/>
    <x v="5"/>
    <x v="6"/>
    <n v="23756"/>
    <n v="75"/>
    <n v="14353.26"/>
    <n v="9019.93"/>
    <x v="1"/>
  </r>
  <r>
    <x v="2"/>
    <x v="5"/>
    <x v="6"/>
    <n v="24326"/>
    <n v="69"/>
    <n v="9796.01"/>
    <n v="3073.97"/>
    <x v="4"/>
  </r>
  <r>
    <x v="3"/>
    <x v="5"/>
    <x v="6"/>
    <n v="12184"/>
    <n v="103"/>
    <n v="11266.86"/>
    <n v="7258.41"/>
    <x v="0"/>
  </r>
  <r>
    <x v="3"/>
    <x v="5"/>
    <x v="6"/>
    <n v="12622"/>
    <n v="26"/>
    <n v="5962.25"/>
    <n v="3017.42"/>
    <x v="1"/>
  </r>
  <r>
    <x v="3"/>
    <x v="5"/>
    <x v="6"/>
    <n v="13527"/>
    <n v="311"/>
    <n v="45774.17"/>
    <n v="10624.28"/>
    <x v="2"/>
  </r>
  <r>
    <x v="3"/>
    <x v="5"/>
    <x v="6"/>
    <n v="13618"/>
    <n v="8"/>
    <n v="2909.19"/>
    <n v="1385.17"/>
    <x v="1"/>
  </r>
  <r>
    <x v="3"/>
    <x v="5"/>
    <x v="6"/>
    <n v="16024"/>
    <n v="135"/>
    <n v="55158.48"/>
    <n v="13744.63"/>
    <x v="3"/>
  </r>
  <r>
    <x v="3"/>
    <x v="5"/>
    <x v="6"/>
    <n v="16650"/>
    <n v="62"/>
    <n v="8780.44"/>
    <n v="5286.53"/>
    <x v="0"/>
  </r>
  <r>
    <x v="3"/>
    <x v="5"/>
    <x v="6"/>
    <n v="17892"/>
    <n v="97"/>
    <n v="14682.9"/>
    <n v="3574.93"/>
    <x v="4"/>
  </r>
  <r>
    <x v="3"/>
    <x v="5"/>
    <x v="6"/>
    <n v="18342"/>
    <n v="121"/>
    <n v="92983.89"/>
    <n v="21936.639999999999"/>
    <x v="3"/>
  </r>
  <r>
    <x v="3"/>
    <x v="5"/>
    <x v="6"/>
    <n v="20177"/>
    <n v="37"/>
    <n v="3878.59"/>
    <n v="1457.39"/>
    <x v="5"/>
  </r>
  <r>
    <x v="3"/>
    <x v="5"/>
    <x v="6"/>
    <n v="21179"/>
    <n v="24"/>
    <n v="2677.27"/>
    <n v="1502.28"/>
    <x v="0"/>
  </r>
  <r>
    <x v="3"/>
    <x v="5"/>
    <x v="6"/>
    <n v="21260"/>
    <n v="57"/>
    <n v="11066.66"/>
    <n v="2897.12"/>
    <x v="4"/>
  </r>
  <r>
    <x v="3"/>
    <x v="5"/>
    <x v="6"/>
    <n v="22317"/>
    <n v="83"/>
    <n v="6360.34"/>
    <n v="2042.39"/>
    <x v="5"/>
  </r>
  <r>
    <x v="3"/>
    <x v="5"/>
    <x v="6"/>
    <n v="22940"/>
    <n v="311"/>
    <n v="36379.040000000001"/>
    <n v="8393.5300000000007"/>
    <x v="2"/>
  </r>
  <r>
    <x v="3"/>
    <x v="5"/>
    <x v="6"/>
    <n v="23178"/>
    <n v="290"/>
    <n v="50623.56"/>
    <n v="9169.69"/>
    <x v="2"/>
  </r>
  <r>
    <x v="3"/>
    <x v="5"/>
    <x v="6"/>
    <n v="23600"/>
    <n v="1312"/>
    <n v="130069.43"/>
    <n v="33667.75"/>
    <x v="2"/>
  </r>
  <r>
    <x v="3"/>
    <x v="5"/>
    <x v="6"/>
    <n v="23756"/>
    <n v="98"/>
    <n v="15516.54"/>
    <n v="7343.14"/>
    <x v="1"/>
  </r>
  <r>
    <x v="3"/>
    <x v="5"/>
    <x v="6"/>
    <n v="24326"/>
    <n v="57"/>
    <n v="8119.47"/>
    <n v="2121.48"/>
    <x v="4"/>
  </r>
  <r>
    <x v="0"/>
    <x v="5"/>
    <x v="7"/>
    <n v="12184"/>
    <n v="81"/>
    <n v="9145.3700000000008"/>
    <n v="3869.22"/>
    <x v="0"/>
  </r>
  <r>
    <x v="0"/>
    <x v="5"/>
    <x v="7"/>
    <n v="12622"/>
    <n v="33"/>
    <n v="8976.52"/>
    <n v="4676.76"/>
    <x v="1"/>
  </r>
  <r>
    <x v="0"/>
    <x v="5"/>
    <x v="7"/>
    <n v="13527"/>
    <n v="792"/>
    <n v="135087.28"/>
    <n v="28349.55"/>
    <x v="2"/>
  </r>
  <r>
    <x v="0"/>
    <x v="5"/>
    <x v="7"/>
    <n v="13618"/>
    <n v="13"/>
    <n v="5300.71"/>
    <n v="2404.2600000000002"/>
    <x v="1"/>
  </r>
  <r>
    <x v="0"/>
    <x v="5"/>
    <x v="7"/>
    <n v="16024"/>
    <n v="124"/>
    <n v="51385.55"/>
    <n v="16247.65"/>
    <x v="3"/>
  </r>
  <r>
    <x v="0"/>
    <x v="5"/>
    <x v="7"/>
    <n v="16650"/>
    <n v="64"/>
    <n v="9719.99"/>
    <n v="5289.22"/>
    <x v="0"/>
  </r>
  <r>
    <x v="0"/>
    <x v="5"/>
    <x v="7"/>
    <n v="17892"/>
    <n v="74"/>
    <n v="9984.18"/>
    <n v="2510.0300000000002"/>
    <x v="4"/>
  </r>
  <r>
    <x v="0"/>
    <x v="5"/>
    <x v="7"/>
    <n v="18342"/>
    <n v="199"/>
    <n v="156475.37"/>
    <n v="45940.74"/>
    <x v="3"/>
  </r>
  <r>
    <x v="0"/>
    <x v="5"/>
    <x v="7"/>
    <n v="20177"/>
    <n v="87"/>
    <n v="8622.19"/>
    <n v="3171.31"/>
    <x v="5"/>
  </r>
  <r>
    <x v="0"/>
    <x v="5"/>
    <x v="7"/>
    <n v="21179"/>
    <n v="29"/>
    <n v="4011.52"/>
    <n v="2010.42"/>
    <x v="0"/>
  </r>
  <r>
    <x v="0"/>
    <x v="5"/>
    <x v="7"/>
    <n v="21260"/>
    <n v="86"/>
    <n v="17430.45"/>
    <n v="4760.2"/>
    <x v="4"/>
  </r>
  <r>
    <x v="0"/>
    <x v="5"/>
    <x v="7"/>
    <n v="22317"/>
    <n v="50"/>
    <n v="4759.83"/>
    <n v="1962.68"/>
    <x v="5"/>
  </r>
  <r>
    <x v="0"/>
    <x v="5"/>
    <x v="7"/>
    <n v="22940"/>
    <n v="948"/>
    <n v="121259.11"/>
    <n v="19782.72"/>
    <x v="2"/>
  </r>
  <r>
    <x v="0"/>
    <x v="5"/>
    <x v="7"/>
    <n v="23178"/>
    <n v="282"/>
    <n v="51431.29"/>
    <n v="11135.27"/>
    <x v="2"/>
  </r>
  <r>
    <x v="0"/>
    <x v="5"/>
    <x v="7"/>
    <n v="23600"/>
    <n v="1318"/>
    <n v="155039.45000000001"/>
    <n v="34874.910000000003"/>
    <x v="2"/>
  </r>
  <r>
    <x v="0"/>
    <x v="5"/>
    <x v="7"/>
    <n v="23756"/>
    <n v="116"/>
    <n v="22279.29"/>
    <n v="11157.15"/>
    <x v="1"/>
  </r>
  <r>
    <x v="0"/>
    <x v="5"/>
    <x v="7"/>
    <n v="24326"/>
    <n v="106"/>
    <n v="15439.75"/>
    <n v="5020.2700000000004"/>
    <x v="4"/>
  </r>
  <r>
    <x v="1"/>
    <x v="5"/>
    <x v="7"/>
    <n v="12184"/>
    <n v="32"/>
    <n v="4353.5600000000004"/>
    <n v="1908.19"/>
    <x v="0"/>
  </r>
  <r>
    <x v="1"/>
    <x v="5"/>
    <x v="7"/>
    <n v="12622"/>
    <n v="15"/>
    <n v="4343.8900000000003"/>
    <n v="1514.21"/>
    <x v="1"/>
  </r>
  <r>
    <x v="1"/>
    <x v="5"/>
    <x v="7"/>
    <n v="13527"/>
    <n v="334"/>
    <n v="52558.11"/>
    <n v="8661"/>
    <x v="2"/>
  </r>
  <r>
    <x v="1"/>
    <x v="5"/>
    <x v="7"/>
    <n v="13618"/>
    <n v="8"/>
    <n v="2842.5"/>
    <n v="1333.76"/>
    <x v="1"/>
  </r>
  <r>
    <x v="1"/>
    <x v="5"/>
    <x v="7"/>
    <n v="16024"/>
    <n v="97"/>
    <n v="37598.75"/>
    <n v="12577.97"/>
    <x v="3"/>
  </r>
  <r>
    <x v="1"/>
    <x v="5"/>
    <x v="7"/>
    <n v="16650"/>
    <n v="29"/>
    <n v="3990.61"/>
    <n v="2287.0700000000002"/>
    <x v="0"/>
  </r>
  <r>
    <x v="1"/>
    <x v="5"/>
    <x v="7"/>
    <n v="17892"/>
    <n v="43"/>
    <n v="6355.11"/>
    <n v="1333.53"/>
    <x v="4"/>
  </r>
  <r>
    <x v="1"/>
    <x v="5"/>
    <x v="7"/>
    <n v="18342"/>
    <n v="14"/>
    <n v="13336.39"/>
    <n v="4209.0200000000004"/>
    <x v="3"/>
  </r>
  <r>
    <x v="1"/>
    <x v="5"/>
    <x v="7"/>
    <n v="20177"/>
    <n v="12"/>
    <n v="1362.32"/>
    <n v="532.91999999999996"/>
    <x v="5"/>
  </r>
  <r>
    <x v="1"/>
    <x v="5"/>
    <x v="7"/>
    <n v="21179"/>
    <n v="46"/>
    <n v="5462.86"/>
    <n v="2761.83"/>
    <x v="0"/>
  </r>
  <r>
    <x v="1"/>
    <x v="5"/>
    <x v="7"/>
    <n v="21260"/>
    <n v="52"/>
    <n v="10464.82"/>
    <n v="2161.1799999999998"/>
    <x v="4"/>
  </r>
  <r>
    <x v="1"/>
    <x v="5"/>
    <x v="7"/>
    <n v="22317"/>
    <n v="13"/>
    <n v="1317.07"/>
    <n v="686.17"/>
    <x v="5"/>
  </r>
  <r>
    <x v="1"/>
    <x v="5"/>
    <x v="7"/>
    <n v="22940"/>
    <n v="201"/>
    <n v="26087.09"/>
    <n v="7849.36"/>
    <x v="2"/>
  </r>
  <r>
    <x v="1"/>
    <x v="5"/>
    <x v="7"/>
    <n v="23178"/>
    <n v="156"/>
    <n v="30069.77"/>
    <n v="7066.44"/>
    <x v="2"/>
  </r>
  <r>
    <x v="1"/>
    <x v="5"/>
    <x v="7"/>
    <n v="23600"/>
    <n v="523"/>
    <n v="54086.559999999998"/>
    <n v="15448.82"/>
    <x v="2"/>
  </r>
  <r>
    <x v="1"/>
    <x v="5"/>
    <x v="7"/>
    <n v="23756"/>
    <n v="45"/>
    <n v="7775.55"/>
    <n v="3113.02"/>
    <x v="1"/>
  </r>
  <r>
    <x v="1"/>
    <x v="5"/>
    <x v="7"/>
    <n v="24326"/>
    <n v="32"/>
    <n v="4437.93"/>
    <n v="1408.22"/>
    <x v="4"/>
  </r>
  <r>
    <x v="2"/>
    <x v="5"/>
    <x v="7"/>
    <n v="12184"/>
    <n v="68"/>
    <n v="9314.0400000000009"/>
    <n v="6674.63"/>
    <x v="0"/>
  </r>
  <r>
    <x v="2"/>
    <x v="5"/>
    <x v="7"/>
    <n v="12622"/>
    <n v="23"/>
    <n v="5129.4799999999996"/>
    <n v="3357.49"/>
    <x v="1"/>
  </r>
  <r>
    <x v="2"/>
    <x v="5"/>
    <x v="7"/>
    <n v="13527"/>
    <n v="398"/>
    <n v="66515.45"/>
    <n v="17169.97"/>
    <x v="2"/>
  </r>
  <r>
    <x v="2"/>
    <x v="5"/>
    <x v="7"/>
    <n v="13618"/>
    <n v="12"/>
    <n v="4418.6099999999997"/>
    <n v="2682.3"/>
    <x v="1"/>
  </r>
  <r>
    <x v="2"/>
    <x v="5"/>
    <x v="7"/>
    <n v="16024"/>
    <n v="208"/>
    <n v="93701.94"/>
    <n v="23621.32"/>
    <x v="3"/>
  </r>
  <r>
    <x v="2"/>
    <x v="5"/>
    <x v="7"/>
    <n v="16650"/>
    <n v="22"/>
    <n v="3320.21"/>
    <n v="1976.64"/>
    <x v="0"/>
  </r>
  <r>
    <x v="2"/>
    <x v="5"/>
    <x v="7"/>
    <n v="17892"/>
    <n v="113"/>
    <n v="17759.45"/>
    <n v="5644.97"/>
    <x v="4"/>
  </r>
  <r>
    <x v="2"/>
    <x v="5"/>
    <x v="7"/>
    <n v="18342"/>
    <n v="138"/>
    <n v="119194.5"/>
    <n v="40556.410000000003"/>
    <x v="3"/>
  </r>
  <r>
    <x v="2"/>
    <x v="5"/>
    <x v="7"/>
    <n v="20177"/>
    <n v="33"/>
    <n v="3620.48"/>
    <n v="1600.62"/>
    <x v="5"/>
  </r>
  <r>
    <x v="2"/>
    <x v="5"/>
    <x v="7"/>
    <n v="21179"/>
    <n v="64"/>
    <n v="9588.09"/>
    <n v="7459.22"/>
    <x v="0"/>
  </r>
  <r>
    <x v="2"/>
    <x v="5"/>
    <x v="7"/>
    <n v="21260"/>
    <n v="52"/>
    <n v="9389.48"/>
    <n v="2779.95"/>
    <x v="4"/>
  </r>
  <r>
    <x v="2"/>
    <x v="5"/>
    <x v="7"/>
    <n v="22317"/>
    <n v="45"/>
    <n v="3667.93"/>
    <n v="1895.31"/>
    <x v="5"/>
  </r>
  <r>
    <x v="2"/>
    <x v="5"/>
    <x v="7"/>
    <n v="22940"/>
    <n v="490"/>
    <n v="63058.559999999998"/>
    <n v="14236.98"/>
    <x v="2"/>
  </r>
  <r>
    <x v="2"/>
    <x v="5"/>
    <x v="7"/>
    <n v="23178"/>
    <n v="227"/>
    <n v="44863.91"/>
    <n v="9962.34"/>
    <x v="2"/>
  </r>
  <r>
    <x v="2"/>
    <x v="5"/>
    <x v="7"/>
    <n v="23600"/>
    <n v="513"/>
    <n v="54254.35"/>
    <n v="13637.43"/>
    <x v="2"/>
  </r>
  <r>
    <x v="2"/>
    <x v="5"/>
    <x v="7"/>
    <n v="23756"/>
    <n v="93"/>
    <n v="16781.53"/>
    <n v="9293.2800000000007"/>
    <x v="1"/>
  </r>
  <r>
    <x v="2"/>
    <x v="5"/>
    <x v="7"/>
    <n v="24326"/>
    <n v="71"/>
    <n v="11336.06"/>
    <n v="3357.85"/>
    <x v="4"/>
  </r>
  <r>
    <x v="3"/>
    <x v="5"/>
    <x v="7"/>
    <n v="12184"/>
    <n v="73"/>
    <n v="8045.44"/>
    <n v="4082.17"/>
    <x v="0"/>
  </r>
  <r>
    <x v="3"/>
    <x v="5"/>
    <x v="7"/>
    <n v="12622"/>
    <n v="56"/>
    <n v="16392.82"/>
    <n v="8445.18"/>
    <x v="1"/>
  </r>
  <r>
    <x v="3"/>
    <x v="5"/>
    <x v="7"/>
    <n v="13527"/>
    <n v="345"/>
    <n v="54632.33"/>
    <n v="11615.1"/>
    <x v="2"/>
  </r>
  <r>
    <x v="3"/>
    <x v="5"/>
    <x v="7"/>
    <n v="13618"/>
    <n v="8"/>
    <n v="3417.64"/>
    <n v="1433.45"/>
    <x v="1"/>
  </r>
  <r>
    <x v="3"/>
    <x v="5"/>
    <x v="7"/>
    <n v="16024"/>
    <n v="204"/>
    <n v="93745.52"/>
    <n v="26488.61"/>
    <x v="3"/>
  </r>
  <r>
    <x v="3"/>
    <x v="5"/>
    <x v="7"/>
    <n v="16650"/>
    <n v="41"/>
    <n v="7247.89"/>
    <n v="4020.74"/>
    <x v="0"/>
  </r>
  <r>
    <x v="3"/>
    <x v="5"/>
    <x v="7"/>
    <n v="17892"/>
    <n v="97"/>
    <n v="13745.25"/>
    <n v="3421.69"/>
    <x v="4"/>
  </r>
  <r>
    <x v="3"/>
    <x v="5"/>
    <x v="7"/>
    <n v="18342"/>
    <n v="96"/>
    <n v="81591.429999999993"/>
    <n v="18499.419999999998"/>
    <x v="3"/>
  </r>
  <r>
    <x v="3"/>
    <x v="5"/>
    <x v="7"/>
    <n v="20177"/>
    <n v="76"/>
    <n v="8884.66"/>
    <n v="3524.08"/>
    <x v="5"/>
  </r>
  <r>
    <x v="3"/>
    <x v="5"/>
    <x v="7"/>
    <n v="21179"/>
    <n v="41"/>
    <n v="4167.5"/>
    <n v="2147.33"/>
    <x v="0"/>
  </r>
  <r>
    <x v="3"/>
    <x v="5"/>
    <x v="7"/>
    <n v="21260"/>
    <n v="73"/>
    <n v="13506.13"/>
    <n v="3347.51"/>
    <x v="4"/>
  </r>
  <r>
    <x v="3"/>
    <x v="5"/>
    <x v="7"/>
    <n v="22317"/>
    <n v="46"/>
    <n v="4541.7299999999996"/>
    <n v="1706.92"/>
    <x v="5"/>
  </r>
  <r>
    <x v="3"/>
    <x v="5"/>
    <x v="7"/>
    <n v="22940"/>
    <n v="650"/>
    <n v="85059.09"/>
    <n v="18824.12"/>
    <x v="2"/>
  </r>
  <r>
    <x v="3"/>
    <x v="5"/>
    <x v="7"/>
    <n v="23178"/>
    <n v="221"/>
    <n v="41627.08"/>
    <n v="9899.3799999999992"/>
    <x v="2"/>
  </r>
  <r>
    <x v="3"/>
    <x v="5"/>
    <x v="7"/>
    <n v="23600"/>
    <n v="1201"/>
    <n v="133896.76999999999"/>
    <n v="36238.69"/>
    <x v="2"/>
  </r>
  <r>
    <x v="3"/>
    <x v="5"/>
    <x v="7"/>
    <n v="23756"/>
    <n v="98"/>
    <n v="14699.68"/>
    <n v="7592.95"/>
    <x v="1"/>
  </r>
  <r>
    <x v="3"/>
    <x v="5"/>
    <x v="7"/>
    <n v="24326"/>
    <n v="146"/>
    <n v="19712.97"/>
    <n v="5026.32"/>
    <x v="4"/>
  </r>
  <r>
    <x v="0"/>
    <x v="5"/>
    <x v="8"/>
    <n v="12184"/>
    <n v="43"/>
    <n v="5752.69"/>
    <n v="2518.81"/>
    <x v="0"/>
  </r>
  <r>
    <x v="0"/>
    <x v="5"/>
    <x v="8"/>
    <n v="12622"/>
    <n v="41"/>
    <n v="9091.94"/>
    <n v="4453.78"/>
    <x v="1"/>
  </r>
  <r>
    <x v="0"/>
    <x v="5"/>
    <x v="8"/>
    <n v="13527"/>
    <n v="614"/>
    <n v="91011.75"/>
    <n v="17988.91"/>
    <x v="2"/>
  </r>
  <r>
    <x v="0"/>
    <x v="5"/>
    <x v="8"/>
    <n v="13618"/>
    <n v="20"/>
    <n v="6406.8"/>
    <n v="3061.83"/>
    <x v="1"/>
  </r>
  <r>
    <x v="0"/>
    <x v="5"/>
    <x v="8"/>
    <n v="16024"/>
    <n v="160"/>
    <n v="61393.65"/>
    <n v="16513.88"/>
    <x v="3"/>
  </r>
  <r>
    <x v="0"/>
    <x v="5"/>
    <x v="8"/>
    <n v="16650"/>
    <n v="30"/>
    <n v="4068.28"/>
    <n v="1767.39"/>
    <x v="0"/>
  </r>
  <r>
    <x v="0"/>
    <x v="5"/>
    <x v="8"/>
    <n v="17892"/>
    <n v="159"/>
    <n v="22902.83"/>
    <n v="5674.58"/>
    <x v="4"/>
  </r>
  <r>
    <x v="0"/>
    <x v="5"/>
    <x v="8"/>
    <n v="18342"/>
    <n v="134"/>
    <n v="101828.21"/>
    <n v="29086.99"/>
    <x v="3"/>
  </r>
  <r>
    <x v="0"/>
    <x v="5"/>
    <x v="8"/>
    <n v="20177"/>
    <n v="140"/>
    <n v="14158.63"/>
    <n v="5810.58"/>
    <x v="5"/>
  </r>
  <r>
    <x v="0"/>
    <x v="5"/>
    <x v="8"/>
    <n v="21179"/>
    <n v="82"/>
    <n v="10074.620000000001"/>
    <n v="5046.7299999999996"/>
    <x v="0"/>
  </r>
  <r>
    <x v="0"/>
    <x v="5"/>
    <x v="8"/>
    <n v="21260"/>
    <n v="52"/>
    <n v="10351.68"/>
    <n v="2917.37"/>
    <x v="4"/>
  </r>
  <r>
    <x v="0"/>
    <x v="5"/>
    <x v="8"/>
    <n v="22317"/>
    <n v="104"/>
    <n v="9370.07"/>
    <n v="3393.06"/>
    <x v="5"/>
  </r>
  <r>
    <x v="0"/>
    <x v="5"/>
    <x v="8"/>
    <n v="22940"/>
    <n v="443"/>
    <n v="52398.19"/>
    <n v="8715.67"/>
    <x v="2"/>
  </r>
  <r>
    <x v="0"/>
    <x v="5"/>
    <x v="8"/>
    <n v="23178"/>
    <n v="323"/>
    <n v="53362.09"/>
    <n v="10742.73"/>
    <x v="2"/>
  </r>
  <r>
    <x v="0"/>
    <x v="5"/>
    <x v="8"/>
    <n v="23600"/>
    <n v="1302"/>
    <n v="154776.9"/>
    <n v="35496.32"/>
    <x v="2"/>
  </r>
  <r>
    <x v="0"/>
    <x v="5"/>
    <x v="8"/>
    <n v="23756"/>
    <n v="139"/>
    <n v="27743.01"/>
    <n v="13551.52"/>
    <x v="1"/>
  </r>
  <r>
    <x v="0"/>
    <x v="5"/>
    <x v="8"/>
    <n v="24326"/>
    <n v="153"/>
    <n v="20692.7"/>
    <n v="5572"/>
    <x v="4"/>
  </r>
  <r>
    <x v="1"/>
    <x v="5"/>
    <x v="8"/>
    <n v="12184"/>
    <n v="19"/>
    <n v="1928.39"/>
    <n v="940.54"/>
    <x v="0"/>
  </r>
  <r>
    <x v="1"/>
    <x v="5"/>
    <x v="8"/>
    <n v="12622"/>
    <n v="12"/>
    <n v="3232.31"/>
    <n v="1311.03"/>
    <x v="1"/>
  </r>
  <r>
    <x v="1"/>
    <x v="5"/>
    <x v="8"/>
    <n v="13527"/>
    <n v="360"/>
    <n v="55785.85"/>
    <n v="8388.83"/>
    <x v="2"/>
  </r>
  <r>
    <x v="1"/>
    <x v="5"/>
    <x v="8"/>
    <n v="13618"/>
    <n v="10"/>
    <n v="3344.94"/>
    <n v="1608.79"/>
    <x v="1"/>
  </r>
  <r>
    <x v="1"/>
    <x v="5"/>
    <x v="8"/>
    <n v="16024"/>
    <n v="106"/>
    <n v="43703.839999999997"/>
    <n v="12340.89"/>
    <x v="3"/>
  </r>
  <r>
    <x v="1"/>
    <x v="5"/>
    <x v="8"/>
    <n v="16650"/>
    <n v="15"/>
    <n v="2799.39"/>
    <n v="1643.78"/>
    <x v="0"/>
  </r>
  <r>
    <x v="1"/>
    <x v="5"/>
    <x v="8"/>
    <n v="17892"/>
    <n v="41"/>
    <n v="6265.25"/>
    <n v="1384.25"/>
    <x v="4"/>
  </r>
  <r>
    <x v="1"/>
    <x v="5"/>
    <x v="8"/>
    <n v="18342"/>
    <n v="27"/>
    <n v="21438.53"/>
    <n v="6486.99"/>
    <x v="3"/>
  </r>
  <r>
    <x v="1"/>
    <x v="5"/>
    <x v="8"/>
    <n v="20177"/>
    <n v="31"/>
    <n v="2782.59"/>
    <n v="1214.0899999999999"/>
    <x v="5"/>
  </r>
  <r>
    <x v="1"/>
    <x v="5"/>
    <x v="8"/>
    <n v="21179"/>
    <n v="41"/>
    <n v="4615.05"/>
    <n v="2404.54"/>
    <x v="0"/>
  </r>
  <r>
    <x v="1"/>
    <x v="5"/>
    <x v="8"/>
    <n v="21260"/>
    <n v="45"/>
    <n v="8468.9699999999993"/>
    <n v="2326.83"/>
    <x v="4"/>
  </r>
  <r>
    <x v="1"/>
    <x v="5"/>
    <x v="8"/>
    <n v="22317"/>
    <n v="7"/>
    <n v="651.78"/>
    <n v="302.31"/>
    <x v="5"/>
  </r>
  <r>
    <x v="1"/>
    <x v="5"/>
    <x v="8"/>
    <n v="22940"/>
    <n v="205"/>
    <n v="26241.77"/>
    <n v="8022.5"/>
    <x v="2"/>
  </r>
  <r>
    <x v="1"/>
    <x v="5"/>
    <x v="8"/>
    <n v="23178"/>
    <n v="253"/>
    <n v="41043.440000000002"/>
    <n v="10578.11"/>
    <x v="2"/>
  </r>
  <r>
    <x v="1"/>
    <x v="5"/>
    <x v="8"/>
    <n v="23600"/>
    <n v="536"/>
    <n v="61166.559999999998"/>
    <n v="15960.05"/>
    <x v="2"/>
  </r>
  <r>
    <x v="1"/>
    <x v="5"/>
    <x v="8"/>
    <n v="23756"/>
    <n v="87"/>
    <n v="17319.47"/>
    <n v="8056"/>
    <x v="1"/>
  </r>
  <r>
    <x v="1"/>
    <x v="5"/>
    <x v="8"/>
    <n v="24326"/>
    <n v="34"/>
    <n v="4871.17"/>
    <n v="1573.28"/>
    <x v="4"/>
  </r>
  <r>
    <x v="2"/>
    <x v="5"/>
    <x v="8"/>
    <n v="12184"/>
    <n v="92"/>
    <n v="14966.12"/>
    <n v="10419.33"/>
    <x v="0"/>
  </r>
  <r>
    <x v="2"/>
    <x v="5"/>
    <x v="8"/>
    <n v="12622"/>
    <n v="46"/>
    <n v="13455.94"/>
    <n v="8611.24"/>
    <x v="1"/>
  </r>
  <r>
    <x v="2"/>
    <x v="5"/>
    <x v="8"/>
    <n v="13527"/>
    <n v="374"/>
    <n v="67516.639999999999"/>
    <n v="19113.29"/>
    <x v="2"/>
  </r>
  <r>
    <x v="2"/>
    <x v="5"/>
    <x v="8"/>
    <n v="13618"/>
    <n v="20"/>
    <n v="6550.18"/>
    <n v="3568.32"/>
    <x v="1"/>
  </r>
  <r>
    <x v="2"/>
    <x v="5"/>
    <x v="8"/>
    <n v="16024"/>
    <n v="278"/>
    <n v="129029.36"/>
    <n v="43348.17"/>
    <x v="3"/>
  </r>
  <r>
    <x v="2"/>
    <x v="5"/>
    <x v="8"/>
    <n v="16650"/>
    <n v="18"/>
    <n v="3361.96"/>
    <n v="2132.94"/>
    <x v="0"/>
  </r>
  <r>
    <x v="2"/>
    <x v="5"/>
    <x v="8"/>
    <n v="17892"/>
    <n v="46"/>
    <n v="7193.11"/>
    <n v="2269.08"/>
    <x v="4"/>
  </r>
  <r>
    <x v="2"/>
    <x v="5"/>
    <x v="8"/>
    <n v="18342"/>
    <n v="162"/>
    <n v="151532.19"/>
    <n v="45455.48"/>
    <x v="3"/>
  </r>
  <r>
    <x v="2"/>
    <x v="5"/>
    <x v="8"/>
    <n v="20177"/>
    <n v="80"/>
    <n v="6884.33"/>
    <n v="3443.78"/>
    <x v="5"/>
  </r>
  <r>
    <x v="2"/>
    <x v="5"/>
    <x v="8"/>
    <n v="21179"/>
    <n v="41"/>
    <n v="4476.05"/>
    <n v="3481.94"/>
    <x v="0"/>
  </r>
  <r>
    <x v="2"/>
    <x v="5"/>
    <x v="8"/>
    <n v="21260"/>
    <n v="63"/>
    <n v="11950.71"/>
    <n v="3744.11"/>
    <x v="4"/>
  </r>
  <r>
    <x v="2"/>
    <x v="5"/>
    <x v="8"/>
    <n v="22317"/>
    <n v="34"/>
    <n v="2551.48"/>
    <n v="1033.6400000000001"/>
    <x v="5"/>
  </r>
  <r>
    <x v="2"/>
    <x v="5"/>
    <x v="8"/>
    <n v="22940"/>
    <n v="280"/>
    <n v="36712.79"/>
    <n v="10338.799999999999"/>
    <x v="2"/>
  </r>
  <r>
    <x v="2"/>
    <x v="5"/>
    <x v="8"/>
    <n v="23178"/>
    <n v="267"/>
    <n v="51980.35"/>
    <n v="11917.96"/>
    <x v="2"/>
  </r>
  <r>
    <x v="2"/>
    <x v="5"/>
    <x v="8"/>
    <n v="23600"/>
    <n v="648"/>
    <n v="67649.77"/>
    <n v="18269.169999999998"/>
    <x v="2"/>
  </r>
  <r>
    <x v="2"/>
    <x v="5"/>
    <x v="8"/>
    <n v="23756"/>
    <n v="59"/>
    <n v="9426.39"/>
    <n v="5373.7"/>
    <x v="1"/>
  </r>
  <r>
    <x v="2"/>
    <x v="5"/>
    <x v="8"/>
    <n v="24326"/>
    <n v="103"/>
    <n v="14973.24"/>
    <n v="3966.71"/>
    <x v="4"/>
  </r>
  <r>
    <x v="3"/>
    <x v="5"/>
    <x v="8"/>
    <n v="12184"/>
    <n v="73"/>
    <n v="8657.86"/>
    <n v="5560.7"/>
    <x v="0"/>
  </r>
  <r>
    <x v="3"/>
    <x v="5"/>
    <x v="8"/>
    <n v="12622"/>
    <n v="23"/>
    <n v="6301.25"/>
    <n v="2528.35"/>
    <x v="1"/>
  </r>
  <r>
    <x v="3"/>
    <x v="5"/>
    <x v="8"/>
    <n v="13527"/>
    <n v="262"/>
    <n v="39952.550000000003"/>
    <n v="7928.82"/>
    <x v="2"/>
  </r>
  <r>
    <x v="3"/>
    <x v="5"/>
    <x v="8"/>
    <n v="13618"/>
    <n v="13"/>
    <n v="4633.8"/>
    <n v="2438.23"/>
    <x v="1"/>
  </r>
  <r>
    <x v="3"/>
    <x v="5"/>
    <x v="8"/>
    <n v="16024"/>
    <n v="204"/>
    <n v="88177.93"/>
    <n v="21207.16"/>
    <x v="3"/>
  </r>
  <r>
    <x v="3"/>
    <x v="5"/>
    <x v="8"/>
    <n v="16650"/>
    <n v="30"/>
    <n v="3985.94"/>
    <n v="2376.69"/>
    <x v="0"/>
  </r>
  <r>
    <x v="3"/>
    <x v="5"/>
    <x v="8"/>
    <n v="17892"/>
    <n v="52"/>
    <n v="6945.17"/>
    <n v="1619.07"/>
    <x v="4"/>
  </r>
  <r>
    <x v="3"/>
    <x v="5"/>
    <x v="8"/>
    <n v="18342"/>
    <n v="78"/>
    <n v="66486.42"/>
    <n v="17752.060000000001"/>
    <x v="3"/>
  </r>
  <r>
    <x v="3"/>
    <x v="5"/>
    <x v="8"/>
    <n v="20177"/>
    <n v="75"/>
    <n v="7950.97"/>
    <n v="3349.17"/>
    <x v="5"/>
  </r>
  <r>
    <x v="3"/>
    <x v="5"/>
    <x v="8"/>
    <n v="21179"/>
    <n v="59"/>
    <n v="7229.61"/>
    <n v="3700.93"/>
    <x v="0"/>
  </r>
  <r>
    <x v="3"/>
    <x v="5"/>
    <x v="8"/>
    <n v="21260"/>
    <n v="67"/>
    <n v="11569.75"/>
    <n v="2519.92"/>
    <x v="4"/>
  </r>
  <r>
    <x v="3"/>
    <x v="5"/>
    <x v="8"/>
    <n v="22317"/>
    <n v="72"/>
    <n v="5359.5"/>
    <n v="1744.35"/>
    <x v="5"/>
  </r>
  <r>
    <x v="3"/>
    <x v="5"/>
    <x v="8"/>
    <n v="22940"/>
    <n v="294"/>
    <n v="37720.800000000003"/>
    <n v="6678.72"/>
    <x v="2"/>
  </r>
  <r>
    <x v="3"/>
    <x v="5"/>
    <x v="8"/>
    <n v="23178"/>
    <n v="312"/>
    <n v="57988.92"/>
    <n v="13434.27"/>
    <x v="2"/>
  </r>
  <r>
    <x v="3"/>
    <x v="5"/>
    <x v="8"/>
    <n v="23600"/>
    <n v="1328"/>
    <n v="149679"/>
    <n v="32033.26"/>
    <x v="2"/>
  </r>
  <r>
    <x v="3"/>
    <x v="5"/>
    <x v="8"/>
    <n v="23756"/>
    <n v="132"/>
    <n v="22617.73"/>
    <n v="11518.01"/>
    <x v="1"/>
  </r>
  <r>
    <x v="3"/>
    <x v="5"/>
    <x v="8"/>
    <n v="24326"/>
    <n v="51"/>
    <n v="7468.68"/>
    <n v="2176.48"/>
    <x v="4"/>
  </r>
  <r>
    <x v="0"/>
    <x v="5"/>
    <x v="9"/>
    <n v="12184"/>
    <n v="109"/>
    <n v="13695.87"/>
    <n v="5923.61"/>
    <x v="0"/>
  </r>
  <r>
    <x v="0"/>
    <x v="5"/>
    <x v="9"/>
    <n v="12622"/>
    <n v="31"/>
    <n v="9747.99"/>
    <n v="4482.3999999999996"/>
    <x v="1"/>
  </r>
  <r>
    <x v="0"/>
    <x v="5"/>
    <x v="9"/>
    <n v="13527"/>
    <n v="550"/>
    <n v="91098.62"/>
    <n v="14691.49"/>
    <x v="2"/>
  </r>
  <r>
    <x v="0"/>
    <x v="5"/>
    <x v="9"/>
    <n v="13618"/>
    <n v="16"/>
    <n v="6821.28"/>
    <n v="3249.18"/>
    <x v="1"/>
  </r>
  <r>
    <x v="0"/>
    <x v="5"/>
    <x v="9"/>
    <n v="16024"/>
    <n v="263"/>
    <n v="100862.76"/>
    <n v="28785.61"/>
    <x v="3"/>
  </r>
  <r>
    <x v="0"/>
    <x v="5"/>
    <x v="9"/>
    <n v="16650"/>
    <n v="46"/>
    <n v="6757.23"/>
    <n v="3656.84"/>
    <x v="0"/>
  </r>
  <r>
    <x v="0"/>
    <x v="5"/>
    <x v="9"/>
    <n v="17892"/>
    <n v="163"/>
    <n v="20729.86"/>
    <n v="6200.85"/>
    <x v="4"/>
  </r>
  <r>
    <x v="0"/>
    <x v="5"/>
    <x v="9"/>
    <n v="18342"/>
    <n v="261"/>
    <n v="201293.93"/>
    <n v="49858.83"/>
    <x v="3"/>
  </r>
  <r>
    <x v="0"/>
    <x v="5"/>
    <x v="9"/>
    <n v="20177"/>
    <n v="122"/>
    <n v="12333.98"/>
    <n v="4834.97"/>
    <x v="5"/>
  </r>
  <r>
    <x v="0"/>
    <x v="5"/>
    <x v="9"/>
    <n v="21179"/>
    <n v="46"/>
    <n v="5681.19"/>
    <n v="3070.21"/>
    <x v="0"/>
  </r>
  <r>
    <x v="0"/>
    <x v="5"/>
    <x v="9"/>
    <n v="21260"/>
    <n v="66"/>
    <n v="14321.93"/>
    <n v="4074.97"/>
    <x v="4"/>
  </r>
  <r>
    <x v="0"/>
    <x v="5"/>
    <x v="9"/>
    <n v="22317"/>
    <n v="124"/>
    <n v="9910.01"/>
    <n v="3735.97"/>
    <x v="5"/>
  </r>
  <r>
    <x v="0"/>
    <x v="5"/>
    <x v="9"/>
    <n v="22940"/>
    <n v="951"/>
    <n v="130436.81"/>
    <n v="26400.43"/>
    <x v="2"/>
  </r>
  <r>
    <x v="0"/>
    <x v="5"/>
    <x v="9"/>
    <n v="23178"/>
    <n v="469"/>
    <n v="76882.58"/>
    <n v="14043.01"/>
    <x v="2"/>
  </r>
  <r>
    <x v="0"/>
    <x v="5"/>
    <x v="9"/>
    <n v="23600"/>
    <n v="647"/>
    <n v="70374.240000000005"/>
    <n v="16694.97"/>
    <x v="2"/>
  </r>
  <r>
    <x v="0"/>
    <x v="5"/>
    <x v="9"/>
    <n v="23756"/>
    <n v="127"/>
    <n v="21692.98"/>
    <n v="9106.02"/>
    <x v="1"/>
  </r>
  <r>
    <x v="0"/>
    <x v="5"/>
    <x v="9"/>
    <n v="24326"/>
    <n v="103"/>
    <n v="16016.16"/>
    <n v="4332.47"/>
    <x v="4"/>
  </r>
  <r>
    <x v="1"/>
    <x v="5"/>
    <x v="9"/>
    <n v="12184"/>
    <n v="26"/>
    <n v="3503.56"/>
    <n v="1505.44"/>
    <x v="0"/>
  </r>
  <r>
    <x v="1"/>
    <x v="5"/>
    <x v="9"/>
    <n v="12622"/>
    <n v="8"/>
    <n v="1875.95"/>
    <n v="889.95"/>
    <x v="1"/>
  </r>
  <r>
    <x v="1"/>
    <x v="5"/>
    <x v="9"/>
    <n v="13527"/>
    <n v="170"/>
    <n v="27137.07"/>
    <n v="4985.79"/>
    <x v="2"/>
  </r>
  <r>
    <x v="1"/>
    <x v="5"/>
    <x v="9"/>
    <n v="13618"/>
    <n v="5"/>
    <n v="2186.6799999999998"/>
    <n v="940.68"/>
    <x v="1"/>
  </r>
  <r>
    <x v="1"/>
    <x v="5"/>
    <x v="9"/>
    <n v="16024"/>
    <n v="186"/>
    <n v="85901.13"/>
    <n v="27377.22"/>
    <x v="3"/>
  </r>
  <r>
    <x v="1"/>
    <x v="5"/>
    <x v="9"/>
    <n v="16650"/>
    <n v="13"/>
    <n v="1835.63"/>
    <n v="1044.3699999999999"/>
    <x v="0"/>
  </r>
  <r>
    <x v="1"/>
    <x v="5"/>
    <x v="9"/>
    <n v="17892"/>
    <n v="69"/>
    <n v="10395.35"/>
    <n v="2268.66"/>
    <x v="4"/>
  </r>
  <r>
    <x v="1"/>
    <x v="5"/>
    <x v="9"/>
    <n v="18342"/>
    <n v="14"/>
    <n v="12183.46"/>
    <n v="3458.61"/>
    <x v="3"/>
  </r>
  <r>
    <x v="1"/>
    <x v="5"/>
    <x v="9"/>
    <n v="20177"/>
    <n v="29"/>
    <n v="2836.4"/>
    <n v="1233.8900000000001"/>
    <x v="5"/>
  </r>
  <r>
    <x v="1"/>
    <x v="5"/>
    <x v="9"/>
    <n v="21179"/>
    <n v="48"/>
    <n v="6009.54"/>
    <n v="3030.87"/>
    <x v="0"/>
  </r>
  <r>
    <x v="1"/>
    <x v="5"/>
    <x v="9"/>
    <n v="21260"/>
    <n v="58"/>
    <n v="10370.56"/>
    <n v="2433.4499999999998"/>
    <x v="4"/>
  </r>
  <r>
    <x v="1"/>
    <x v="5"/>
    <x v="9"/>
    <n v="22317"/>
    <n v="19"/>
    <n v="1431.61"/>
    <n v="573.88"/>
    <x v="5"/>
  </r>
  <r>
    <x v="1"/>
    <x v="5"/>
    <x v="9"/>
    <n v="22940"/>
    <n v="86"/>
    <n v="10088.129999999999"/>
    <n v="2656.74"/>
    <x v="2"/>
  </r>
  <r>
    <x v="1"/>
    <x v="5"/>
    <x v="9"/>
    <n v="23178"/>
    <n v="179"/>
    <n v="31450.97"/>
    <n v="7425.75"/>
    <x v="2"/>
  </r>
  <r>
    <x v="1"/>
    <x v="5"/>
    <x v="9"/>
    <n v="23600"/>
    <n v="468"/>
    <n v="49503.46"/>
    <n v="12634.29"/>
    <x v="2"/>
  </r>
  <r>
    <x v="1"/>
    <x v="5"/>
    <x v="9"/>
    <n v="23756"/>
    <n v="56"/>
    <n v="11113.24"/>
    <n v="4469.26"/>
    <x v="1"/>
  </r>
  <r>
    <x v="1"/>
    <x v="5"/>
    <x v="9"/>
    <n v="24326"/>
    <n v="19"/>
    <n v="2851.84"/>
    <n v="899.44"/>
    <x v="4"/>
  </r>
  <r>
    <x v="2"/>
    <x v="5"/>
    <x v="9"/>
    <n v="12184"/>
    <n v="71"/>
    <n v="8689.33"/>
    <n v="6324.31"/>
    <x v="0"/>
  </r>
  <r>
    <x v="2"/>
    <x v="5"/>
    <x v="9"/>
    <n v="12622"/>
    <n v="56"/>
    <n v="18211.03"/>
    <n v="8766.6299999999992"/>
    <x v="1"/>
  </r>
  <r>
    <x v="2"/>
    <x v="5"/>
    <x v="9"/>
    <n v="13527"/>
    <n v="376"/>
    <n v="55305.21"/>
    <n v="11794.13"/>
    <x v="2"/>
  </r>
  <r>
    <x v="2"/>
    <x v="5"/>
    <x v="9"/>
    <n v="13618"/>
    <n v="13"/>
    <n v="4662.18"/>
    <n v="2455.8000000000002"/>
    <x v="1"/>
  </r>
  <r>
    <x v="2"/>
    <x v="5"/>
    <x v="9"/>
    <n v="16024"/>
    <n v="242"/>
    <n v="116940.77"/>
    <n v="31108.68"/>
    <x v="3"/>
  </r>
  <r>
    <x v="2"/>
    <x v="5"/>
    <x v="9"/>
    <n v="16650"/>
    <n v="29"/>
    <n v="5786.77"/>
    <n v="3338.78"/>
    <x v="0"/>
  </r>
  <r>
    <x v="2"/>
    <x v="5"/>
    <x v="9"/>
    <n v="17892"/>
    <n v="118"/>
    <n v="17919.18"/>
    <n v="4824.32"/>
    <x v="4"/>
  </r>
  <r>
    <x v="2"/>
    <x v="5"/>
    <x v="9"/>
    <n v="18342"/>
    <n v="186"/>
    <n v="148540.71"/>
    <n v="37819.620000000003"/>
    <x v="3"/>
  </r>
  <r>
    <x v="2"/>
    <x v="5"/>
    <x v="9"/>
    <n v="20177"/>
    <n v="41"/>
    <n v="3751.93"/>
    <n v="1674.32"/>
    <x v="5"/>
  </r>
  <r>
    <x v="2"/>
    <x v="5"/>
    <x v="9"/>
    <n v="21179"/>
    <n v="73"/>
    <n v="10914.48"/>
    <n v="7224.44"/>
    <x v="0"/>
  </r>
  <r>
    <x v="2"/>
    <x v="5"/>
    <x v="9"/>
    <n v="21260"/>
    <n v="64"/>
    <n v="13560.05"/>
    <n v="3647.29"/>
    <x v="4"/>
  </r>
  <r>
    <x v="2"/>
    <x v="5"/>
    <x v="9"/>
    <n v="22317"/>
    <n v="26"/>
    <n v="2180.2399999999998"/>
    <n v="847.73"/>
    <x v="5"/>
  </r>
  <r>
    <x v="2"/>
    <x v="5"/>
    <x v="9"/>
    <n v="22940"/>
    <n v="660"/>
    <n v="78882.539999999994"/>
    <n v="22561.89"/>
    <x v="2"/>
  </r>
  <r>
    <x v="2"/>
    <x v="5"/>
    <x v="9"/>
    <n v="23178"/>
    <n v="259"/>
    <n v="41597.75"/>
    <n v="11265.28"/>
    <x v="2"/>
  </r>
  <r>
    <x v="2"/>
    <x v="5"/>
    <x v="9"/>
    <n v="23600"/>
    <n v="576"/>
    <n v="60661.38"/>
    <n v="19672.240000000002"/>
    <x v="2"/>
  </r>
  <r>
    <x v="2"/>
    <x v="5"/>
    <x v="9"/>
    <n v="23756"/>
    <n v="90"/>
    <n v="15992.54"/>
    <n v="8745.7099999999991"/>
    <x v="1"/>
  </r>
  <r>
    <x v="2"/>
    <x v="5"/>
    <x v="9"/>
    <n v="24326"/>
    <n v="141"/>
    <n v="21759.69"/>
    <n v="5889.27"/>
    <x v="4"/>
  </r>
  <r>
    <x v="3"/>
    <x v="5"/>
    <x v="9"/>
    <n v="12184"/>
    <n v="83"/>
    <n v="10789.38"/>
    <n v="5488.47"/>
    <x v="0"/>
  </r>
  <r>
    <x v="3"/>
    <x v="5"/>
    <x v="9"/>
    <n v="12622"/>
    <n v="65"/>
    <n v="15641.26"/>
    <n v="7986.38"/>
    <x v="1"/>
  </r>
  <r>
    <x v="3"/>
    <x v="5"/>
    <x v="9"/>
    <n v="13527"/>
    <n v="535"/>
    <n v="79997.84"/>
    <n v="17854.78"/>
    <x v="2"/>
  </r>
  <r>
    <x v="3"/>
    <x v="5"/>
    <x v="9"/>
    <n v="13618"/>
    <n v="10"/>
    <n v="3675.45"/>
    <n v="1931.46"/>
    <x v="1"/>
  </r>
  <r>
    <x v="3"/>
    <x v="5"/>
    <x v="9"/>
    <n v="16024"/>
    <n v="142"/>
    <n v="61828.55"/>
    <n v="13927.43"/>
    <x v="3"/>
  </r>
  <r>
    <x v="3"/>
    <x v="5"/>
    <x v="9"/>
    <n v="16650"/>
    <n v="35"/>
    <n v="5212.5200000000004"/>
    <n v="2790.19"/>
    <x v="0"/>
  </r>
  <r>
    <x v="3"/>
    <x v="5"/>
    <x v="9"/>
    <n v="17892"/>
    <n v="51"/>
    <n v="6528.7"/>
    <n v="1592.75"/>
    <x v="4"/>
  </r>
  <r>
    <x v="3"/>
    <x v="5"/>
    <x v="9"/>
    <n v="18342"/>
    <n v="118"/>
    <n v="87512.67"/>
    <n v="18831.37"/>
    <x v="3"/>
  </r>
  <r>
    <x v="3"/>
    <x v="5"/>
    <x v="9"/>
    <n v="20177"/>
    <n v="58"/>
    <n v="5945.31"/>
    <n v="2534.63"/>
    <x v="5"/>
  </r>
  <r>
    <x v="3"/>
    <x v="5"/>
    <x v="9"/>
    <n v="21179"/>
    <n v="39"/>
    <n v="4255.99"/>
    <n v="2721.19"/>
    <x v="0"/>
  </r>
  <r>
    <x v="3"/>
    <x v="5"/>
    <x v="9"/>
    <n v="21260"/>
    <n v="82"/>
    <n v="17202.72"/>
    <n v="4226.4799999999996"/>
    <x v="4"/>
  </r>
  <r>
    <x v="3"/>
    <x v="5"/>
    <x v="9"/>
    <n v="22317"/>
    <n v="57"/>
    <n v="5547.47"/>
    <n v="2032.57"/>
    <x v="5"/>
  </r>
  <r>
    <x v="3"/>
    <x v="5"/>
    <x v="9"/>
    <n v="22940"/>
    <n v="711"/>
    <n v="83270.58"/>
    <n v="15436.5"/>
    <x v="2"/>
  </r>
  <r>
    <x v="3"/>
    <x v="5"/>
    <x v="9"/>
    <n v="23178"/>
    <n v="290"/>
    <n v="54534.35"/>
    <n v="11267.44"/>
    <x v="2"/>
  </r>
  <r>
    <x v="3"/>
    <x v="5"/>
    <x v="9"/>
    <n v="23600"/>
    <n v="695"/>
    <n v="71360.66"/>
    <n v="15541.43"/>
    <x v="2"/>
  </r>
  <r>
    <x v="3"/>
    <x v="5"/>
    <x v="9"/>
    <n v="23756"/>
    <n v="92"/>
    <n v="15433.06"/>
    <n v="7833.18"/>
    <x v="1"/>
  </r>
  <r>
    <x v="3"/>
    <x v="5"/>
    <x v="9"/>
    <n v="24326"/>
    <n v="135"/>
    <n v="19628.89"/>
    <n v="5587.67"/>
    <x v="4"/>
  </r>
  <r>
    <x v="0"/>
    <x v="5"/>
    <x v="10"/>
    <n v="12184"/>
    <n v="85"/>
    <n v="11982.18"/>
    <n v="5543.41"/>
    <x v="0"/>
  </r>
  <r>
    <x v="0"/>
    <x v="5"/>
    <x v="10"/>
    <n v="12622"/>
    <n v="61"/>
    <n v="16701.97"/>
    <n v="6745.76"/>
    <x v="1"/>
  </r>
  <r>
    <x v="0"/>
    <x v="5"/>
    <x v="10"/>
    <n v="13527"/>
    <n v="449"/>
    <n v="73998.95"/>
    <n v="15820"/>
    <x v="2"/>
  </r>
  <r>
    <x v="0"/>
    <x v="5"/>
    <x v="10"/>
    <n v="13618"/>
    <n v="22"/>
    <n v="8534.83"/>
    <n v="4393.0600000000004"/>
    <x v="1"/>
  </r>
  <r>
    <x v="0"/>
    <x v="5"/>
    <x v="10"/>
    <n v="16024"/>
    <n v="154"/>
    <n v="68461.7"/>
    <n v="21326.12"/>
    <x v="3"/>
  </r>
  <r>
    <x v="0"/>
    <x v="5"/>
    <x v="10"/>
    <n v="16650"/>
    <n v="50"/>
    <n v="8136.41"/>
    <n v="3904.78"/>
    <x v="0"/>
  </r>
  <r>
    <x v="0"/>
    <x v="5"/>
    <x v="10"/>
    <n v="17892"/>
    <n v="152"/>
    <n v="22831.27"/>
    <n v="6141.74"/>
    <x v="4"/>
  </r>
  <r>
    <x v="0"/>
    <x v="5"/>
    <x v="10"/>
    <n v="18342"/>
    <n v="198"/>
    <n v="160849.68"/>
    <n v="49555.17"/>
    <x v="3"/>
  </r>
  <r>
    <x v="0"/>
    <x v="5"/>
    <x v="10"/>
    <n v="20177"/>
    <n v="88"/>
    <n v="8561.57"/>
    <n v="3680.57"/>
    <x v="5"/>
  </r>
  <r>
    <x v="0"/>
    <x v="5"/>
    <x v="10"/>
    <n v="21179"/>
    <n v="30"/>
    <n v="4298.34"/>
    <n v="2163.81"/>
    <x v="0"/>
  </r>
  <r>
    <x v="0"/>
    <x v="5"/>
    <x v="10"/>
    <n v="21260"/>
    <n v="71"/>
    <n v="13367.71"/>
    <n v="3623.37"/>
    <x v="4"/>
  </r>
  <r>
    <x v="0"/>
    <x v="5"/>
    <x v="10"/>
    <n v="22317"/>
    <n v="86"/>
    <n v="7895.08"/>
    <n v="3052.66"/>
    <x v="5"/>
  </r>
  <r>
    <x v="0"/>
    <x v="5"/>
    <x v="10"/>
    <n v="22940"/>
    <n v="461"/>
    <n v="62488.25"/>
    <n v="10018.07"/>
    <x v="2"/>
  </r>
  <r>
    <x v="0"/>
    <x v="5"/>
    <x v="10"/>
    <n v="23178"/>
    <n v="329"/>
    <n v="52735.16"/>
    <n v="11192.17"/>
    <x v="2"/>
  </r>
  <r>
    <x v="0"/>
    <x v="5"/>
    <x v="10"/>
    <n v="23600"/>
    <n v="833"/>
    <n v="100144.13"/>
    <n v="24760.9"/>
    <x v="2"/>
  </r>
  <r>
    <x v="0"/>
    <x v="5"/>
    <x v="10"/>
    <n v="23756"/>
    <n v="52"/>
    <n v="9652.31"/>
    <n v="4099.99"/>
    <x v="1"/>
  </r>
  <r>
    <x v="0"/>
    <x v="5"/>
    <x v="10"/>
    <n v="24326"/>
    <n v="144"/>
    <n v="20766.02"/>
    <n v="6770.39"/>
    <x v="4"/>
  </r>
  <r>
    <x v="1"/>
    <x v="5"/>
    <x v="10"/>
    <n v="12184"/>
    <n v="25"/>
    <n v="2532.31"/>
    <n v="1158.81"/>
    <x v="0"/>
  </r>
  <r>
    <x v="1"/>
    <x v="5"/>
    <x v="10"/>
    <n v="12622"/>
    <n v="21"/>
    <n v="5326.96"/>
    <n v="2228.39"/>
    <x v="1"/>
  </r>
  <r>
    <x v="1"/>
    <x v="5"/>
    <x v="10"/>
    <n v="13527"/>
    <n v="154"/>
    <n v="23050.05"/>
    <n v="3635.06"/>
    <x v="2"/>
  </r>
  <r>
    <x v="1"/>
    <x v="5"/>
    <x v="10"/>
    <n v="13618"/>
    <n v="8"/>
    <n v="3361.89"/>
    <n v="1511.11"/>
    <x v="1"/>
  </r>
  <r>
    <x v="1"/>
    <x v="5"/>
    <x v="10"/>
    <n v="16024"/>
    <n v="129"/>
    <n v="58904.93"/>
    <n v="19774.97"/>
    <x v="3"/>
  </r>
  <r>
    <x v="1"/>
    <x v="5"/>
    <x v="10"/>
    <n v="16650"/>
    <n v="15"/>
    <n v="2910.42"/>
    <n v="1978"/>
    <x v="0"/>
  </r>
  <r>
    <x v="1"/>
    <x v="5"/>
    <x v="10"/>
    <n v="17892"/>
    <n v="40"/>
    <n v="5201.91"/>
    <n v="1079"/>
    <x v="4"/>
  </r>
  <r>
    <x v="1"/>
    <x v="5"/>
    <x v="10"/>
    <n v="18342"/>
    <n v="33"/>
    <n v="25793.91"/>
    <n v="6960.3"/>
    <x v="3"/>
  </r>
  <r>
    <x v="1"/>
    <x v="5"/>
    <x v="10"/>
    <n v="20177"/>
    <n v="24"/>
    <n v="2361.42"/>
    <n v="820.78"/>
    <x v="5"/>
  </r>
  <r>
    <x v="1"/>
    <x v="5"/>
    <x v="10"/>
    <n v="21179"/>
    <n v="28"/>
    <n v="3448.8"/>
    <n v="2200.5700000000002"/>
    <x v="0"/>
  </r>
  <r>
    <x v="1"/>
    <x v="5"/>
    <x v="10"/>
    <n v="21260"/>
    <n v="37"/>
    <n v="7679.22"/>
    <n v="1704.39"/>
    <x v="4"/>
  </r>
  <r>
    <x v="1"/>
    <x v="5"/>
    <x v="10"/>
    <n v="22317"/>
    <n v="9"/>
    <n v="818.16"/>
    <n v="381.04"/>
    <x v="5"/>
  </r>
  <r>
    <x v="1"/>
    <x v="5"/>
    <x v="10"/>
    <n v="22940"/>
    <n v="236"/>
    <n v="32161.35"/>
    <n v="7931.8"/>
    <x v="2"/>
  </r>
  <r>
    <x v="1"/>
    <x v="5"/>
    <x v="10"/>
    <n v="23178"/>
    <n v="139"/>
    <n v="22389.11"/>
    <n v="6452.62"/>
    <x v="2"/>
  </r>
  <r>
    <x v="1"/>
    <x v="5"/>
    <x v="10"/>
    <n v="23600"/>
    <n v="332"/>
    <n v="34100.36"/>
    <n v="8678.15"/>
    <x v="2"/>
  </r>
  <r>
    <x v="1"/>
    <x v="5"/>
    <x v="10"/>
    <n v="23756"/>
    <n v="84"/>
    <n v="14062.36"/>
    <n v="5455.57"/>
    <x v="1"/>
  </r>
  <r>
    <x v="1"/>
    <x v="5"/>
    <x v="10"/>
    <n v="24326"/>
    <n v="26"/>
    <n v="3334.16"/>
    <n v="902.55"/>
    <x v="4"/>
  </r>
  <r>
    <x v="2"/>
    <x v="5"/>
    <x v="10"/>
    <n v="12184"/>
    <n v="60"/>
    <n v="6041.41"/>
    <n v="4245.3900000000003"/>
    <x v="0"/>
  </r>
  <r>
    <x v="2"/>
    <x v="5"/>
    <x v="10"/>
    <n v="12622"/>
    <n v="35"/>
    <n v="9540.1299999999992"/>
    <n v="4659.93"/>
    <x v="1"/>
  </r>
  <r>
    <x v="2"/>
    <x v="5"/>
    <x v="10"/>
    <n v="13527"/>
    <n v="405"/>
    <n v="63725.69"/>
    <n v="15418.92"/>
    <x v="2"/>
  </r>
  <r>
    <x v="2"/>
    <x v="5"/>
    <x v="10"/>
    <n v="13618"/>
    <n v="29"/>
    <n v="10438.91"/>
    <n v="6020.33"/>
    <x v="1"/>
  </r>
  <r>
    <x v="2"/>
    <x v="5"/>
    <x v="10"/>
    <n v="16024"/>
    <n v="351"/>
    <n v="150155.53"/>
    <n v="50754.879999999997"/>
    <x v="3"/>
  </r>
  <r>
    <x v="2"/>
    <x v="5"/>
    <x v="10"/>
    <n v="16650"/>
    <n v="21"/>
    <n v="3326.22"/>
    <n v="2586.4899999999998"/>
    <x v="0"/>
  </r>
  <r>
    <x v="2"/>
    <x v="5"/>
    <x v="10"/>
    <n v="17892"/>
    <n v="100"/>
    <n v="15395.97"/>
    <n v="4572.54"/>
    <x v="4"/>
  </r>
  <r>
    <x v="2"/>
    <x v="5"/>
    <x v="10"/>
    <n v="18342"/>
    <n v="183"/>
    <n v="150060.51"/>
    <n v="50047.12"/>
    <x v="3"/>
  </r>
  <r>
    <x v="2"/>
    <x v="5"/>
    <x v="10"/>
    <n v="20177"/>
    <n v="40"/>
    <n v="4708.3900000000003"/>
    <n v="1991.29"/>
    <x v="5"/>
  </r>
  <r>
    <x v="2"/>
    <x v="5"/>
    <x v="10"/>
    <n v="21179"/>
    <n v="44"/>
    <n v="6331.04"/>
    <n v="3778.34"/>
    <x v="0"/>
  </r>
  <r>
    <x v="2"/>
    <x v="5"/>
    <x v="10"/>
    <n v="21260"/>
    <n v="54"/>
    <n v="10963.49"/>
    <n v="3446.22"/>
    <x v="4"/>
  </r>
  <r>
    <x v="2"/>
    <x v="5"/>
    <x v="10"/>
    <n v="22317"/>
    <n v="19"/>
    <n v="1637.9"/>
    <n v="730.36"/>
    <x v="5"/>
  </r>
  <r>
    <x v="2"/>
    <x v="5"/>
    <x v="10"/>
    <n v="22940"/>
    <n v="701"/>
    <n v="98850.38"/>
    <n v="25929.119999999999"/>
    <x v="2"/>
  </r>
  <r>
    <x v="2"/>
    <x v="5"/>
    <x v="10"/>
    <n v="23178"/>
    <n v="127"/>
    <n v="21680.86"/>
    <n v="5524.6"/>
    <x v="2"/>
  </r>
  <r>
    <x v="2"/>
    <x v="5"/>
    <x v="10"/>
    <n v="23600"/>
    <n v="776"/>
    <n v="90412.2"/>
    <n v="25302.05"/>
    <x v="2"/>
  </r>
  <r>
    <x v="2"/>
    <x v="5"/>
    <x v="10"/>
    <n v="23756"/>
    <n v="125"/>
    <n v="22369.38"/>
    <n v="12512.17"/>
    <x v="1"/>
  </r>
  <r>
    <x v="2"/>
    <x v="5"/>
    <x v="10"/>
    <n v="24326"/>
    <n v="76"/>
    <n v="9566.1200000000008"/>
    <n v="3053.58"/>
    <x v="4"/>
  </r>
  <r>
    <x v="3"/>
    <x v="5"/>
    <x v="10"/>
    <n v="12184"/>
    <n v="63"/>
    <n v="9003.64"/>
    <n v="4670.66"/>
    <x v="0"/>
  </r>
  <r>
    <x v="3"/>
    <x v="5"/>
    <x v="10"/>
    <n v="12622"/>
    <n v="24"/>
    <n v="5858.93"/>
    <n v="3028.19"/>
    <x v="1"/>
  </r>
  <r>
    <x v="3"/>
    <x v="5"/>
    <x v="10"/>
    <n v="13527"/>
    <n v="564"/>
    <n v="90390.99"/>
    <n v="16968.57"/>
    <x v="2"/>
  </r>
  <r>
    <x v="3"/>
    <x v="5"/>
    <x v="10"/>
    <n v="13618"/>
    <n v="19"/>
    <n v="8635.74"/>
    <n v="4549.0600000000004"/>
    <x v="1"/>
  </r>
  <r>
    <x v="3"/>
    <x v="5"/>
    <x v="10"/>
    <n v="16024"/>
    <n v="226"/>
    <n v="104004.25"/>
    <n v="23012.89"/>
    <x v="3"/>
  </r>
  <r>
    <x v="3"/>
    <x v="5"/>
    <x v="10"/>
    <n v="16650"/>
    <n v="39"/>
    <n v="7131.39"/>
    <n v="3809.58"/>
    <x v="0"/>
  </r>
  <r>
    <x v="3"/>
    <x v="5"/>
    <x v="10"/>
    <n v="17892"/>
    <n v="108"/>
    <n v="14703.2"/>
    <n v="3291.19"/>
    <x v="4"/>
  </r>
  <r>
    <x v="3"/>
    <x v="5"/>
    <x v="10"/>
    <n v="18342"/>
    <n v="210"/>
    <n v="180814.05"/>
    <n v="44239.78"/>
    <x v="3"/>
  </r>
  <r>
    <x v="3"/>
    <x v="5"/>
    <x v="10"/>
    <n v="20177"/>
    <n v="76"/>
    <n v="8104.45"/>
    <n v="2943.41"/>
    <x v="5"/>
  </r>
  <r>
    <x v="3"/>
    <x v="5"/>
    <x v="10"/>
    <n v="21179"/>
    <n v="60"/>
    <n v="6526.93"/>
    <n v="3550.24"/>
    <x v="0"/>
  </r>
  <r>
    <x v="3"/>
    <x v="5"/>
    <x v="10"/>
    <n v="21260"/>
    <n v="61"/>
    <n v="11628.62"/>
    <n v="2963.15"/>
    <x v="4"/>
  </r>
  <r>
    <x v="3"/>
    <x v="5"/>
    <x v="10"/>
    <n v="22317"/>
    <n v="54"/>
    <n v="4143.87"/>
    <n v="1659.47"/>
    <x v="5"/>
  </r>
  <r>
    <x v="3"/>
    <x v="5"/>
    <x v="10"/>
    <n v="22940"/>
    <n v="560"/>
    <n v="67342.080000000002"/>
    <n v="14959.14"/>
    <x v="2"/>
  </r>
  <r>
    <x v="3"/>
    <x v="5"/>
    <x v="10"/>
    <n v="23178"/>
    <n v="308"/>
    <n v="57270.61"/>
    <n v="11803.25"/>
    <x v="2"/>
  </r>
  <r>
    <x v="3"/>
    <x v="5"/>
    <x v="10"/>
    <n v="23600"/>
    <n v="1362"/>
    <n v="145733.32999999999"/>
    <n v="31756.03"/>
    <x v="2"/>
  </r>
  <r>
    <x v="3"/>
    <x v="5"/>
    <x v="10"/>
    <n v="23756"/>
    <n v="104"/>
    <n v="17915.34"/>
    <n v="9659.93"/>
    <x v="1"/>
  </r>
  <r>
    <x v="3"/>
    <x v="5"/>
    <x v="10"/>
    <n v="24326"/>
    <n v="144"/>
    <n v="19385.88"/>
    <n v="4549.33"/>
    <x v="4"/>
  </r>
  <r>
    <x v="0"/>
    <x v="5"/>
    <x v="11"/>
    <n v="12184"/>
    <n v="110"/>
    <n v="15552.9"/>
    <n v="7838.7"/>
    <x v="0"/>
  </r>
  <r>
    <x v="0"/>
    <x v="5"/>
    <x v="11"/>
    <n v="12622"/>
    <n v="57"/>
    <n v="16241.27"/>
    <n v="7430.12"/>
    <x v="1"/>
  </r>
  <r>
    <x v="0"/>
    <x v="5"/>
    <x v="11"/>
    <n v="13527"/>
    <n v="579"/>
    <n v="88748.02"/>
    <n v="15526.89"/>
    <x v="2"/>
  </r>
  <r>
    <x v="0"/>
    <x v="5"/>
    <x v="11"/>
    <n v="13618"/>
    <n v="15"/>
    <n v="4859.47"/>
    <n v="2550.46"/>
    <x v="1"/>
  </r>
  <r>
    <x v="0"/>
    <x v="5"/>
    <x v="11"/>
    <n v="16024"/>
    <n v="228"/>
    <n v="96875.82"/>
    <n v="26059.439999999999"/>
    <x v="3"/>
  </r>
  <r>
    <x v="0"/>
    <x v="5"/>
    <x v="11"/>
    <n v="16650"/>
    <n v="76"/>
    <n v="12621.11"/>
    <n v="5379.09"/>
    <x v="0"/>
  </r>
  <r>
    <x v="0"/>
    <x v="5"/>
    <x v="11"/>
    <n v="17892"/>
    <n v="137"/>
    <n v="20958.740000000002"/>
    <n v="6103.46"/>
    <x v="4"/>
  </r>
  <r>
    <x v="0"/>
    <x v="5"/>
    <x v="11"/>
    <n v="18342"/>
    <n v="137"/>
    <n v="121118.53"/>
    <n v="32711.35"/>
    <x v="3"/>
  </r>
  <r>
    <x v="0"/>
    <x v="5"/>
    <x v="11"/>
    <n v="20177"/>
    <n v="115"/>
    <n v="12145.11"/>
    <n v="4751.6400000000003"/>
    <x v="5"/>
  </r>
  <r>
    <x v="0"/>
    <x v="5"/>
    <x v="11"/>
    <n v="21179"/>
    <n v="47"/>
    <n v="5269.42"/>
    <n v="2781.61"/>
    <x v="0"/>
  </r>
  <r>
    <x v="0"/>
    <x v="5"/>
    <x v="11"/>
    <n v="21260"/>
    <n v="95"/>
    <n v="18936.73"/>
    <n v="5844.88"/>
    <x v="4"/>
  </r>
  <r>
    <x v="0"/>
    <x v="5"/>
    <x v="11"/>
    <n v="22317"/>
    <n v="49"/>
    <n v="3797.54"/>
    <n v="1304.18"/>
    <x v="5"/>
  </r>
  <r>
    <x v="0"/>
    <x v="5"/>
    <x v="11"/>
    <n v="22940"/>
    <n v="882"/>
    <n v="119177.64"/>
    <n v="23876.54"/>
    <x v="2"/>
  </r>
  <r>
    <x v="0"/>
    <x v="5"/>
    <x v="11"/>
    <n v="23178"/>
    <n v="369"/>
    <n v="65287.77"/>
    <n v="11601.74"/>
    <x v="2"/>
  </r>
  <r>
    <x v="0"/>
    <x v="5"/>
    <x v="11"/>
    <n v="23600"/>
    <n v="493"/>
    <n v="52476.62"/>
    <n v="14179.45"/>
    <x v="2"/>
  </r>
  <r>
    <x v="0"/>
    <x v="5"/>
    <x v="11"/>
    <n v="23756"/>
    <n v="95"/>
    <n v="20345.84"/>
    <n v="9034.8700000000008"/>
    <x v="1"/>
  </r>
  <r>
    <x v="0"/>
    <x v="5"/>
    <x v="11"/>
    <n v="24326"/>
    <n v="112"/>
    <n v="17054.71"/>
    <n v="4343.8"/>
    <x v="4"/>
  </r>
  <r>
    <x v="1"/>
    <x v="5"/>
    <x v="11"/>
    <n v="12184"/>
    <n v="23"/>
    <n v="2278.96"/>
    <n v="1224.7"/>
    <x v="0"/>
  </r>
  <r>
    <x v="1"/>
    <x v="5"/>
    <x v="11"/>
    <n v="12622"/>
    <n v="11"/>
    <n v="3036.28"/>
    <n v="1376.24"/>
    <x v="1"/>
  </r>
  <r>
    <x v="1"/>
    <x v="5"/>
    <x v="11"/>
    <n v="13527"/>
    <n v="343"/>
    <n v="55412.62"/>
    <n v="10175.32"/>
    <x v="2"/>
  </r>
  <r>
    <x v="1"/>
    <x v="5"/>
    <x v="11"/>
    <n v="13618"/>
    <n v="7"/>
    <n v="2287.59"/>
    <n v="880.23"/>
    <x v="1"/>
  </r>
  <r>
    <x v="1"/>
    <x v="5"/>
    <x v="11"/>
    <n v="16024"/>
    <n v="198"/>
    <n v="83127.75"/>
    <n v="22171.200000000001"/>
    <x v="3"/>
  </r>
  <r>
    <x v="1"/>
    <x v="5"/>
    <x v="11"/>
    <n v="16650"/>
    <n v="15"/>
    <n v="2267.08"/>
    <n v="1359.68"/>
    <x v="0"/>
  </r>
  <r>
    <x v="1"/>
    <x v="5"/>
    <x v="11"/>
    <n v="17892"/>
    <n v="75"/>
    <n v="9493.11"/>
    <n v="1999.94"/>
    <x v="4"/>
  </r>
  <r>
    <x v="1"/>
    <x v="5"/>
    <x v="11"/>
    <n v="18342"/>
    <n v="23"/>
    <n v="17630.23"/>
    <n v="5629.63"/>
    <x v="3"/>
  </r>
  <r>
    <x v="1"/>
    <x v="5"/>
    <x v="11"/>
    <n v="20177"/>
    <n v="14"/>
    <n v="1438.81"/>
    <n v="527.57000000000005"/>
    <x v="5"/>
  </r>
  <r>
    <x v="1"/>
    <x v="5"/>
    <x v="11"/>
    <n v="21179"/>
    <n v="22"/>
    <n v="2630.47"/>
    <n v="1555.85"/>
    <x v="0"/>
  </r>
  <r>
    <x v="1"/>
    <x v="5"/>
    <x v="11"/>
    <n v="21260"/>
    <n v="29"/>
    <n v="5368.33"/>
    <n v="1157.5"/>
    <x v="4"/>
  </r>
  <r>
    <x v="1"/>
    <x v="5"/>
    <x v="11"/>
    <n v="22317"/>
    <n v="9"/>
    <n v="903.47"/>
    <n v="468.99"/>
    <x v="5"/>
  </r>
  <r>
    <x v="1"/>
    <x v="5"/>
    <x v="11"/>
    <n v="22940"/>
    <n v="155"/>
    <n v="22430.13"/>
    <n v="5070.59"/>
    <x v="2"/>
  </r>
  <r>
    <x v="1"/>
    <x v="5"/>
    <x v="11"/>
    <n v="23178"/>
    <n v="206"/>
    <n v="34118.019999999997"/>
    <n v="8838.34"/>
    <x v="2"/>
  </r>
  <r>
    <x v="1"/>
    <x v="5"/>
    <x v="11"/>
    <n v="23600"/>
    <n v="621"/>
    <n v="71046.45"/>
    <n v="21483.72"/>
    <x v="2"/>
  </r>
  <r>
    <x v="1"/>
    <x v="5"/>
    <x v="11"/>
    <n v="23756"/>
    <n v="81"/>
    <n v="15199.31"/>
    <n v="7446.82"/>
    <x v="1"/>
  </r>
  <r>
    <x v="1"/>
    <x v="5"/>
    <x v="11"/>
    <n v="24326"/>
    <n v="24"/>
    <n v="3573.29"/>
    <n v="944.24"/>
    <x v="4"/>
  </r>
  <r>
    <x v="2"/>
    <x v="5"/>
    <x v="11"/>
    <n v="12184"/>
    <n v="62"/>
    <n v="7910.97"/>
    <n v="6004.31"/>
    <x v="0"/>
  </r>
  <r>
    <x v="2"/>
    <x v="5"/>
    <x v="11"/>
    <n v="12622"/>
    <n v="40"/>
    <n v="9676.4599999999991"/>
    <n v="5935.74"/>
    <x v="1"/>
  </r>
  <r>
    <x v="2"/>
    <x v="5"/>
    <x v="11"/>
    <n v="13527"/>
    <n v="179"/>
    <n v="27180.51"/>
    <n v="6085.03"/>
    <x v="2"/>
  </r>
  <r>
    <x v="2"/>
    <x v="5"/>
    <x v="11"/>
    <n v="13618"/>
    <n v="18"/>
    <n v="6128.32"/>
    <n v="3690.68"/>
    <x v="1"/>
  </r>
  <r>
    <x v="2"/>
    <x v="5"/>
    <x v="11"/>
    <n v="16024"/>
    <n v="168"/>
    <n v="79903.78"/>
    <n v="26164.33"/>
    <x v="3"/>
  </r>
  <r>
    <x v="2"/>
    <x v="5"/>
    <x v="11"/>
    <n v="16650"/>
    <n v="46"/>
    <n v="7482.62"/>
    <n v="5062.49"/>
    <x v="0"/>
  </r>
  <r>
    <x v="2"/>
    <x v="5"/>
    <x v="11"/>
    <n v="17892"/>
    <n v="79"/>
    <n v="12314.26"/>
    <n v="4173.8500000000004"/>
    <x v="4"/>
  </r>
  <r>
    <x v="2"/>
    <x v="5"/>
    <x v="11"/>
    <n v="18342"/>
    <n v="102"/>
    <n v="87167.52"/>
    <n v="29140.09"/>
    <x v="3"/>
  </r>
  <r>
    <x v="2"/>
    <x v="5"/>
    <x v="11"/>
    <n v="20177"/>
    <n v="39"/>
    <n v="4369.28"/>
    <n v="2135.2600000000002"/>
    <x v="5"/>
  </r>
  <r>
    <x v="2"/>
    <x v="5"/>
    <x v="11"/>
    <n v="21179"/>
    <n v="60"/>
    <n v="7941.21"/>
    <n v="5305.02"/>
    <x v="0"/>
  </r>
  <r>
    <x v="2"/>
    <x v="5"/>
    <x v="11"/>
    <n v="21260"/>
    <n v="30"/>
    <n v="6000.96"/>
    <n v="1563.46"/>
    <x v="4"/>
  </r>
  <r>
    <x v="2"/>
    <x v="5"/>
    <x v="11"/>
    <n v="22317"/>
    <n v="51"/>
    <n v="4395.25"/>
    <n v="2167.0500000000002"/>
    <x v="5"/>
  </r>
  <r>
    <x v="2"/>
    <x v="5"/>
    <x v="11"/>
    <n v="22940"/>
    <n v="603"/>
    <n v="83419.100000000006"/>
    <n v="17888.3"/>
    <x v="2"/>
  </r>
  <r>
    <x v="2"/>
    <x v="5"/>
    <x v="11"/>
    <n v="23178"/>
    <n v="170"/>
    <n v="32864.35"/>
    <n v="7647.89"/>
    <x v="2"/>
  </r>
  <r>
    <x v="2"/>
    <x v="5"/>
    <x v="11"/>
    <n v="23600"/>
    <n v="483"/>
    <n v="57900.84"/>
    <n v="19030.98"/>
    <x v="2"/>
  </r>
  <r>
    <x v="2"/>
    <x v="5"/>
    <x v="11"/>
    <n v="23756"/>
    <n v="131"/>
    <n v="20742.34"/>
    <n v="11230.39"/>
    <x v="1"/>
  </r>
  <r>
    <x v="2"/>
    <x v="5"/>
    <x v="11"/>
    <n v="24326"/>
    <n v="127"/>
    <n v="19845.72"/>
    <n v="5645.77"/>
    <x v="4"/>
  </r>
  <r>
    <x v="3"/>
    <x v="5"/>
    <x v="11"/>
    <n v="12184"/>
    <n v="35"/>
    <n v="5055.3599999999997"/>
    <n v="2993.89"/>
    <x v="0"/>
  </r>
  <r>
    <x v="3"/>
    <x v="5"/>
    <x v="11"/>
    <n v="12622"/>
    <n v="67"/>
    <n v="20219.29"/>
    <n v="10234.700000000001"/>
    <x v="1"/>
  </r>
  <r>
    <x v="3"/>
    <x v="5"/>
    <x v="11"/>
    <n v="13527"/>
    <n v="643"/>
    <n v="99006.57"/>
    <n v="20121.34"/>
    <x v="2"/>
  </r>
  <r>
    <x v="3"/>
    <x v="5"/>
    <x v="11"/>
    <n v="13618"/>
    <n v="10"/>
    <n v="3928.29"/>
    <n v="1892.87"/>
    <x v="1"/>
  </r>
  <r>
    <x v="3"/>
    <x v="5"/>
    <x v="11"/>
    <n v="16024"/>
    <n v="228"/>
    <n v="97200.16"/>
    <n v="22392.83"/>
    <x v="3"/>
  </r>
  <r>
    <x v="3"/>
    <x v="5"/>
    <x v="11"/>
    <n v="16650"/>
    <n v="51"/>
    <n v="8805.2099999999991"/>
    <n v="4600.01"/>
    <x v="0"/>
  </r>
  <r>
    <x v="3"/>
    <x v="5"/>
    <x v="11"/>
    <n v="17892"/>
    <n v="74"/>
    <n v="9760.64"/>
    <n v="2251.16"/>
    <x v="4"/>
  </r>
  <r>
    <x v="3"/>
    <x v="5"/>
    <x v="11"/>
    <n v="18342"/>
    <n v="85"/>
    <n v="63995.56"/>
    <n v="17684.810000000001"/>
    <x v="3"/>
  </r>
  <r>
    <x v="3"/>
    <x v="5"/>
    <x v="11"/>
    <n v="20177"/>
    <n v="80"/>
    <n v="8136.53"/>
    <n v="2735.11"/>
    <x v="5"/>
  </r>
  <r>
    <x v="3"/>
    <x v="5"/>
    <x v="11"/>
    <n v="21179"/>
    <n v="24"/>
    <n v="2576.27"/>
    <n v="1694.02"/>
    <x v="0"/>
  </r>
  <r>
    <x v="3"/>
    <x v="5"/>
    <x v="11"/>
    <n v="21260"/>
    <n v="63"/>
    <n v="12823.47"/>
    <n v="3653.83"/>
    <x v="4"/>
  </r>
  <r>
    <x v="3"/>
    <x v="5"/>
    <x v="11"/>
    <n v="22317"/>
    <n v="47"/>
    <n v="4440.99"/>
    <n v="1637.02"/>
    <x v="5"/>
  </r>
  <r>
    <x v="3"/>
    <x v="5"/>
    <x v="11"/>
    <n v="22940"/>
    <n v="274"/>
    <n v="34466.57"/>
    <n v="7891.85"/>
    <x v="2"/>
  </r>
  <r>
    <x v="3"/>
    <x v="5"/>
    <x v="11"/>
    <n v="23178"/>
    <n v="202"/>
    <n v="36981.449999999997"/>
    <n v="6915.74"/>
    <x v="2"/>
  </r>
  <r>
    <x v="3"/>
    <x v="5"/>
    <x v="11"/>
    <n v="23600"/>
    <n v="1215"/>
    <n v="140414.9"/>
    <n v="34077.81"/>
    <x v="2"/>
  </r>
  <r>
    <x v="3"/>
    <x v="5"/>
    <x v="11"/>
    <n v="23756"/>
    <n v="123"/>
    <n v="25546.79"/>
    <n v="11847.68"/>
    <x v="1"/>
  </r>
  <r>
    <x v="3"/>
    <x v="5"/>
    <x v="11"/>
    <n v="24326"/>
    <n v="83"/>
    <n v="12668.55"/>
    <n v="3597.46"/>
    <x v="4"/>
  </r>
  <r>
    <x v="0"/>
    <x v="6"/>
    <x v="0"/>
    <n v="12184"/>
    <n v="101"/>
    <n v="10702.54"/>
    <n v="5410.15"/>
    <x v="0"/>
  </r>
  <r>
    <x v="0"/>
    <x v="6"/>
    <x v="0"/>
    <n v="12622"/>
    <n v="34"/>
    <n v="8617.75"/>
    <n v="3907.5"/>
    <x v="1"/>
  </r>
  <r>
    <x v="0"/>
    <x v="6"/>
    <x v="0"/>
    <n v="13527"/>
    <n v="785"/>
    <n v="123124.25"/>
    <n v="23876.880000000001"/>
    <x v="2"/>
  </r>
  <r>
    <x v="0"/>
    <x v="6"/>
    <x v="0"/>
    <n v="13618"/>
    <n v="23"/>
    <n v="9764.3700000000008"/>
    <n v="4439.3100000000004"/>
    <x v="1"/>
  </r>
  <r>
    <x v="0"/>
    <x v="6"/>
    <x v="0"/>
    <n v="16024"/>
    <n v="324"/>
    <n v="125437.42"/>
    <n v="37340.080000000002"/>
    <x v="3"/>
  </r>
  <r>
    <x v="0"/>
    <x v="6"/>
    <x v="0"/>
    <n v="16650"/>
    <n v="37"/>
    <n v="6549.01"/>
    <n v="2897.2"/>
    <x v="0"/>
  </r>
  <r>
    <x v="0"/>
    <x v="6"/>
    <x v="0"/>
    <n v="17892"/>
    <n v="172"/>
    <n v="23028.639999999999"/>
    <n v="6535.58"/>
    <x v="4"/>
  </r>
  <r>
    <x v="0"/>
    <x v="6"/>
    <x v="0"/>
    <n v="18342"/>
    <n v="121"/>
    <n v="113242.45"/>
    <n v="33210.69"/>
    <x v="3"/>
  </r>
  <r>
    <x v="0"/>
    <x v="6"/>
    <x v="0"/>
    <n v="20177"/>
    <n v="88"/>
    <n v="9940.76"/>
    <n v="3996.69"/>
    <x v="5"/>
  </r>
  <r>
    <x v="0"/>
    <x v="6"/>
    <x v="0"/>
    <n v="21179"/>
    <n v="38"/>
    <n v="4533.88"/>
    <n v="2427.21"/>
    <x v="0"/>
  </r>
  <r>
    <x v="0"/>
    <x v="6"/>
    <x v="0"/>
    <n v="21260"/>
    <n v="45"/>
    <n v="8901.0400000000009"/>
    <n v="2917.65"/>
    <x v="4"/>
  </r>
  <r>
    <x v="0"/>
    <x v="6"/>
    <x v="0"/>
    <n v="22317"/>
    <n v="86"/>
    <n v="7987.61"/>
    <n v="3108.15"/>
    <x v="5"/>
  </r>
  <r>
    <x v="0"/>
    <x v="6"/>
    <x v="0"/>
    <n v="22940"/>
    <n v="624"/>
    <n v="73775.520000000004"/>
    <n v="13524.27"/>
    <x v="2"/>
  </r>
  <r>
    <x v="0"/>
    <x v="6"/>
    <x v="0"/>
    <n v="23178"/>
    <n v="482"/>
    <n v="77380.149999999994"/>
    <n v="13874.78"/>
    <x v="2"/>
  </r>
  <r>
    <x v="0"/>
    <x v="6"/>
    <x v="0"/>
    <n v="23600"/>
    <n v="500"/>
    <n v="57329.65"/>
    <n v="11748.68"/>
    <x v="2"/>
  </r>
  <r>
    <x v="0"/>
    <x v="6"/>
    <x v="0"/>
    <n v="23756"/>
    <n v="114"/>
    <n v="17624.04"/>
    <n v="8612.56"/>
    <x v="1"/>
  </r>
  <r>
    <x v="0"/>
    <x v="6"/>
    <x v="0"/>
    <n v="24326"/>
    <n v="159"/>
    <n v="22134.39"/>
    <n v="6311.76"/>
    <x v="4"/>
  </r>
  <r>
    <x v="1"/>
    <x v="6"/>
    <x v="0"/>
    <n v="12184"/>
    <n v="15"/>
    <n v="1754.61"/>
    <n v="835.68"/>
    <x v="0"/>
  </r>
  <r>
    <x v="1"/>
    <x v="6"/>
    <x v="0"/>
    <n v="12622"/>
    <n v="19"/>
    <n v="5373.41"/>
    <n v="2216.91"/>
    <x v="1"/>
  </r>
  <r>
    <x v="1"/>
    <x v="6"/>
    <x v="0"/>
    <n v="13527"/>
    <n v="219"/>
    <n v="35245.21"/>
    <n v="6092.75"/>
    <x v="2"/>
  </r>
  <r>
    <x v="1"/>
    <x v="6"/>
    <x v="0"/>
    <n v="13618"/>
    <n v="4"/>
    <n v="1280.3599999999999"/>
    <n v="511.98"/>
    <x v="1"/>
  </r>
  <r>
    <x v="1"/>
    <x v="6"/>
    <x v="0"/>
    <n v="16024"/>
    <n v="226"/>
    <n v="101392.82"/>
    <n v="31374.45"/>
    <x v="3"/>
  </r>
  <r>
    <x v="1"/>
    <x v="6"/>
    <x v="0"/>
    <n v="16650"/>
    <n v="34"/>
    <n v="6201.94"/>
    <n v="3577.2"/>
    <x v="0"/>
  </r>
  <r>
    <x v="1"/>
    <x v="6"/>
    <x v="0"/>
    <n v="17892"/>
    <n v="86"/>
    <n v="12588.38"/>
    <n v="2731.01"/>
    <x v="4"/>
  </r>
  <r>
    <x v="1"/>
    <x v="6"/>
    <x v="0"/>
    <n v="18342"/>
    <n v="18"/>
    <n v="15074.46"/>
    <n v="4682.57"/>
    <x v="3"/>
  </r>
  <r>
    <x v="1"/>
    <x v="6"/>
    <x v="0"/>
    <n v="20177"/>
    <n v="34"/>
    <n v="3921.2"/>
    <n v="1386.74"/>
    <x v="5"/>
  </r>
  <r>
    <x v="1"/>
    <x v="6"/>
    <x v="0"/>
    <n v="21179"/>
    <n v="44"/>
    <n v="5496.91"/>
    <n v="2883.52"/>
    <x v="0"/>
  </r>
  <r>
    <x v="1"/>
    <x v="6"/>
    <x v="0"/>
    <n v="21260"/>
    <n v="62"/>
    <n v="12010.27"/>
    <n v="2968.79"/>
    <x v="4"/>
  </r>
  <r>
    <x v="1"/>
    <x v="6"/>
    <x v="0"/>
    <n v="22317"/>
    <n v="12"/>
    <n v="992.89"/>
    <n v="435.29"/>
    <x v="5"/>
  </r>
  <r>
    <x v="1"/>
    <x v="6"/>
    <x v="0"/>
    <n v="22940"/>
    <n v="95"/>
    <n v="13666.15"/>
    <n v="3232.11"/>
    <x v="2"/>
  </r>
  <r>
    <x v="1"/>
    <x v="6"/>
    <x v="0"/>
    <n v="23178"/>
    <n v="188"/>
    <n v="30494.05"/>
    <n v="6710.03"/>
    <x v="2"/>
  </r>
  <r>
    <x v="1"/>
    <x v="6"/>
    <x v="0"/>
    <n v="23600"/>
    <n v="572"/>
    <n v="58541.74"/>
    <n v="16432.73"/>
    <x v="2"/>
  </r>
  <r>
    <x v="1"/>
    <x v="6"/>
    <x v="0"/>
    <n v="23756"/>
    <n v="72"/>
    <n v="12210.62"/>
    <n v="4839.8500000000004"/>
    <x v="1"/>
  </r>
  <r>
    <x v="1"/>
    <x v="6"/>
    <x v="0"/>
    <n v="24326"/>
    <n v="41"/>
    <n v="6199.92"/>
    <n v="1959.02"/>
    <x v="4"/>
  </r>
  <r>
    <x v="2"/>
    <x v="6"/>
    <x v="0"/>
    <n v="12184"/>
    <n v="61"/>
    <n v="7319.56"/>
    <n v="5356.46"/>
    <x v="0"/>
  </r>
  <r>
    <x v="2"/>
    <x v="6"/>
    <x v="0"/>
    <n v="12622"/>
    <n v="33"/>
    <n v="8225.34"/>
    <n v="4659.6899999999996"/>
    <x v="1"/>
  </r>
  <r>
    <x v="2"/>
    <x v="6"/>
    <x v="0"/>
    <n v="13527"/>
    <n v="236"/>
    <n v="36585.78"/>
    <n v="7874.11"/>
    <x v="2"/>
  </r>
  <r>
    <x v="2"/>
    <x v="6"/>
    <x v="0"/>
    <n v="13618"/>
    <n v="22"/>
    <n v="7495.61"/>
    <n v="4146.33"/>
    <x v="1"/>
  </r>
  <r>
    <x v="2"/>
    <x v="6"/>
    <x v="0"/>
    <n v="16024"/>
    <n v="131"/>
    <n v="55451.42"/>
    <n v="14265.01"/>
    <x v="3"/>
  </r>
  <r>
    <x v="2"/>
    <x v="6"/>
    <x v="0"/>
    <n v="16650"/>
    <n v="29"/>
    <n v="3733.63"/>
    <n v="2925.4"/>
    <x v="0"/>
  </r>
  <r>
    <x v="2"/>
    <x v="6"/>
    <x v="0"/>
    <n v="17892"/>
    <n v="126"/>
    <n v="18568.21"/>
    <n v="5905.31"/>
    <x v="4"/>
  </r>
  <r>
    <x v="2"/>
    <x v="6"/>
    <x v="0"/>
    <n v="18342"/>
    <n v="68"/>
    <n v="57791.68"/>
    <n v="16471.37"/>
    <x v="3"/>
  </r>
  <r>
    <x v="2"/>
    <x v="6"/>
    <x v="0"/>
    <n v="20177"/>
    <n v="39"/>
    <n v="4049.64"/>
    <n v="1658.2"/>
    <x v="5"/>
  </r>
  <r>
    <x v="2"/>
    <x v="6"/>
    <x v="0"/>
    <n v="21179"/>
    <n v="25"/>
    <n v="3389.21"/>
    <n v="2024.83"/>
    <x v="0"/>
  </r>
  <r>
    <x v="2"/>
    <x v="6"/>
    <x v="0"/>
    <n v="21260"/>
    <n v="66"/>
    <n v="12404"/>
    <n v="4211.59"/>
    <x v="4"/>
  </r>
  <r>
    <x v="2"/>
    <x v="6"/>
    <x v="0"/>
    <n v="22317"/>
    <n v="36"/>
    <n v="2822.65"/>
    <n v="1262"/>
    <x v="5"/>
  </r>
  <r>
    <x v="2"/>
    <x v="6"/>
    <x v="0"/>
    <n v="22940"/>
    <n v="605"/>
    <n v="83974.43"/>
    <n v="20288.29"/>
    <x v="2"/>
  </r>
  <r>
    <x v="2"/>
    <x v="6"/>
    <x v="0"/>
    <n v="23178"/>
    <n v="159"/>
    <n v="29954.41"/>
    <n v="7925.23"/>
    <x v="2"/>
  </r>
  <r>
    <x v="2"/>
    <x v="6"/>
    <x v="0"/>
    <n v="23600"/>
    <n v="543"/>
    <n v="60477"/>
    <n v="15916.11"/>
    <x v="2"/>
  </r>
  <r>
    <x v="2"/>
    <x v="6"/>
    <x v="0"/>
    <n v="23756"/>
    <n v="100"/>
    <n v="16946.64"/>
    <n v="10501.29"/>
    <x v="1"/>
  </r>
  <r>
    <x v="2"/>
    <x v="6"/>
    <x v="0"/>
    <n v="24326"/>
    <n v="102"/>
    <n v="14104.39"/>
    <n v="4299.2299999999996"/>
    <x v="4"/>
  </r>
  <r>
    <x v="3"/>
    <x v="6"/>
    <x v="0"/>
    <n v="12184"/>
    <n v="54"/>
    <n v="7924.19"/>
    <n v="4653.68"/>
    <x v="0"/>
  </r>
  <r>
    <x v="3"/>
    <x v="6"/>
    <x v="0"/>
    <n v="12622"/>
    <n v="63"/>
    <n v="14700.58"/>
    <n v="7800.19"/>
    <x v="1"/>
  </r>
  <r>
    <x v="3"/>
    <x v="6"/>
    <x v="0"/>
    <n v="13527"/>
    <n v="566"/>
    <n v="93628.27"/>
    <n v="16868.95"/>
    <x v="2"/>
  </r>
  <r>
    <x v="3"/>
    <x v="6"/>
    <x v="0"/>
    <n v="13618"/>
    <n v="14"/>
    <n v="4482.45"/>
    <n v="1926.97"/>
    <x v="1"/>
  </r>
  <r>
    <x v="3"/>
    <x v="6"/>
    <x v="0"/>
    <n v="16024"/>
    <n v="96"/>
    <n v="39527.35"/>
    <n v="9340.64"/>
    <x v="3"/>
  </r>
  <r>
    <x v="3"/>
    <x v="6"/>
    <x v="0"/>
    <n v="16650"/>
    <n v="63"/>
    <n v="10598.12"/>
    <n v="5325.62"/>
    <x v="0"/>
  </r>
  <r>
    <x v="3"/>
    <x v="6"/>
    <x v="0"/>
    <n v="17892"/>
    <n v="57"/>
    <n v="8439.91"/>
    <n v="2500.48"/>
    <x v="4"/>
  </r>
  <r>
    <x v="3"/>
    <x v="6"/>
    <x v="0"/>
    <n v="18342"/>
    <n v="134"/>
    <n v="103856.13"/>
    <n v="24621.39"/>
    <x v="3"/>
  </r>
  <r>
    <x v="3"/>
    <x v="6"/>
    <x v="0"/>
    <n v="20177"/>
    <n v="84"/>
    <n v="8357.43"/>
    <n v="2877.78"/>
    <x v="5"/>
  </r>
  <r>
    <x v="3"/>
    <x v="6"/>
    <x v="0"/>
    <n v="21179"/>
    <n v="41"/>
    <n v="5113.76"/>
    <n v="3279.9"/>
    <x v="0"/>
  </r>
  <r>
    <x v="3"/>
    <x v="6"/>
    <x v="0"/>
    <n v="21260"/>
    <n v="35"/>
    <n v="6637.49"/>
    <n v="1816.72"/>
    <x v="4"/>
  </r>
  <r>
    <x v="3"/>
    <x v="6"/>
    <x v="0"/>
    <n v="22317"/>
    <n v="33"/>
    <n v="2940.34"/>
    <n v="1071.3599999999999"/>
    <x v="5"/>
  </r>
  <r>
    <x v="3"/>
    <x v="6"/>
    <x v="0"/>
    <n v="22940"/>
    <n v="371"/>
    <n v="44092"/>
    <n v="10168.65"/>
    <x v="2"/>
  </r>
  <r>
    <x v="3"/>
    <x v="6"/>
    <x v="0"/>
    <n v="23178"/>
    <n v="148"/>
    <n v="23612.83"/>
    <n v="4624.26"/>
    <x v="2"/>
  </r>
  <r>
    <x v="3"/>
    <x v="6"/>
    <x v="0"/>
    <n v="23600"/>
    <n v="511"/>
    <n v="55363.91"/>
    <n v="15189.02"/>
    <x v="2"/>
  </r>
  <r>
    <x v="3"/>
    <x v="6"/>
    <x v="0"/>
    <n v="23756"/>
    <n v="82"/>
    <n v="13179.34"/>
    <n v="5488.84"/>
    <x v="1"/>
  </r>
  <r>
    <x v="3"/>
    <x v="6"/>
    <x v="0"/>
    <n v="24326"/>
    <n v="124"/>
    <n v="17341.580000000002"/>
    <n v="4977.3100000000004"/>
    <x v="4"/>
  </r>
  <r>
    <x v="0"/>
    <x v="6"/>
    <x v="1"/>
    <n v="12184"/>
    <n v="106"/>
    <n v="11240.21"/>
    <n v="4543.43"/>
    <x v="0"/>
  </r>
  <r>
    <x v="0"/>
    <x v="6"/>
    <x v="1"/>
    <n v="12622"/>
    <n v="35"/>
    <n v="8275.75"/>
    <n v="3334.29"/>
    <x v="1"/>
  </r>
  <r>
    <x v="0"/>
    <x v="6"/>
    <x v="1"/>
    <n v="13527"/>
    <n v="410"/>
    <n v="65060.89"/>
    <n v="12376.32"/>
    <x v="2"/>
  </r>
  <r>
    <x v="0"/>
    <x v="6"/>
    <x v="1"/>
    <n v="13618"/>
    <n v="23"/>
    <n v="8851.7999999999993"/>
    <n v="4740.2700000000004"/>
    <x v="1"/>
  </r>
  <r>
    <x v="0"/>
    <x v="6"/>
    <x v="1"/>
    <n v="16024"/>
    <n v="202"/>
    <n v="77368.62"/>
    <n v="22890.09"/>
    <x v="3"/>
  </r>
  <r>
    <x v="0"/>
    <x v="6"/>
    <x v="1"/>
    <n v="16650"/>
    <n v="58"/>
    <n v="7592.01"/>
    <n v="3992.66"/>
    <x v="0"/>
  </r>
  <r>
    <x v="0"/>
    <x v="6"/>
    <x v="1"/>
    <n v="17892"/>
    <n v="177"/>
    <n v="26527.82"/>
    <n v="8101.32"/>
    <x v="4"/>
  </r>
  <r>
    <x v="0"/>
    <x v="6"/>
    <x v="1"/>
    <n v="18342"/>
    <n v="145"/>
    <n v="133851.74"/>
    <n v="35017.82"/>
    <x v="3"/>
  </r>
  <r>
    <x v="0"/>
    <x v="6"/>
    <x v="1"/>
    <n v="20177"/>
    <n v="108"/>
    <n v="11332.69"/>
    <n v="3848"/>
    <x v="5"/>
  </r>
  <r>
    <x v="0"/>
    <x v="6"/>
    <x v="1"/>
    <n v="21179"/>
    <n v="81"/>
    <n v="10309.08"/>
    <n v="4814.28"/>
    <x v="0"/>
  </r>
  <r>
    <x v="0"/>
    <x v="6"/>
    <x v="1"/>
    <n v="21260"/>
    <n v="100"/>
    <n v="17760.52"/>
    <n v="4982.41"/>
    <x v="4"/>
  </r>
  <r>
    <x v="0"/>
    <x v="6"/>
    <x v="1"/>
    <n v="22317"/>
    <n v="63"/>
    <n v="5506.41"/>
    <n v="2172.14"/>
    <x v="5"/>
  </r>
  <r>
    <x v="0"/>
    <x v="6"/>
    <x v="1"/>
    <n v="22940"/>
    <n v="557"/>
    <n v="69107.02"/>
    <n v="14528.12"/>
    <x v="2"/>
  </r>
  <r>
    <x v="0"/>
    <x v="6"/>
    <x v="1"/>
    <n v="23178"/>
    <n v="338"/>
    <n v="55457.73"/>
    <n v="10847.07"/>
    <x v="2"/>
  </r>
  <r>
    <x v="0"/>
    <x v="6"/>
    <x v="1"/>
    <n v="23600"/>
    <n v="1106"/>
    <n v="126347.47"/>
    <n v="29270.21"/>
    <x v="2"/>
  </r>
  <r>
    <x v="0"/>
    <x v="6"/>
    <x v="1"/>
    <n v="23756"/>
    <n v="111"/>
    <n v="16918.87"/>
    <n v="7833.71"/>
    <x v="1"/>
  </r>
  <r>
    <x v="0"/>
    <x v="6"/>
    <x v="1"/>
    <n v="24326"/>
    <n v="188"/>
    <n v="24204.46"/>
    <n v="6066.98"/>
    <x v="4"/>
  </r>
  <r>
    <x v="1"/>
    <x v="6"/>
    <x v="1"/>
    <n v="12184"/>
    <n v="18"/>
    <n v="2244.0100000000002"/>
    <n v="1195.78"/>
    <x v="0"/>
  </r>
  <r>
    <x v="1"/>
    <x v="6"/>
    <x v="1"/>
    <n v="12622"/>
    <n v="11"/>
    <n v="3198.14"/>
    <n v="1381.7"/>
    <x v="1"/>
  </r>
  <r>
    <x v="1"/>
    <x v="6"/>
    <x v="1"/>
    <n v="13527"/>
    <n v="358"/>
    <n v="56951.82"/>
    <n v="9653.23"/>
    <x v="2"/>
  </r>
  <r>
    <x v="1"/>
    <x v="6"/>
    <x v="1"/>
    <n v="13618"/>
    <n v="5"/>
    <n v="1727.4"/>
    <n v="649.41"/>
    <x v="1"/>
  </r>
  <r>
    <x v="1"/>
    <x v="6"/>
    <x v="1"/>
    <n v="16024"/>
    <n v="101"/>
    <n v="41074.26"/>
    <n v="12810.38"/>
    <x v="3"/>
  </r>
  <r>
    <x v="1"/>
    <x v="6"/>
    <x v="1"/>
    <n v="16650"/>
    <n v="29"/>
    <n v="4676.13"/>
    <n v="2805.42"/>
    <x v="0"/>
  </r>
  <r>
    <x v="1"/>
    <x v="6"/>
    <x v="1"/>
    <n v="17892"/>
    <n v="89"/>
    <n v="12423.99"/>
    <n v="3504.12"/>
    <x v="4"/>
  </r>
  <r>
    <x v="1"/>
    <x v="6"/>
    <x v="1"/>
    <n v="18342"/>
    <n v="18"/>
    <n v="15117.21"/>
    <n v="4771.45"/>
    <x v="3"/>
  </r>
  <r>
    <x v="1"/>
    <x v="6"/>
    <x v="1"/>
    <n v="20177"/>
    <n v="17"/>
    <n v="1817.68"/>
    <n v="783.23"/>
    <x v="5"/>
  </r>
  <r>
    <x v="1"/>
    <x v="6"/>
    <x v="1"/>
    <n v="21179"/>
    <n v="43"/>
    <n v="4722.76"/>
    <n v="2653.17"/>
    <x v="0"/>
  </r>
  <r>
    <x v="1"/>
    <x v="6"/>
    <x v="1"/>
    <n v="21260"/>
    <n v="42"/>
    <n v="8258.9500000000007"/>
    <n v="1885.65"/>
    <x v="4"/>
  </r>
  <r>
    <x v="1"/>
    <x v="6"/>
    <x v="1"/>
    <n v="22317"/>
    <n v="11"/>
    <n v="1046.7"/>
    <n v="536.98"/>
    <x v="5"/>
  </r>
  <r>
    <x v="1"/>
    <x v="6"/>
    <x v="1"/>
    <n v="22940"/>
    <n v="181"/>
    <n v="25617.05"/>
    <n v="7081.16"/>
    <x v="2"/>
  </r>
  <r>
    <x v="1"/>
    <x v="6"/>
    <x v="1"/>
    <n v="23178"/>
    <n v="187"/>
    <n v="32109.41"/>
    <n v="7154.39"/>
    <x v="2"/>
  </r>
  <r>
    <x v="1"/>
    <x v="6"/>
    <x v="1"/>
    <n v="23600"/>
    <n v="566"/>
    <n v="64511.88"/>
    <n v="17360.95"/>
    <x v="2"/>
  </r>
  <r>
    <x v="1"/>
    <x v="6"/>
    <x v="1"/>
    <n v="23756"/>
    <n v="70"/>
    <n v="10535.5"/>
    <n v="4893.49"/>
    <x v="1"/>
  </r>
  <r>
    <x v="1"/>
    <x v="6"/>
    <x v="1"/>
    <n v="24326"/>
    <n v="35"/>
    <n v="5595.3"/>
    <n v="1647.18"/>
    <x v="4"/>
  </r>
  <r>
    <x v="2"/>
    <x v="6"/>
    <x v="1"/>
    <n v="12184"/>
    <n v="61"/>
    <n v="6838.84"/>
    <n v="4372.51"/>
    <x v="0"/>
  </r>
  <r>
    <x v="2"/>
    <x v="6"/>
    <x v="1"/>
    <n v="12622"/>
    <n v="22"/>
    <n v="6455.46"/>
    <n v="3131.67"/>
    <x v="1"/>
  </r>
  <r>
    <x v="2"/>
    <x v="6"/>
    <x v="1"/>
    <n v="13527"/>
    <n v="328"/>
    <n v="56128.639999999999"/>
    <n v="12696.88"/>
    <x v="2"/>
  </r>
  <r>
    <x v="2"/>
    <x v="6"/>
    <x v="1"/>
    <n v="13618"/>
    <n v="18"/>
    <n v="6882"/>
    <n v="3746.97"/>
    <x v="1"/>
  </r>
  <r>
    <x v="2"/>
    <x v="6"/>
    <x v="1"/>
    <n v="16024"/>
    <n v="124"/>
    <n v="57504.59"/>
    <n v="19520.86"/>
    <x v="3"/>
  </r>
  <r>
    <x v="2"/>
    <x v="6"/>
    <x v="1"/>
    <n v="16650"/>
    <n v="27"/>
    <n v="4856.8599999999997"/>
    <n v="3667.8"/>
    <x v="0"/>
  </r>
  <r>
    <x v="2"/>
    <x v="6"/>
    <x v="1"/>
    <n v="17892"/>
    <n v="56"/>
    <n v="7560.06"/>
    <n v="2554.41"/>
    <x v="4"/>
  </r>
  <r>
    <x v="2"/>
    <x v="6"/>
    <x v="1"/>
    <n v="18342"/>
    <n v="84"/>
    <n v="65373.42"/>
    <n v="21719.5"/>
    <x v="3"/>
  </r>
  <r>
    <x v="2"/>
    <x v="6"/>
    <x v="1"/>
    <n v="20177"/>
    <n v="42"/>
    <n v="3935.52"/>
    <n v="1920.21"/>
    <x v="5"/>
  </r>
  <r>
    <x v="2"/>
    <x v="6"/>
    <x v="1"/>
    <n v="21179"/>
    <n v="24"/>
    <n v="2862.37"/>
    <n v="1743.46"/>
    <x v="0"/>
  </r>
  <r>
    <x v="2"/>
    <x v="6"/>
    <x v="1"/>
    <n v="21260"/>
    <n v="29"/>
    <n v="5731.89"/>
    <n v="1521.66"/>
    <x v="4"/>
  </r>
  <r>
    <x v="2"/>
    <x v="6"/>
    <x v="1"/>
    <n v="22317"/>
    <n v="34"/>
    <n v="3266.11"/>
    <n v="1380.52"/>
    <x v="5"/>
  </r>
  <r>
    <x v="2"/>
    <x v="6"/>
    <x v="1"/>
    <n v="22940"/>
    <n v="325"/>
    <n v="43520.82"/>
    <n v="10987.82"/>
    <x v="2"/>
  </r>
  <r>
    <x v="2"/>
    <x v="6"/>
    <x v="1"/>
    <n v="23178"/>
    <n v="137"/>
    <n v="27013.86"/>
    <n v="6765.73"/>
    <x v="2"/>
  </r>
  <r>
    <x v="2"/>
    <x v="6"/>
    <x v="1"/>
    <n v="23600"/>
    <n v="581"/>
    <n v="64944.36"/>
    <n v="19369.28"/>
    <x v="2"/>
  </r>
  <r>
    <x v="2"/>
    <x v="6"/>
    <x v="1"/>
    <n v="23756"/>
    <n v="90"/>
    <n v="19944.89"/>
    <n v="12914.05"/>
    <x v="1"/>
  </r>
  <r>
    <x v="2"/>
    <x v="6"/>
    <x v="1"/>
    <n v="24326"/>
    <n v="152"/>
    <n v="20951.3"/>
    <n v="7081.7"/>
    <x v="4"/>
  </r>
  <r>
    <x v="3"/>
    <x v="6"/>
    <x v="1"/>
    <n v="12184"/>
    <n v="95"/>
    <n v="11863.07"/>
    <n v="7125.93"/>
    <x v="0"/>
  </r>
  <r>
    <x v="3"/>
    <x v="6"/>
    <x v="1"/>
    <n v="12622"/>
    <n v="43"/>
    <n v="9444.01"/>
    <n v="4145.08"/>
    <x v="1"/>
  </r>
  <r>
    <x v="3"/>
    <x v="6"/>
    <x v="1"/>
    <n v="13527"/>
    <n v="362"/>
    <n v="61159.6"/>
    <n v="12512.15"/>
    <x v="2"/>
  </r>
  <r>
    <x v="3"/>
    <x v="6"/>
    <x v="1"/>
    <n v="13618"/>
    <n v="16"/>
    <n v="5779.26"/>
    <n v="3072.69"/>
    <x v="1"/>
  </r>
  <r>
    <x v="3"/>
    <x v="6"/>
    <x v="1"/>
    <n v="16024"/>
    <n v="158"/>
    <n v="71788.47"/>
    <n v="19599.61"/>
    <x v="3"/>
  </r>
  <r>
    <x v="3"/>
    <x v="6"/>
    <x v="1"/>
    <n v="16650"/>
    <n v="51"/>
    <n v="8237.61"/>
    <n v="4513.12"/>
    <x v="0"/>
  </r>
  <r>
    <x v="3"/>
    <x v="6"/>
    <x v="1"/>
    <n v="17892"/>
    <n v="102"/>
    <n v="13914.2"/>
    <n v="3573.74"/>
    <x v="4"/>
  </r>
  <r>
    <x v="3"/>
    <x v="6"/>
    <x v="1"/>
    <n v="18342"/>
    <n v="141"/>
    <n v="125943.59"/>
    <n v="34517.599999999999"/>
    <x v="3"/>
  </r>
  <r>
    <x v="3"/>
    <x v="6"/>
    <x v="1"/>
    <n v="20177"/>
    <n v="89"/>
    <n v="8813.92"/>
    <n v="3245.21"/>
    <x v="5"/>
  </r>
  <r>
    <x v="3"/>
    <x v="6"/>
    <x v="1"/>
    <n v="21179"/>
    <n v="52"/>
    <n v="7481.26"/>
    <n v="4831.53"/>
    <x v="0"/>
  </r>
  <r>
    <x v="3"/>
    <x v="6"/>
    <x v="1"/>
    <n v="21260"/>
    <n v="61"/>
    <n v="11404.8"/>
    <n v="2564.23"/>
    <x v="4"/>
  </r>
  <r>
    <x v="3"/>
    <x v="6"/>
    <x v="1"/>
    <n v="22317"/>
    <n v="31"/>
    <n v="2785.82"/>
    <n v="935.12"/>
    <x v="5"/>
  </r>
  <r>
    <x v="3"/>
    <x v="6"/>
    <x v="1"/>
    <n v="22940"/>
    <n v="624"/>
    <n v="76010.320000000007"/>
    <n v="17239.3"/>
    <x v="2"/>
  </r>
  <r>
    <x v="3"/>
    <x v="6"/>
    <x v="1"/>
    <n v="23178"/>
    <n v="231"/>
    <n v="42960.5"/>
    <n v="10008.719999999999"/>
    <x v="2"/>
  </r>
  <r>
    <x v="3"/>
    <x v="6"/>
    <x v="1"/>
    <n v="23600"/>
    <n v="938"/>
    <n v="95857.14"/>
    <n v="25606.68"/>
    <x v="2"/>
  </r>
  <r>
    <x v="3"/>
    <x v="6"/>
    <x v="1"/>
    <n v="23756"/>
    <n v="94"/>
    <n v="13887.05"/>
    <n v="6998.72"/>
    <x v="1"/>
  </r>
  <r>
    <x v="3"/>
    <x v="6"/>
    <x v="1"/>
    <n v="24326"/>
    <n v="63"/>
    <n v="8392.4599999999991"/>
    <n v="1855.03"/>
    <x v="4"/>
  </r>
  <r>
    <x v="0"/>
    <x v="6"/>
    <x v="2"/>
    <n v="12184"/>
    <n v="91"/>
    <n v="12878.19"/>
    <n v="6669.63"/>
    <x v="0"/>
  </r>
  <r>
    <x v="0"/>
    <x v="6"/>
    <x v="2"/>
    <n v="12622"/>
    <n v="59"/>
    <n v="16990.7"/>
    <n v="7205.31"/>
    <x v="1"/>
  </r>
  <r>
    <x v="0"/>
    <x v="6"/>
    <x v="2"/>
    <n v="13527"/>
    <n v="843"/>
    <n v="129253.24"/>
    <n v="25707.53"/>
    <x v="2"/>
  </r>
  <r>
    <x v="0"/>
    <x v="6"/>
    <x v="2"/>
    <n v="13618"/>
    <n v="20"/>
    <n v="7991.9"/>
    <n v="3252.58"/>
    <x v="1"/>
  </r>
  <r>
    <x v="0"/>
    <x v="6"/>
    <x v="2"/>
    <n v="16024"/>
    <n v="232"/>
    <n v="103019.12"/>
    <n v="32543.19"/>
    <x v="3"/>
  </r>
  <r>
    <x v="0"/>
    <x v="6"/>
    <x v="2"/>
    <n v="16650"/>
    <n v="54"/>
    <n v="9514.69"/>
    <n v="5061.74"/>
    <x v="0"/>
  </r>
  <r>
    <x v="0"/>
    <x v="6"/>
    <x v="2"/>
    <n v="17892"/>
    <n v="77"/>
    <n v="11410.99"/>
    <n v="2998.15"/>
    <x v="4"/>
  </r>
  <r>
    <x v="0"/>
    <x v="6"/>
    <x v="2"/>
    <n v="18342"/>
    <n v="144"/>
    <n v="125039.08"/>
    <n v="34086.959999999999"/>
    <x v="3"/>
  </r>
  <r>
    <x v="0"/>
    <x v="6"/>
    <x v="2"/>
    <n v="20177"/>
    <n v="139"/>
    <n v="15041.78"/>
    <n v="6170.37"/>
    <x v="5"/>
  </r>
  <r>
    <x v="0"/>
    <x v="6"/>
    <x v="2"/>
    <n v="21179"/>
    <n v="47"/>
    <n v="5325.06"/>
    <n v="2654.33"/>
    <x v="0"/>
  </r>
  <r>
    <x v="0"/>
    <x v="6"/>
    <x v="2"/>
    <n v="21260"/>
    <n v="65"/>
    <n v="13342.31"/>
    <n v="3228.81"/>
    <x v="4"/>
  </r>
  <r>
    <x v="0"/>
    <x v="6"/>
    <x v="2"/>
    <n v="22317"/>
    <n v="124"/>
    <n v="10591.24"/>
    <n v="4300.01"/>
    <x v="5"/>
  </r>
  <r>
    <x v="0"/>
    <x v="6"/>
    <x v="2"/>
    <n v="22940"/>
    <n v="818"/>
    <n v="106761.98"/>
    <n v="22396.91"/>
    <x v="2"/>
  </r>
  <r>
    <x v="0"/>
    <x v="6"/>
    <x v="2"/>
    <n v="23178"/>
    <n v="450"/>
    <n v="79205.279999999999"/>
    <n v="14893.09"/>
    <x v="2"/>
  </r>
  <r>
    <x v="0"/>
    <x v="6"/>
    <x v="2"/>
    <n v="23600"/>
    <n v="833"/>
    <n v="99690.72"/>
    <n v="20937.91"/>
    <x v="2"/>
  </r>
  <r>
    <x v="0"/>
    <x v="6"/>
    <x v="2"/>
    <n v="23756"/>
    <n v="86"/>
    <n v="16772.97"/>
    <n v="8118.46"/>
    <x v="1"/>
  </r>
  <r>
    <x v="0"/>
    <x v="6"/>
    <x v="2"/>
    <n v="24326"/>
    <n v="109"/>
    <n v="14256.55"/>
    <n v="3962.2"/>
    <x v="4"/>
  </r>
  <r>
    <x v="1"/>
    <x v="6"/>
    <x v="2"/>
    <n v="12184"/>
    <n v="38"/>
    <n v="4820.93"/>
    <n v="2190.14"/>
    <x v="0"/>
  </r>
  <r>
    <x v="1"/>
    <x v="6"/>
    <x v="2"/>
    <n v="12622"/>
    <n v="19"/>
    <n v="5131.6000000000004"/>
    <n v="2439.75"/>
    <x v="1"/>
  </r>
  <r>
    <x v="1"/>
    <x v="6"/>
    <x v="2"/>
    <n v="13527"/>
    <n v="362"/>
    <n v="57429.56"/>
    <n v="10781.07"/>
    <x v="2"/>
  </r>
  <r>
    <x v="1"/>
    <x v="6"/>
    <x v="2"/>
    <n v="13618"/>
    <n v="9"/>
    <n v="3407.61"/>
    <n v="1371.91"/>
    <x v="1"/>
  </r>
  <r>
    <x v="1"/>
    <x v="6"/>
    <x v="2"/>
    <n v="16024"/>
    <n v="225"/>
    <n v="100819.41"/>
    <n v="32711.41"/>
    <x v="3"/>
  </r>
  <r>
    <x v="1"/>
    <x v="6"/>
    <x v="2"/>
    <n v="16650"/>
    <n v="33"/>
    <n v="5637.94"/>
    <n v="3719.77"/>
    <x v="0"/>
  </r>
  <r>
    <x v="1"/>
    <x v="6"/>
    <x v="2"/>
    <n v="17892"/>
    <n v="52"/>
    <n v="7937.09"/>
    <n v="2064.04"/>
    <x v="4"/>
  </r>
  <r>
    <x v="1"/>
    <x v="6"/>
    <x v="2"/>
    <n v="18342"/>
    <n v="13"/>
    <n v="11729.96"/>
    <n v="3365.36"/>
    <x v="3"/>
  </r>
  <r>
    <x v="1"/>
    <x v="6"/>
    <x v="2"/>
    <n v="20177"/>
    <n v="27"/>
    <n v="2747.95"/>
    <n v="1197.44"/>
    <x v="5"/>
  </r>
  <r>
    <x v="1"/>
    <x v="6"/>
    <x v="2"/>
    <n v="21179"/>
    <n v="23"/>
    <n v="3279.57"/>
    <n v="1918.38"/>
    <x v="0"/>
  </r>
  <r>
    <x v="1"/>
    <x v="6"/>
    <x v="2"/>
    <n v="21260"/>
    <n v="30"/>
    <n v="5223.82"/>
    <n v="1162.79"/>
    <x v="4"/>
  </r>
  <r>
    <x v="1"/>
    <x v="6"/>
    <x v="2"/>
    <n v="22317"/>
    <n v="14"/>
    <n v="1112.71"/>
    <n v="476.53"/>
    <x v="5"/>
  </r>
  <r>
    <x v="1"/>
    <x v="6"/>
    <x v="2"/>
    <n v="22940"/>
    <n v="223"/>
    <n v="27651.21"/>
    <n v="6292.23"/>
    <x v="2"/>
  </r>
  <r>
    <x v="1"/>
    <x v="6"/>
    <x v="2"/>
    <n v="23178"/>
    <n v="278"/>
    <n v="44417.599999999999"/>
    <n v="10435.94"/>
    <x v="2"/>
  </r>
  <r>
    <x v="1"/>
    <x v="6"/>
    <x v="2"/>
    <n v="23600"/>
    <n v="531"/>
    <n v="55681.73"/>
    <n v="15051.04"/>
    <x v="2"/>
  </r>
  <r>
    <x v="1"/>
    <x v="6"/>
    <x v="2"/>
    <n v="23756"/>
    <n v="100"/>
    <n v="19223.36"/>
    <n v="9723.1200000000008"/>
    <x v="1"/>
  </r>
  <r>
    <x v="1"/>
    <x v="6"/>
    <x v="2"/>
    <n v="24326"/>
    <n v="26"/>
    <n v="3425.49"/>
    <n v="1035.25"/>
    <x v="4"/>
  </r>
  <r>
    <x v="2"/>
    <x v="6"/>
    <x v="2"/>
    <n v="12184"/>
    <n v="106"/>
    <n v="11955.12"/>
    <n v="7714.72"/>
    <x v="0"/>
  </r>
  <r>
    <x v="2"/>
    <x v="6"/>
    <x v="2"/>
    <n v="12622"/>
    <n v="35"/>
    <n v="10287.9"/>
    <n v="6306.71"/>
    <x v="1"/>
  </r>
  <r>
    <x v="2"/>
    <x v="6"/>
    <x v="2"/>
    <n v="13527"/>
    <n v="372"/>
    <n v="65722.55"/>
    <n v="17722.66"/>
    <x v="2"/>
  </r>
  <r>
    <x v="2"/>
    <x v="6"/>
    <x v="2"/>
    <n v="13618"/>
    <n v="10"/>
    <n v="3539.86"/>
    <n v="1796.9"/>
    <x v="1"/>
  </r>
  <r>
    <x v="2"/>
    <x v="6"/>
    <x v="2"/>
    <n v="16024"/>
    <n v="191"/>
    <n v="75431.94"/>
    <n v="19785.919999999998"/>
    <x v="3"/>
  </r>
  <r>
    <x v="2"/>
    <x v="6"/>
    <x v="2"/>
    <n v="16650"/>
    <n v="42"/>
    <n v="6353.68"/>
    <n v="5016.8599999999997"/>
    <x v="0"/>
  </r>
  <r>
    <x v="2"/>
    <x v="6"/>
    <x v="2"/>
    <n v="17892"/>
    <n v="50"/>
    <n v="6866.84"/>
    <n v="1945.32"/>
    <x v="4"/>
  </r>
  <r>
    <x v="2"/>
    <x v="6"/>
    <x v="2"/>
    <n v="18342"/>
    <n v="80"/>
    <n v="74957.06"/>
    <n v="23770.57"/>
    <x v="3"/>
  </r>
  <r>
    <x v="2"/>
    <x v="6"/>
    <x v="2"/>
    <n v="20177"/>
    <n v="39"/>
    <n v="3469.3"/>
    <n v="1812.61"/>
    <x v="5"/>
  </r>
  <r>
    <x v="2"/>
    <x v="6"/>
    <x v="2"/>
    <n v="21179"/>
    <n v="74"/>
    <n v="11987.12"/>
    <n v="7878.69"/>
    <x v="0"/>
  </r>
  <r>
    <x v="2"/>
    <x v="6"/>
    <x v="2"/>
    <n v="21260"/>
    <n v="33"/>
    <n v="6476.98"/>
    <n v="2232.98"/>
    <x v="4"/>
  </r>
  <r>
    <x v="2"/>
    <x v="6"/>
    <x v="2"/>
    <n v="22317"/>
    <n v="51"/>
    <n v="3978.75"/>
    <n v="1624.74"/>
    <x v="5"/>
  </r>
  <r>
    <x v="2"/>
    <x v="6"/>
    <x v="2"/>
    <n v="22940"/>
    <n v="468"/>
    <n v="62816.37"/>
    <n v="18134.61"/>
    <x v="2"/>
  </r>
  <r>
    <x v="2"/>
    <x v="6"/>
    <x v="2"/>
    <n v="23178"/>
    <n v="264"/>
    <n v="49554.18"/>
    <n v="11869.72"/>
    <x v="2"/>
  </r>
  <r>
    <x v="2"/>
    <x v="6"/>
    <x v="2"/>
    <n v="23600"/>
    <n v="861"/>
    <n v="97197.53"/>
    <n v="23901.200000000001"/>
    <x v="2"/>
  </r>
  <r>
    <x v="2"/>
    <x v="6"/>
    <x v="2"/>
    <n v="23756"/>
    <n v="136"/>
    <n v="22173.38"/>
    <n v="12116.1"/>
    <x v="1"/>
  </r>
  <r>
    <x v="2"/>
    <x v="6"/>
    <x v="2"/>
    <n v="24326"/>
    <n v="121"/>
    <n v="19291.62"/>
    <n v="6606.25"/>
    <x v="4"/>
  </r>
  <r>
    <x v="3"/>
    <x v="6"/>
    <x v="2"/>
    <n v="12184"/>
    <n v="85"/>
    <n v="9779.92"/>
    <n v="6305.12"/>
    <x v="0"/>
  </r>
  <r>
    <x v="3"/>
    <x v="6"/>
    <x v="2"/>
    <n v="12622"/>
    <n v="33"/>
    <n v="8109.96"/>
    <n v="4161.7"/>
    <x v="1"/>
  </r>
  <r>
    <x v="3"/>
    <x v="6"/>
    <x v="2"/>
    <n v="13527"/>
    <n v="332"/>
    <n v="55280.35"/>
    <n v="11143.38"/>
    <x v="2"/>
  </r>
  <r>
    <x v="3"/>
    <x v="6"/>
    <x v="2"/>
    <n v="13618"/>
    <n v="10"/>
    <n v="3914.22"/>
    <n v="1993.62"/>
    <x v="1"/>
  </r>
  <r>
    <x v="3"/>
    <x v="6"/>
    <x v="2"/>
    <n v="16024"/>
    <n v="150"/>
    <n v="70234.22"/>
    <n v="16596.57"/>
    <x v="3"/>
  </r>
  <r>
    <x v="3"/>
    <x v="6"/>
    <x v="2"/>
    <n v="16650"/>
    <n v="35"/>
    <n v="5590.88"/>
    <n v="3302.19"/>
    <x v="0"/>
  </r>
  <r>
    <x v="3"/>
    <x v="6"/>
    <x v="2"/>
    <n v="17892"/>
    <n v="88"/>
    <n v="13196.91"/>
    <n v="3694.96"/>
    <x v="4"/>
  </r>
  <r>
    <x v="3"/>
    <x v="6"/>
    <x v="2"/>
    <n v="18342"/>
    <n v="109"/>
    <n v="97402.57"/>
    <n v="26845.34"/>
    <x v="3"/>
  </r>
  <r>
    <x v="3"/>
    <x v="6"/>
    <x v="2"/>
    <n v="20177"/>
    <n v="89"/>
    <n v="8802.01"/>
    <n v="3472"/>
    <x v="5"/>
  </r>
  <r>
    <x v="3"/>
    <x v="6"/>
    <x v="2"/>
    <n v="21179"/>
    <n v="55"/>
    <n v="7542.51"/>
    <n v="4534.09"/>
    <x v="0"/>
  </r>
  <r>
    <x v="3"/>
    <x v="6"/>
    <x v="2"/>
    <n v="21260"/>
    <n v="84"/>
    <n v="16174.63"/>
    <n v="3540.49"/>
    <x v="4"/>
  </r>
  <r>
    <x v="3"/>
    <x v="6"/>
    <x v="2"/>
    <n v="22317"/>
    <n v="40"/>
    <n v="3827.42"/>
    <n v="1392.66"/>
    <x v="5"/>
  </r>
  <r>
    <x v="3"/>
    <x v="6"/>
    <x v="2"/>
    <n v="22940"/>
    <n v="586"/>
    <n v="79173.210000000006"/>
    <n v="17481.77"/>
    <x v="2"/>
  </r>
  <r>
    <x v="3"/>
    <x v="6"/>
    <x v="2"/>
    <n v="23178"/>
    <n v="233"/>
    <n v="38826.199999999997"/>
    <n v="8110.57"/>
    <x v="2"/>
  </r>
  <r>
    <x v="3"/>
    <x v="6"/>
    <x v="2"/>
    <n v="23600"/>
    <n v="553"/>
    <n v="62991.32"/>
    <n v="13343.4"/>
    <x v="2"/>
  </r>
  <r>
    <x v="3"/>
    <x v="6"/>
    <x v="2"/>
    <n v="23756"/>
    <n v="111"/>
    <n v="23377.040000000001"/>
    <n v="9478.61"/>
    <x v="1"/>
  </r>
  <r>
    <x v="3"/>
    <x v="6"/>
    <x v="2"/>
    <n v="24326"/>
    <n v="136"/>
    <n v="20925.560000000001"/>
    <n v="5873.64"/>
    <x v="4"/>
  </r>
  <r>
    <x v="0"/>
    <x v="6"/>
    <x v="3"/>
    <n v="12184"/>
    <n v="104"/>
    <n v="11377.24"/>
    <n v="5090.7"/>
    <x v="0"/>
  </r>
  <r>
    <x v="0"/>
    <x v="6"/>
    <x v="3"/>
    <n v="12622"/>
    <n v="28"/>
    <n v="6773.12"/>
    <n v="3698.46"/>
    <x v="1"/>
  </r>
  <r>
    <x v="0"/>
    <x v="6"/>
    <x v="3"/>
    <n v="13527"/>
    <n v="593"/>
    <n v="99692.91"/>
    <n v="21822.61"/>
    <x v="2"/>
  </r>
  <r>
    <x v="0"/>
    <x v="6"/>
    <x v="3"/>
    <n v="13618"/>
    <n v="21"/>
    <n v="7553.75"/>
    <n v="3164.08"/>
    <x v="1"/>
  </r>
  <r>
    <x v="0"/>
    <x v="6"/>
    <x v="3"/>
    <n v="16024"/>
    <n v="250"/>
    <n v="95676.71"/>
    <n v="28359.23"/>
    <x v="3"/>
  </r>
  <r>
    <x v="0"/>
    <x v="6"/>
    <x v="3"/>
    <n v="16650"/>
    <n v="77"/>
    <n v="12320.23"/>
    <n v="5050.7700000000004"/>
    <x v="0"/>
  </r>
  <r>
    <x v="0"/>
    <x v="6"/>
    <x v="3"/>
    <n v="17892"/>
    <n v="67"/>
    <n v="10203.56"/>
    <n v="2980.03"/>
    <x v="4"/>
  </r>
  <r>
    <x v="0"/>
    <x v="6"/>
    <x v="3"/>
    <n v="18342"/>
    <n v="228"/>
    <n v="193792.52"/>
    <n v="58665.75"/>
    <x v="3"/>
  </r>
  <r>
    <x v="0"/>
    <x v="6"/>
    <x v="3"/>
    <n v="20177"/>
    <n v="95"/>
    <n v="10882.35"/>
    <n v="3848.67"/>
    <x v="5"/>
  </r>
  <r>
    <x v="0"/>
    <x v="6"/>
    <x v="3"/>
    <n v="21179"/>
    <n v="42"/>
    <n v="5558.31"/>
    <n v="2582.6799999999998"/>
    <x v="0"/>
  </r>
  <r>
    <x v="0"/>
    <x v="6"/>
    <x v="3"/>
    <n v="21260"/>
    <n v="98"/>
    <n v="21159.95"/>
    <n v="5292.82"/>
    <x v="4"/>
  </r>
  <r>
    <x v="0"/>
    <x v="6"/>
    <x v="3"/>
    <n v="22317"/>
    <n v="51"/>
    <n v="4236.5"/>
    <n v="1668.85"/>
    <x v="5"/>
  </r>
  <r>
    <x v="0"/>
    <x v="6"/>
    <x v="3"/>
    <n v="22940"/>
    <n v="377"/>
    <n v="46715.59"/>
    <n v="7770.01"/>
    <x v="2"/>
  </r>
  <r>
    <x v="0"/>
    <x v="6"/>
    <x v="3"/>
    <n v="23178"/>
    <n v="389"/>
    <n v="71735.899999999994"/>
    <n v="11551.63"/>
    <x v="2"/>
  </r>
  <r>
    <x v="0"/>
    <x v="6"/>
    <x v="3"/>
    <n v="23600"/>
    <n v="798"/>
    <n v="87232.16"/>
    <n v="19181.080000000002"/>
    <x v="2"/>
  </r>
  <r>
    <x v="0"/>
    <x v="6"/>
    <x v="3"/>
    <n v="23756"/>
    <n v="123"/>
    <n v="20759.009999999998"/>
    <n v="8988.24"/>
    <x v="1"/>
  </r>
  <r>
    <x v="0"/>
    <x v="6"/>
    <x v="3"/>
    <n v="24326"/>
    <n v="81"/>
    <n v="12608.25"/>
    <n v="3715.92"/>
    <x v="4"/>
  </r>
  <r>
    <x v="1"/>
    <x v="6"/>
    <x v="3"/>
    <n v="12184"/>
    <n v="17"/>
    <n v="2215.0300000000002"/>
    <n v="1118.17"/>
    <x v="0"/>
  </r>
  <r>
    <x v="1"/>
    <x v="6"/>
    <x v="3"/>
    <n v="12622"/>
    <n v="12"/>
    <n v="2866.73"/>
    <n v="1323.78"/>
    <x v="1"/>
  </r>
  <r>
    <x v="1"/>
    <x v="6"/>
    <x v="3"/>
    <n v="13527"/>
    <n v="330"/>
    <n v="51471.14"/>
    <n v="7998.55"/>
    <x v="2"/>
  </r>
  <r>
    <x v="1"/>
    <x v="6"/>
    <x v="3"/>
    <n v="13618"/>
    <n v="4"/>
    <n v="1350.19"/>
    <n v="672.07"/>
    <x v="1"/>
  </r>
  <r>
    <x v="1"/>
    <x v="6"/>
    <x v="3"/>
    <n v="16024"/>
    <n v="112"/>
    <n v="52787.95"/>
    <n v="13824.11"/>
    <x v="3"/>
  </r>
  <r>
    <x v="1"/>
    <x v="6"/>
    <x v="3"/>
    <n v="16650"/>
    <n v="12"/>
    <n v="2042.13"/>
    <n v="1299.0999999999999"/>
    <x v="0"/>
  </r>
  <r>
    <x v="1"/>
    <x v="6"/>
    <x v="3"/>
    <n v="17892"/>
    <n v="101"/>
    <n v="14213"/>
    <n v="3132.3"/>
    <x v="4"/>
  </r>
  <r>
    <x v="1"/>
    <x v="6"/>
    <x v="3"/>
    <n v="18342"/>
    <n v="15"/>
    <n v="12481.12"/>
    <n v="3328.73"/>
    <x v="3"/>
  </r>
  <r>
    <x v="1"/>
    <x v="6"/>
    <x v="3"/>
    <n v="20177"/>
    <n v="31"/>
    <n v="3461.72"/>
    <n v="1334.47"/>
    <x v="5"/>
  </r>
  <r>
    <x v="1"/>
    <x v="6"/>
    <x v="3"/>
    <n v="21179"/>
    <n v="42"/>
    <n v="5506.27"/>
    <n v="3509.65"/>
    <x v="0"/>
  </r>
  <r>
    <x v="1"/>
    <x v="6"/>
    <x v="3"/>
    <n v="21260"/>
    <n v="27"/>
    <n v="4809.6899999999996"/>
    <n v="1244.74"/>
    <x v="4"/>
  </r>
  <r>
    <x v="1"/>
    <x v="6"/>
    <x v="3"/>
    <n v="22317"/>
    <n v="13"/>
    <n v="1179.77"/>
    <n v="619.07000000000005"/>
    <x v="5"/>
  </r>
  <r>
    <x v="1"/>
    <x v="6"/>
    <x v="3"/>
    <n v="22940"/>
    <n v="215"/>
    <n v="29930.55"/>
    <n v="7992.46"/>
    <x v="2"/>
  </r>
  <r>
    <x v="1"/>
    <x v="6"/>
    <x v="3"/>
    <n v="23178"/>
    <n v="208"/>
    <n v="40239.86"/>
    <n v="9710.8700000000008"/>
    <x v="2"/>
  </r>
  <r>
    <x v="1"/>
    <x v="6"/>
    <x v="3"/>
    <n v="23600"/>
    <n v="326"/>
    <n v="38770.129999999997"/>
    <n v="11911.24"/>
    <x v="2"/>
  </r>
  <r>
    <x v="1"/>
    <x v="6"/>
    <x v="3"/>
    <n v="23756"/>
    <n v="100"/>
    <n v="14821.79"/>
    <n v="7428.07"/>
    <x v="1"/>
  </r>
  <r>
    <x v="1"/>
    <x v="6"/>
    <x v="3"/>
    <n v="24326"/>
    <n v="18"/>
    <n v="2742.14"/>
    <n v="769.54"/>
    <x v="4"/>
  </r>
  <r>
    <x v="2"/>
    <x v="6"/>
    <x v="3"/>
    <n v="12184"/>
    <n v="42"/>
    <n v="6013.43"/>
    <n v="4659.93"/>
    <x v="0"/>
  </r>
  <r>
    <x v="2"/>
    <x v="6"/>
    <x v="3"/>
    <n v="12622"/>
    <n v="60"/>
    <n v="15900.12"/>
    <n v="9652.9699999999993"/>
    <x v="1"/>
  </r>
  <r>
    <x v="2"/>
    <x v="6"/>
    <x v="3"/>
    <n v="13527"/>
    <n v="461"/>
    <n v="80920.87"/>
    <n v="22995.06"/>
    <x v="2"/>
  </r>
  <r>
    <x v="2"/>
    <x v="6"/>
    <x v="3"/>
    <n v="13618"/>
    <n v="16"/>
    <n v="5553.09"/>
    <n v="2907.37"/>
    <x v="1"/>
  </r>
  <r>
    <x v="2"/>
    <x v="6"/>
    <x v="3"/>
    <n v="16024"/>
    <n v="160"/>
    <n v="66089.919999999998"/>
    <n v="16962.3"/>
    <x v="3"/>
  </r>
  <r>
    <x v="2"/>
    <x v="6"/>
    <x v="3"/>
    <n v="16650"/>
    <n v="40"/>
    <n v="5605.77"/>
    <n v="4176.51"/>
    <x v="0"/>
  </r>
  <r>
    <x v="2"/>
    <x v="6"/>
    <x v="3"/>
    <n v="17892"/>
    <n v="122"/>
    <n v="17000.62"/>
    <n v="4833.28"/>
    <x v="4"/>
  </r>
  <r>
    <x v="2"/>
    <x v="6"/>
    <x v="3"/>
    <n v="18342"/>
    <n v="97"/>
    <n v="74173.48"/>
    <n v="23576.76"/>
    <x v="3"/>
  </r>
  <r>
    <x v="2"/>
    <x v="6"/>
    <x v="3"/>
    <n v="20177"/>
    <n v="60"/>
    <n v="5438.88"/>
    <n v="2473.79"/>
    <x v="5"/>
  </r>
  <r>
    <x v="2"/>
    <x v="6"/>
    <x v="3"/>
    <n v="21179"/>
    <n v="58"/>
    <n v="6721.5"/>
    <n v="4270.3100000000004"/>
    <x v="0"/>
  </r>
  <r>
    <x v="2"/>
    <x v="6"/>
    <x v="3"/>
    <n v="21260"/>
    <n v="49"/>
    <n v="8853.65"/>
    <n v="2833.8"/>
    <x v="4"/>
  </r>
  <r>
    <x v="2"/>
    <x v="6"/>
    <x v="3"/>
    <n v="22317"/>
    <n v="30"/>
    <n v="2361.59"/>
    <n v="1049.67"/>
    <x v="5"/>
  </r>
  <r>
    <x v="2"/>
    <x v="6"/>
    <x v="3"/>
    <n v="22940"/>
    <n v="317"/>
    <n v="42417.98"/>
    <n v="11703.14"/>
    <x v="2"/>
  </r>
  <r>
    <x v="2"/>
    <x v="6"/>
    <x v="3"/>
    <n v="23178"/>
    <n v="247"/>
    <n v="46561.15"/>
    <n v="11959.79"/>
    <x v="2"/>
  </r>
  <r>
    <x v="2"/>
    <x v="6"/>
    <x v="3"/>
    <n v="23600"/>
    <n v="878"/>
    <n v="109573.91"/>
    <n v="35497.129999999997"/>
    <x v="2"/>
  </r>
  <r>
    <x v="2"/>
    <x v="6"/>
    <x v="3"/>
    <n v="23756"/>
    <n v="112"/>
    <n v="22524.42"/>
    <n v="11483.97"/>
    <x v="1"/>
  </r>
  <r>
    <x v="2"/>
    <x v="6"/>
    <x v="3"/>
    <n v="24326"/>
    <n v="144"/>
    <n v="22719.360000000001"/>
    <n v="7082.27"/>
    <x v="4"/>
  </r>
  <r>
    <x v="3"/>
    <x v="6"/>
    <x v="3"/>
    <n v="12184"/>
    <n v="82"/>
    <n v="10289.82"/>
    <n v="5902.58"/>
    <x v="0"/>
  </r>
  <r>
    <x v="3"/>
    <x v="6"/>
    <x v="3"/>
    <n v="12622"/>
    <n v="40"/>
    <n v="11304.8"/>
    <n v="5215.88"/>
    <x v="1"/>
  </r>
  <r>
    <x v="3"/>
    <x v="6"/>
    <x v="3"/>
    <n v="13527"/>
    <n v="404"/>
    <n v="66594.960000000006"/>
    <n v="13299.23"/>
    <x v="2"/>
  </r>
  <r>
    <x v="3"/>
    <x v="6"/>
    <x v="3"/>
    <n v="13618"/>
    <n v="12"/>
    <n v="3980.99"/>
    <n v="1963.92"/>
    <x v="1"/>
  </r>
  <r>
    <x v="3"/>
    <x v="6"/>
    <x v="3"/>
    <n v="16024"/>
    <n v="231"/>
    <n v="89898.28"/>
    <n v="24655.18"/>
    <x v="3"/>
  </r>
  <r>
    <x v="3"/>
    <x v="6"/>
    <x v="3"/>
    <n v="16650"/>
    <n v="60"/>
    <n v="10578.23"/>
    <n v="5717.32"/>
    <x v="0"/>
  </r>
  <r>
    <x v="3"/>
    <x v="6"/>
    <x v="3"/>
    <n v="17892"/>
    <n v="52"/>
    <n v="7186.64"/>
    <n v="1646.89"/>
    <x v="4"/>
  </r>
  <r>
    <x v="3"/>
    <x v="6"/>
    <x v="3"/>
    <n v="18342"/>
    <n v="143"/>
    <n v="111330.41"/>
    <n v="27121.47"/>
    <x v="3"/>
  </r>
  <r>
    <x v="3"/>
    <x v="6"/>
    <x v="3"/>
    <n v="20177"/>
    <n v="36"/>
    <n v="3867.25"/>
    <n v="1523.09"/>
    <x v="5"/>
  </r>
  <r>
    <x v="3"/>
    <x v="6"/>
    <x v="3"/>
    <n v="21179"/>
    <n v="44"/>
    <n v="6201.25"/>
    <n v="3897.4"/>
    <x v="0"/>
  </r>
  <r>
    <x v="3"/>
    <x v="6"/>
    <x v="3"/>
    <n v="21260"/>
    <n v="76"/>
    <n v="15809.71"/>
    <n v="4101.7700000000004"/>
    <x v="4"/>
  </r>
  <r>
    <x v="3"/>
    <x v="6"/>
    <x v="3"/>
    <n v="22317"/>
    <n v="29"/>
    <n v="2588.06"/>
    <n v="918.93"/>
    <x v="5"/>
  </r>
  <r>
    <x v="3"/>
    <x v="6"/>
    <x v="3"/>
    <n v="22940"/>
    <n v="356"/>
    <n v="45529.11"/>
    <n v="9212.3799999999992"/>
    <x v="2"/>
  </r>
  <r>
    <x v="3"/>
    <x v="6"/>
    <x v="3"/>
    <n v="23178"/>
    <n v="292"/>
    <n v="53411.94"/>
    <n v="9831.52"/>
    <x v="2"/>
  </r>
  <r>
    <x v="3"/>
    <x v="6"/>
    <x v="3"/>
    <n v="23600"/>
    <n v="834"/>
    <n v="88296.65"/>
    <n v="19861.32"/>
    <x v="2"/>
  </r>
  <r>
    <x v="3"/>
    <x v="6"/>
    <x v="3"/>
    <n v="23756"/>
    <n v="132"/>
    <n v="23280.98"/>
    <n v="12746.59"/>
    <x v="1"/>
  </r>
  <r>
    <x v="3"/>
    <x v="6"/>
    <x v="3"/>
    <n v="24326"/>
    <n v="73"/>
    <n v="10965.87"/>
    <n v="2832.78"/>
    <x v="4"/>
  </r>
  <r>
    <x v="0"/>
    <x v="6"/>
    <x v="4"/>
    <n v="12184"/>
    <n v="70"/>
    <n v="8524.23"/>
    <n v="3683.29"/>
    <x v="0"/>
  </r>
  <r>
    <x v="0"/>
    <x v="6"/>
    <x v="4"/>
    <n v="12622"/>
    <n v="76"/>
    <n v="17357.25"/>
    <n v="7000.11"/>
    <x v="1"/>
  </r>
  <r>
    <x v="0"/>
    <x v="6"/>
    <x v="4"/>
    <n v="13527"/>
    <n v="450"/>
    <n v="66754.929999999993"/>
    <n v="11859.56"/>
    <x v="2"/>
  </r>
  <r>
    <x v="0"/>
    <x v="6"/>
    <x v="4"/>
    <n v="13618"/>
    <n v="14"/>
    <n v="5215.71"/>
    <n v="2156.21"/>
    <x v="1"/>
  </r>
  <r>
    <x v="0"/>
    <x v="6"/>
    <x v="4"/>
    <n v="16024"/>
    <n v="222"/>
    <n v="95027.26"/>
    <n v="24380.67"/>
    <x v="3"/>
  </r>
  <r>
    <x v="0"/>
    <x v="6"/>
    <x v="4"/>
    <n v="16650"/>
    <n v="39"/>
    <n v="5363.74"/>
    <n v="2674.21"/>
    <x v="0"/>
  </r>
  <r>
    <x v="0"/>
    <x v="6"/>
    <x v="4"/>
    <n v="17892"/>
    <n v="69"/>
    <n v="9692.1200000000008"/>
    <n v="2793.85"/>
    <x v="4"/>
  </r>
  <r>
    <x v="0"/>
    <x v="6"/>
    <x v="4"/>
    <n v="18342"/>
    <n v="178"/>
    <n v="156175.78"/>
    <n v="48458.9"/>
    <x v="3"/>
  </r>
  <r>
    <x v="0"/>
    <x v="6"/>
    <x v="4"/>
    <n v="20177"/>
    <n v="101"/>
    <n v="10519.37"/>
    <n v="3568.26"/>
    <x v="5"/>
  </r>
  <r>
    <x v="0"/>
    <x v="6"/>
    <x v="4"/>
    <n v="21179"/>
    <n v="55"/>
    <n v="6002.29"/>
    <n v="3192.27"/>
    <x v="0"/>
  </r>
  <r>
    <x v="0"/>
    <x v="6"/>
    <x v="4"/>
    <n v="21260"/>
    <n v="107"/>
    <n v="19297.54"/>
    <n v="6312.16"/>
    <x v="4"/>
  </r>
  <r>
    <x v="0"/>
    <x v="6"/>
    <x v="4"/>
    <n v="22317"/>
    <n v="112"/>
    <n v="11047.27"/>
    <n v="3709.42"/>
    <x v="5"/>
  </r>
  <r>
    <x v="0"/>
    <x v="6"/>
    <x v="4"/>
    <n v="22940"/>
    <n v="645"/>
    <n v="81783.759999999995"/>
    <n v="17261.689999999999"/>
    <x v="2"/>
  </r>
  <r>
    <x v="0"/>
    <x v="6"/>
    <x v="4"/>
    <n v="23178"/>
    <n v="432"/>
    <n v="69806.62"/>
    <n v="11596.92"/>
    <x v="2"/>
  </r>
  <r>
    <x v="0"/>
    <x v="6"/>
    <x v="4"/>
    <n v="23600"/>
    <n v="855"/>
    <n v="102250.82"/>
    <n v="27643.49"/>
    <x v="2"/>
  </r>
  <r>
    <x v="0"/>
    <x v="6"/>
    <x v="4"/>
    <n v="23756"/>
    <n v="72"/>
    <n v="14584.01"/>
    <n v="6491.43"/>
    <x v="1"/>
  </r>
  <r>
    <x v="0"/>
    <x v="6"/>
    <x v="4"/>
    <n v="24326"/>
    <n v="77"/>
    <n v="9913.66"/>
    <n v="2938.04"/>
    <x v="4"/>
  </r>
  <r>
    <x v="1"/>
    <x v="6"/>
    <x v="4"/>
    <n v="12184"/>
    <n v="30"/>
    <n v="3294.8"/>
    <n v="1877.52"/>
    <x v="0"/>
  </r>
  <r>
    <x v="1"/>
    <x v="6"/>
    <x v="4"/>
    <n v="12622"/>
    <n v="22"/>
    <n v="4906.83"/>
    <n v="1916.79"/>
    <x v="1"/>
  </r>
  <r>
    <x v="1"/>
    <x v="6"/>
    <x v="4"/>
    <n v="13527"/>
    <n v="317"/>
    <n v="48665.65"/>
    <n v="8618.52"/>
    <x v="2"/>
  </r>
  <r>
    <x v="1"/>
    <x v="6"/>
    <x v="4"/>
    <n v="13618"/>
    <n v="10"/>
    <n v="3848.21"/>
    <n v="1580.32"/>
    <x v="1"/>
  </r>
  <r>
    <x v="1"/>
    <x v="6"/>
    <x v="4"/>
    <n v="16024"/>
    <n v="216"/>
    <n v="89061.08"/>
    <n v="31287.89"/>
    <x v="3"/>
  </r>
  <r>
    <x v="1"/>
    <x v="6"/>
    <x v="4"/>
    <n v="16650"/>
    <n v="37"/>
    <n v="6383.7"/>
    <n v="3846.45"/>
    <x v="0"/>
  </r>
  <r>
    <x v="1"/>
    <x v="6"/>
    <x v="4"/>
    <n v="17892"/>
    <n v="45"/>
    <n v="6123.63"/>
    <n v="1672.27"/>
    <x v="4"/>
  </r>
  <r>
    <x v="1"/>
    <x v="6"/>
    <x v="4"/>
    <n v="18342"/>
    <n v="20"/>
    <n v="18818.830000000002"/>
    <n v="6465.77"/>
    <x v="3"/>
  </r>
  <r>
    <x v="1"/>
    <x v="6"/>
    <x v="4"/>
    <n v="20177"/>
    <n v="21"/>
    <n v="1981.15"/>
    <n v="714.51"/>
    <x v="5"/>
  </r>
  <r>
    <x v="1"/>
    <x v="6"/>
    <x v="4"/>
    <n v="21179"/>
    <n v="19"/>
    <n v="2089.85"/>
    <n v="1057.18"/>
    <x v="0"/>
  </r>
  <r>
    <x v="1"/>
    <x v="6"/>
    <x v="4"/>
    <n v="21260"/>
    <n v="27"/>
    <n v="4769.2299999999996"/>
    <n v="1077.3900000000001"/>
    <x v="4"/>
  </r>
  <r>
    <x v="1"/>
    <x v="6"/>
    <x v="4"/>
    <n v="22317"/>
    <n v="15"/>
    <n v="1188.24"/>
    <n v="613.41999999999996"/>
    <x v="5"/>
  </r>
  <r>
    <x v="1"/>
    <x v="6"/>
    <x v="4"/>
    <n v="22940"/>
    <n v="228"/>
    <n v="27506"/>
    <n v="6599.11"/>
    <x v="2"/>
  </r>
  <r>
    <x v="1"/>
    <x v="6"/>
    <x v="4"/>
    <n v="23178"/>
    <n v="155"/>
    <n v="29367.74"/>
    <n v="7081.86"/>
    <x v="2"/>
  </r>
  <r>
    <x v="1"/>
    <x v="6"/>
    <x v="4"/>
    <n v="23600"/>
    <n v="484"/>
    <n v="51782.01"/>
    <n v="13608.26"/>
    <x v="2"/>
  </r>
  <r>
    <x v="1"/>
    <x v="6"/>
    <x v="4"/>
    <n v="23756"/>
    <n v="63"/>
    <n v="10790.38"/>
    <n v="5284.18"/>
    <x v="1"/>
  </r>
  <r>
    <x v="1"/>
    <x v="6"/>
    <x v="4"/>
    <n v="24326"/>
    <n v="28"/>
    <n v="4249.22"/>
    <n v="1279.98"/>
    <x v="4"/>
  </r>
  <r>
    <x v="2"/>
    <x v="6"/>
    <x v="4"/>
    <n v="12184"/>
    <n v="61"/>
    <n v="8163.98"/>
    <n v="5569.45"/>
    <x v="0"/>
  </r>
  <r>
    <x v="2"/>
    <x v="6"/>
    <x v="4"/>
    <n v="12622"/>
    <n v="24"/>
    <n v="6325.9"/>
    <n v="4075.55"/>
    <x v="1"/>
  </r>
  <r>
    <x v="2"/>
    <x v="6"/>
    <x v="4"/>
    <n v="13527"/>
    <n v="513"/>
    <n v="91792.91"/>
    <n v="22933.41"/>
    <x v="2"/>
  </r>
  <r>
    <x v="2"/>
    <x v="6"/>
    <x v="4"/>
    <n v="13618"/>
    <n v="29"/>
    <n v="10821.54"/>
    <n v="5489.46"/>
    <x v="1"/>
  </r>
  <r>
    <x v="2"/>
    <x v="6"/>
    <x v="4"/>
    <n v="16024"/>
    <n v="133"/>
    <n v="52225.760000000002"/>
    <n v="14151.7"/>
    <x v="3"/>
  </r>
  <r>
    <x v="2"/>
    <x v="6"/>
    <x v="4"/>
    <n v="16650"/>
    <n v="24"/>
    <n v="3191.79"/>
    <n v="1957.19"/>
    <x v="0"/>
  </r>
  <r>
    <x v="2"/>
    <x v="6"/>
    <x v="4"/>
    <n v="17892"/>
    <n v="108"/>
    <n v="14643.84"/>
    <n v="4981.4399999999996"/>
    <x v="4"/>
  </r>
  <r>
    <x v="2"/>
    <x v="6"/>
    <x v="4"/>
    <n v="18342"/>
    <n v="107"/>
    <n v="81203.69"/>
    <n v="25577.919999999998"/>
    <x v="3"/>
  </r>
  <r>
    <x v="2"/>
    <x v="6"/>
    <x v="4"/>
    <n v="20177"/>
    <n v="47"/>
    <n v="4257.16"/>
    <n v="2157.8000000000002"/>
    <x v="5"/>
  </r>
  <r>
    <x v="2"/>
    <x v="6"/>
    <x v="4"/>
    <n v="21179"/>
    <n v="39"/>
    <n v="5273.4"/>
    <n v="3051.92"/>
    <x v="0"/>
  </r>
  <r>
    <x v="2"/>
    <x v="6"/>
    <x v="4"/>
    <n v="21260"/>
    <n v="54"/>
    <n v="9517.2000000000007"/>
    <n v="2992.56"/>
    <x v="4"/>
  </r>
  <r>
    <x v="2"/>
    <x v="6"/>
    <x v="4"/>
    <n v="22317"/>
    <n v="28"/>
    <n v="2206.14"/>
    <n v="1161.9100000000001"/>
    <x v="5"/>
  </r>
  <r>
    <x v="2"/>
    <x v="6"/>
    <x v="4"/>
    <n v="22940"/>
    <n v="473"/>
    <n v="66455.960000000006"/>
    <n v="17118.18"/>
    <x v="2"/>
  </r>
  <r>
    <x v="2"/>
    <x v="6"/>
    <x v="4"/>
    <n v="23178"/>
    <n v="203"/>
    <n v="36445.160000000003"/>
    <n v="8829.76"/>
    <x v="2"/>
  </r>
  <r>
    <x v="2"/>
    <x v="6"/>
    <x v="4"/>
    <n v="23600"/>
    <n v="1072"/>
    <n v="109060.68"/>
    <n v="30039.22"/>
    <x v="2"/>
  </r>
  <r>
    <x v="2"/>
    <x v="6"/>
    <x v="4"/>
    <n v="23756"/>
    <n v="103"/>
    <n v="22277.21"/>
    <n v="14165.32"/>
    <x v="1"/>
  </r>
  <r>
    <x v="2"/>
    <x v="6"/>
    <x v="4"/>
    <n v="24326"/>
    <n v="99"/>
    <n v="13767.13"/>
    <n v="3935.81"/>
    <x v="4"/>
  </r>
  <r>
    <x v="3"/>
    <x v="6"/>
    <x v="4"/>
    <n v="12184"/>
    <n v="62"/>
    <n v="6467.91"/>
    <n v="3547.54"/>
    <x v="0"/>
  </r>
  <r>
    <x v="3"/>
    <x v="6"/>
    <x v="4"/>
    <n v="12622"/>
    <n v="42"/>
    <n v="12036.97"/>
    <n v="5845.69"/>
    <x v="1"/>
  </r>
  <r>
    <x v="3"/>
    <x v="6"/>
    <x v="4"/>
    <n v="13527"/>
    <n v="686"/>
    <n v="112397.87"/>
    <n v="24727.29"/>
    <x v="2"/>
  </r>
  <r>
    <x v="3"/>
    <x v="6"/>
    <x v="4"/>
    <n v="13618"/>
    <n v="9"/>
    <n v="3892.42"/>
    <n v="1619.66"/>
    <x v="1"/>
  </r>
  <r>
    <x v="3"/>
    <x v="6"/>
    <x v="4"/>
    <n v="16024"/>
    <n v="203"/>
    <n v="91462.59"/>
    <n v="21868.34"/>
    <x v="3"/>
  </r>
  <r>
    <x v="3"/>
    <x v="6"/>
    <x v="4"/>
    <n v="16650"/>
    <n v="23"/>
    <n v="3840.92"/>
    <n v="2447.21"/>
    <x v="0"/>
  </r>
  <r>
    <x v="3"/>
    <x v="6"/>
    <x v="4"/>
    <n v="17892"/>
    <n v="91"/>
    <n v="11730.7"/>
    <n v="2639.08"/>
    <x v="4"/>
  </r>
  <r>
    <x v="3"/>
    <x v="6"/>
    <x v="4"/>
    <n v="18342"/>
    <n v="225"/>
    <n v="192062.34"/>
    <n v="49037.88"/>
    <x v="3"/>
  </r>
  <r>
    <x v="3"/>
    <x v="6"/>
    <x v="4"/>
    <n v="20177"/>
    <n v="86"/>
    <n v="9374.08"/>
    <n v="3260.16"/>
    <x v="5"/>
  </r>
  <r>
    <x v="3"/>
    <x v="6"/>
    <x v="4"/>
    <n v="21179"/>
    <n v="52"/>
    <n v="6216.15"/>
    <n v="3314.28"/>
    <x v="0"/>
  </r>
  <r>
    <x v="3"/>
    <x v="6"/>
    <x v="4"/>
    <n v="21260"/>
    <n v="52"/>
    <n v="10593.03"/>
    <n v="2414.8000000000002"/>
    <x v="4"/>
  </r>
  <r>
    <x v="3"/>
    <x v="6"/>
    <x v="4"/>
    <n v="22317"/>
    <n v="65"/>
    <n v="6490.89"/>
    <n v="2178.7600000000002"/>
    <x v="5"/>
  </r>
  <r>
    <x v="3"/>
    <x v="6"/>
    <x v="4"/>
    <n v="22940"/>
    <n v="514"/>
    <n v="71085.67"/>
    <n v="14334.04"/>
    <x v="2"/>
  </r>
  <r>
    <x v="3"/>
    <x v="6"/>
    <x v="4"/>
    <n v="23178"/>
    <n v="189"/>
    <n v="34153.269999999997"/>
    <n v="6629.8"/>
    <x v="2"/>
  </r>
  <r>
    <x v="3"/>
    <x v="6"/>
    <x v="4"/>
    <n v="23600"/>
    <n v="744"/>
    <n v="85988.800000000003"/>
    <n v="20268.57"/>
    <x v="2"/>
  </r>
  <r>
    <x v="3"/>
    <x v="6"/>
    <x v="4"/>
    <n v="23756"/>
    <n v="114"/>
    <n v="18201.8"/>
    <n v="8985.26"/>
    <x v="1"/>
  </r>
  <r>
    <x v="3"/>
    <x v="6"/>
    <x v="4"/>
    <n v="24326"/>
    <n v="51"/>
    <n v="7759.34"/>
    <n v="1775.7"/>
    <x v="4"/>
  </r>
  <r>
    <x v="0"/>
    <x v="6"/>
    <x v="5"/>
    <n v="12184"/>
    <n v="93"/>
    <n v="11067.66"/>
    <n v="5288.28"/>
    <x v="0"/>
  </r>
  <r>
    <x v="0"/>
    <x v="6"/>
    <x v="5"/>
    <n v="12622"/>
    <n v="52"/>
    <n v="11578.07"/>
    <n v="5637.99"/>
    <x v="1"/>
  </r>
  <r>
    <x v="0"/>
    <x v="6"/>
    <x v="5"/>
    <n v="13527"/>
    <n v="646"/>
    <n v="109331.34"/>
    <n v="19698.900000000001"/>
    <x v="2"/>
  </r>
  <r>
    <x v="0"/>
    <x v="6"/>
    <x v="5"/>
    <n v="13618"/>
    <n v="13"/>
    <n v="5095.74"/>
    <n v="2629.23"/>
    <x v="1"/>
  </r>
  <r>
    <x v="0"/>
    <x v="6"/>
    <x v="5"/>
    <n v="16024"/>
    <n v="292"/>
    <n v="131399.43"/>
    <n v="40000.07"/>
    <x v="3"/>
  </r>
  <r>
    <x v="0"/>
    <x v="6"/>
    <x v="5"/>
    <n v="16650"/>
    <n v="27"/>
    <n v="4446.57"/>
    <n v="2155.15"/>
    <x v="0"/>
  </r>
  <r>
    <x v="0"/>
    <x v="6"/>
    <x v="5"/>
    <n v="17892"/>
    <n v="160"/>
    <n v="20891.52"/>
    <n v="6798.74"/>
    <x v="4"/>
  </r>
  <r>
    <x v="0"/>
    <x v="6"/>
    <x v="5"/>
    <n v="18342"/>
    <n v="122"/>
    <n v="91126.92"/>
    <n v="25846.3"/>
    <x v="3"/>
  </r>
  <r>
    <x v="0"/>
    <x v="6"/>
    <x v="5"/>
    <n v="20177"/>
    <n v="91"/>
    <n v="10566.92"/>
    <n v="4572.9399999999996"/>
    <x v="5"/>
  </r>
  <r>
    <x v="0"/>
    <x v="6"/>
    <x v="5"/>
    <n v="21179"/>
    <n v="81"/>
    <n v="11121.84"/>
    <n v="4926.57"/>
    <x v="0"/>
  </r>
  <r>
    <x v="0"/>
    <x v="6"/>
    <x v="5"/>
    <n v="21260"/>
    <n v="64"/>
    <n v="13764.14"/>
    <n v="4220.78"/>
    <x v="4"/>
  </r>
  <r>
    <x v="0"/>
    <x v="6"/>
    <x v="5"/>
    <n v="22317"/>
    <n v="82"/>
    <n v="7540.77"/>
    <n v="2624.28"/>
    <x v="5"/>
  </r>
  <r>
    <x v="0"/>
    <x v="6"/>
    <x v="5"/>
    <n v="22940"/>
    <n v="850"/>
    <n v="105933.6"/>
    <n v="16970.13"/>
    <x v="2"/>
  </r>
  <r>
    <x v="0"/>
    <x v="6"/>
    <x v="5"/>
    <n v="23178"/>
    <n v="460"/>
    <n v="75663.39"/>
    <n v="13799.87"/>
    <x v="2"/>
  </r>
  <r>
    <x v="0"/>
    <x v="6"/>
    <x v="5"/>
    <n v="23600"/>
    <n v="599"/>
    <n v="63213.48"/>
    <n v="13705.35"/>
    <x v="2"/>
  </r>
  <r>
    <x v="0"/>
    <x v="6"/>
    <x v="5"/>
    <n v="23756"/>
    <n v="113"/>
    <n v="21981.73"/>
    <n v="11597.77"/>
    <x v="1"/>
  </r>
  <r>
    <x v="0"/>
    <x v="6"/>
    <x v="5"/>
    <n v="24326"/>
    <n v="213"/>
    <n v="32487"/>
    <n v="7991.2"/>
    <x v="4"/>
  </r>
  <r>
    <x v="1"/>
    <x v="6"/>
    <x v="5"/>
    <n v="12184"/>
    <n v="23"/>
    <n v="2918.2"/>
    <n v="1252.6400000000001"/>
    <x v="0"/>
  </r>
  <r>
    <x v="1"/>
    <x v="6"/>
    <x v="5"/>
    <n v="12622"/>
    <n v="13"/>
    <n v="3082.07"/>
    <n v="1210.93"/>
    <x v="1"/>
  </r>
  <r>
    <x v="1"/>
    <x v="6"/>
    <x v="5"/>
    <n v="13527"/>
    <n v="228"/>
    <n v="34597.269999999997"/>
    <n v="6756.44"/>
    <x v="2"/>
  </r>
  <r>
    <x v="1"/>
    <x v="6"/>
    <x v="5"/>
    <n v="13618"/>
    <n v="9"/>
    <n v="2887.02"/>
    <n v="1168.81"/>
    <x v="1"/>
  </r>
  <r>
    <x v="1"/>
    <x v="6"/>
    <x v="5"/>
    <n v="16024"/>
    <n v="183"/>
    <n v="75431.41"/>
    <n v="22431.91"/>
    <x v="3"/>
  </r>
  <r>
    <x v="1"/>
    <x v="6"/>
    <x v="5"/>
    <n v="16650"/>
    <n v="22"/>
    <n v="3262.42"/>
    <n v="1794.97"/>
    <x v="0"/>
  </r>
  <r>
    <x v="1"/>
    <x v="6"/>
    <x v="5"/>
    <n v="17892"/>
    <n v="76"/>
    <n v="10667.24"/>
    <n v="2473.25"/>
    <x v="4"/>
  </r>
  <r>
    <x v="1"/>
    <x v="6"/>
    <x v="5"/>
    <n v="18342"/>
    <n v="17"/>
    <n v="13582.43"/>
    <n v="4592.17"/>
    <x v="3"/>
  </r>
  <r>
    <x v="1"/>
    <x v="6"/>
    <x v="5"/>
    <n v="20177"/>
    <n v="19"/>
    <n v="1655.83"/>
    <n v="720.97"/>
    <x v="5"/>
  </r>
  <r>
    <x v="1"/>
    <x v="6"/>
    <x v="5"/>
    <n v="21179"/>
    <n v="43"/>
    <n v="5636.05"/>
    <n v="3358.56"/>
    <x v="0"/>
  </r>
  <r>
    <x v="1"/>
    <x v="6"/>
    <x v="5"/>
    <n v="21260"/>
    <n v="52"/>
    <n v="9166.19"/>
    <n v="1929.05"/>
    <x v="4"/>
  </r>
  <r>
    <x v="1"/>
    <x v="6"/>
    <x v="5"/>
    <n v="22317"/>
    <n v="18"/>
    <n v="1719.41"/>
    <n v="690.83"/>
    <x v="5"/>
  </r>
  <r>
    <x v="1"/>
    <x v="6"/>
    <x v="5"/>
    <n v="22940"/>
    <n v="202"/>
    <n v="28257.03"/>
    <n v="8043.4"/>
    <x v="2"/>
  </r>
  <r>
    <x v="1"/>
    <x v="6"/>
    <x v="5"/>
    <n v="23178"/>
    <n v="143"/>
    <n v="23965.09"/>
    <n v="7210.6"/>
    <x v="2"/>
  </r>
  <r>
    <x v="1"/>
    <x v="6"/>
    <x v="5"/>
    <n v="23600"/>
    <n v="681"/>
    <n v="80172.58"/>
    <n v="22347.57"/>
    <x v="2"/>
  </r>
  <r>
    <x v="1"/>
    <x v="6"/>
    <x v="5"/>
    <n v="23756"/>
    <n v="95"/>
    <n v="15043.35"/>
    <n v="6416.99"/>
    <x v="1"/>
  </r>
  <r>
    <x v="1"/>
    <x v="6"/>
    <x v="5"/>
    <n v="24326"/>
    <n v="40"/>
    <n v="5708.23"/>
    <n v="1737.39"/>
    <x v="4"/>
  </r>
  <r>
    <x v="2"/>
    <x v="6"/>
    <x v="5"/>
    <n v="12184"/>
    <n v="118"/>
    <n v="14691.52"/>
    <n v="8913.42"/>
    <x v="0"/>
  </r>
  <r>
    <x v="2"/>
    <x v="6"/>
    <x v="5"/>
    <n v="12622"/>
    <n v="46"/>
    <n v="13720.39"/>
    <n v="8505.9500000000007"/>
    <x v="1"/>
  </r>
  <r>
    <x v="2"/>
    <x v="6"/>
    <x v="5"/>
    <n v="13527"/>
    <n v="257"/>
    <n v="38327.360000000001"/>
    <n v="8587.23"/>
    <x v="2"/>
  </r>
  <r>
    <x v="2"/>
    <x v="6"/>
    <x v="5"/>
    <n v="13618"/>
    <n v="28"/>
    <n v="12050.3"/>
    <n v="7552.86"/>
    <x v="1"/>
  </r>
  <r>
    <x v="2"/>
    <x v="6"/>
    <x v="5"/>
    <n v="16024"/>
    <n v="312"/>
    <n v="123407.83"/>
    <n v="37650.11"/>
    <x v="3"/>
  </r>
  <r>
    <x v="2"/>
    <x v="6"/>
    <x v="5"/>
    <n v="16650"/>
    <n v="43"/>
    <n v="6724.86"/>
    <n v="5010.0200000000004"/>
    <x v="0"/>
  </r>
  <r>
    <x v="2"/>
    <x v="6"/>
    <x v="5"/>
    <n v="17892"/>
    <n v="75"/>
    <n v="11381.77"/>
    <n v="3618.19"/>
    <x v="4"/>
  </r>
  <r>
    <x v="2"/>
    <x v="6"/>
    <x v="5"/>
    <n v="18342"/>
    <n v="66"/>
    <n v="53267.1"/>
    <n v="14890.92"/>
    <x v="3"/>
  </r>
  <r>
    <x v="2"/>
    <x v="6"/>
    <x v="5"/>
    <n v="20177"/>
    <n v="54"/>
    <n v="6469.02"/>
    <n v="3026.07"/>
    <x v="5"/>
  </r>
  <r>
    <x v="2"/>
    <x v="6"/>
    <x v="5"/>
    <n v="21179"/>
    <n v="54"/>
    <n v="8279.89"/>
    <n v="5383.83"/>
    <x v="0"/>
  </r>
  <r>
    <x v="2"/>
    <x v="6"/>
    <x v="5"/>
    <n v="21260"/>
    <n v="63"/>
    <n v="10785.14"/>
    <n v="3209.22"/>
    <x v="4"/>
  </r>
  <r>
    <x v="2"/>
    <x v="6"/>
    <x v="5"/>
    <n v="22317"/>
    <n v="43"/>
    <n v="3602.49"/>
    <n v="1769.61"/>
    <x v="5"/>
  </r>
  <r>
    <x v="2"/>
    <x v="6"/>
    <x v="5"/>
    <n v="22940"/>
    <n v="378"/>
    <n v="52952.07"/>
    <n v="12212.62"/>
    <x v="2"/>
  </r>
  <r>
    <x v="2"/>
    <x v="6"/>
    <x v="5"/>
    <n v="23178"/>
    <n v="135"/>
    <n v="21804.2"/>
    <n v="6304.16"/>
    <x v="2"/>
  </r>
  <r>
    <x v="2"/>
    <x v="6"/>
    <x v="5"/>
    <n v="23600"/>
    <n v="746"/>
    <n v="86996.36"/>
    <n v="28223.26"/>
    <x v="2"/>
  </r>
  <r>
    <x v="2"/>
    <x v="6"/>
    <x v="5"/>
    <n v="23756"/>
    <n v="105"/>
    <n v="21247.72"/>
    <n v="11559.09"/>
    <x v="1"/>
  </r>
  <r>
    <x v="2"/>
    <x v="6"/>
    <x v="5"/>
    <n v="24326"/>
    <n v="62"/>
    <n v="8925.8799999999992"/>
    <n v="2692.49"/>
    <x v="4"/>
  </r>
  <r>
    <x v="3"/>
    <x v="6"/>
    <x v="5"/>
    <n v="12184"/>
    <n v="98"/>
    <n v="13805.7"/>
    <n v="8391.7999999999993"/>
    <x v="0"/>
  </r>
  <r>
    <x v="3"/>
    <x v="6"/>
    <x v="5"/>
    <n v="12622"/>
    <n v="59"/>
    <n v="13022.17"/>
    <n v="6983.9"/>
    <x v="1"/>
  </r>
  <r>
    <x v="3"/>
    <x v="6"/>
    <x v="5"/>
    <n v="13527"/>
    <n v="575"/>
    <n v="95893.35"/>
    <n v="21334.2"/>
    <x v="2"/>
  </r>
  <r>
    <x v="3"/>
    <x v="6"/>
    <x v="5"/>
    <n v="13618"/>
    <n v="15"/>
    <n v="6769.71"/>
    <n v="3042.85"/>
    <x v="1"/>
  </r>
  <r>
    <x v="3"/>
    <x v="6"/>
    <x v="5"/>
    <n v="16024"/>
    <n v="207"/>
    <n v="79744.17"/>
    <n v="20596.28"/>
    <x v="3"/>
  </r>
  <r>
    <x v="3"/>
    <x v="6"/>
    <x v="5"/>
    <n v="16650"/>
    <n v="60"/>
    <n v="8364.16"/>
    <n v="5252.25"/>
    <x v="0"/>
  </r>
  <r>
    <x v="3"/>
    <x v="6"/>
    <x v="5"/>
    <n v="17892"/>
    <n v="80"/>
    <n v="12374.19"/>
    <n v="3511.73"/>
    <x v="4"/>
  </r>
  <r>
    <x v="3"/>
    <x v="6"/>
    <x v="5"/>
    <n v="18342"/>
    <n v="209"/>
    <n v="180045.27"/>
    <n v="40204.730000000003"/>
    <x v="3"/>
  </r>
  <r>
    <x v="3"/>
    <x v="6"/>
    <x v="5"/>
    <n v="20177"/>
    <n v="106"/>
    <n v="11487"/>
    <n v="4119.33"/>
    <x v="5"/>
  </r>
  <r>
    <x v="3"/>
    <x v="6"/>
    <x v="5"/>
    <n v="21179"/>
    <n v="25"/>
    <n v="3272.67"/>
    <n v="2089.19"/>
    <x v="0"/>
  </r>
  <r>
    <x v="3"/>
    <x v="6"/>
    <x v="5"/>
    <n v="21260"/>
    <n v="45"/>
    <n v="8247.51"/>
    <n v="2364.9699999999998"/>
    <x v="4"/>
  </r>
  <r>
    <x v="3"/>
    <x v="6"/>
    <x v="5"/>
    <n v="22317"/>
    <n v="48"/>
    <n v="4328.4799999999996"/>
    <n v="1880.32"/>
    <x v="5"/>
  </r>
  <r>
    <x v="3"/>
    <x v="6"/>
    <x v="5"/>
    <n v="22940"/>
    <n v="620"/>
    <n v="81333.990000000005"/>
    <n v="17879.95"/>
    <x v="2"/>
  </r>
  <r>
    <x v="3"/>
    <x v="6"/>
    <x v="5"/>
    <n v="23178"/>
    <n v="288"/>
    <n v="47191.85"/>
    <n v="11009.18"/>
    <x v="2"/>
  </r>
  <r>
    <x v="3"/>
    <x v="6"/>
    <x v="5"/>
    <n v="23600"/>
    <n v="598"/>
    <n v="64527.67"/>
    <n v="13734.14"/>
    <x v="2"/>
  </r>
  <r>
    <x v="3"/>
    <x v="6"/>
    <x v="5"/>
    <n v="23756"/>
    <n v="117"/>
    <n v="20521.990000000002"/>
    <n v="9998.4500000000007"/>
    <x v="1"/>
  </r>
  <r>
    <x v="3"/>
    <x v="6"/>
    <x v="5"/>
    <n v="24326"/>
    <n v="129"/>
    <n v="16853.98"/>
    <n v="4710.28"/>
    <x v="4"/>
  </r>
  <r>
    <x v="0"/>
    <x v="6"/>
    <x v="6"/>
    <n v="12184"/>
    <n v="111"/>
    <n v="11029.22"/>
    <n v="5426.86"/>
    <x v="0"/>
  </r>
  <r>
    <x v="0"/>
    <x v="6"/>
    <x v="6"/>
    <n v="12622"/>
    <n v="61"/>
    <n v="18267.22"/>
    <n v="8039.43"/>
    <x v="1"/>
  </r>
  <r>
    <x v="0"/>
    <x v="6"/>
    <x v="6"/>
    <n v="13527"/>
    <n v="305"/>
    <n v="45621.57"/>
    <n v="8026.29"/>
    <x v="2"/>
  </r>
  <r>
    <x v="0"/>
    <x v="6"/>
    <x v="6"/>
    <n v="13618"/>
    <n v="18"/>
    <n v="6606.07"/>
    <n v="2904.92"/>
    <x v="1"/>
  </r>
  <r>
    <x v="0"/>
    <x v="6"/>
    <x v="6"/>
    <n v="16024"/>
    <n v="337"/>
    <n v="150680.68"/>
    <n v="46488.67"/>
    <x v="3"/>
  </r>
  <r>
    <x v="0"/>
    <x v="6"/>
    <x v="6"/>
    <n v="16650"/>
    <n v="48"/>
    <n v="7464.71"/>
    <n v="3706.32"/>
    <x v="0"/>
  </r>
  <r>
    <x v="0"/>
    <x v="6"/>
    <x v="6"/>
    <n v="17892"/>
    <n v="166"/>
    <n v="20895.080000000002"/>
    <n v="5189.87"/>
    <x v="4"/>
  </r>
  <r>
    <x v="0"/>
    <x v="6"/>
    <x v="6"/>
    <n v="18342"/>
    <n v="263"/>
    <n v="221381.48"/>
    <n v="70188.509999999995"/>
    <x v="3"/>
  </r>
  <r>
    <x v="0"/>
    <x v="6"/>
    <x v="6"/>
    <n v="20177"/>
    <n v="91"/>
    <n v="8478.5300000000007"/>
    <n v="3569.1"/>
    <x v="5"/>
  </r>
  <r>
    <x v="0"/>
    <x v="6"/>
    <x v="6"/>
    <n v="21179"/>
    <n v="56"/>
    <n v="7844.47"/>
    <n v="3340.58"/>
    <x v="0"/>
  </r>
  <r>
    <x v="0"/>
    <x v="6"/>
    <x v="6"/>
    <n v="21260"/>
    <n v="87"/>
    <n v="16447.88"/>
    <n v="5211.55"/>
    <x v="4"/>
  </r>
  <r>
    <x v="0"/>
    <x v="6"/>
    <x v="6"/>
    <n v="22317"/>
    <n v="77"/>
    <n v="6919.47"/>
    <n v="2874.39"/>
    <x v="5"/>
  </r>
  <r>
    <x v="0"/>
    <x v="6"/>
    <x v="6"/>
    <n v="22940"/>
    <n v="859"/>
    <n v="112502.16"/>
    <n v="20913.84"/>
    <x v="2"/>
  </r>
  <r>
    <x v="0"/>
    <x v="6"/>
    <x v="6"/>
    <n v="23178"/>
    <n v="384"/>
    <n v="61631.78"/>
    <n v="12215.52"/>
    <x v="2"/>
  </r>
  <r>
    <x v="0"/>
    <x v="6"/>
    <x v="6"/>
    <n v="23600"/>
    <n v="1409"/>
    <n v="170318.32"/>
    <n v="44720.13"/>
    <x v="2"/>
  </r>
  <r>
    <x v="0"/>
    <x v="6"/>
    <x v="6"/>
    <n v="23756"/>
    <n v="106"/>
    <n v="20441.57"/>
    <n v="8918.2900000000009"/>
    <x v="1"/>
  </r>
  <r>
    <x v="0"/>
    <x v="6"/>
    <x v="6"/>
    <n v="24326"/>
    <n v="147"/>
    <n v="21813.86"/>
    <n v="6876.32"/>
    <x v="4"/>
  </r>
  <r>
    <x v="1"/>
    <x v="6"/>
    <x v="6"/>
    <n v="12184"/>
    <n v="25"/>
    <n v="2794.8"/>
    <n v="1609.38"/>
    <x v="0"/>
  </r>
  <r>
    <x v="1"/>
    <x v="6"/>
    <x v="6"/>
    <n v="12622"/>
    <n v="15"/>
    <n v="3585.3"/>
    <n v="1377.22"/>
    <x v="1"/>
  </r>
  <r>
    <x v="1"/>
    <x v="6"/>
    <x v="6"/>
    <n v="13527"/>
    <n v="242"/>
    <n v="35523.760000000002"/>
    <n v="7137.76"/>
    <x v="2"/>
  </r>
  <r>
    <x v="1"/>
    <x v="6"/>
    <x v="6"/>
    <n v="13618"/>
    <n v="4"/>
    <n v="1292.79"/>
    <n v="496.22"/>
    <x v="1"/>
  </r>
  <r>
    <x v="1"/>
    <x v="6"/>
    <x v="6"/>
    <n v="16024"/>
    <n v="116"/>
    <n v="51867.95"/>
    <n v="14738"/>
    <x v="3"/>
  </r>
  <r>
    <x v="1"/>
    <x v="6"/>
    <x v="6"/>
    <n v="16650"/>
    <n v="22"/>
    <n v="4036.77"/>
    <n v="2241.58"/>
    <x v="0"/>
  </r>
  <r>
    <x v="1"/>
    <x v="6"/>
    <x v="6"/>
    <n v="17892"/>
    <n v="52"/>
    <n v="7148.82"/>
    <n v="1965.85"/>
    <x v="4"/>
  </r>
  <r>
    <x v="1"/>
    <x v="6"/>
    <x v="6"/>
    <n v="18342"/>
    <n v="26"/>
    <n v="20159.669999999998"/>
    <n v="5245.24"/>
    <x v="3"/>
  </r>
  <r>
    <x v="1"/>
    <x v="6"/>
    <x v="6"/>
    <n v="20177"/>
    <n v="31"/>
    <n v="3316.14"/>
    <n v="1155.9000000000001"/>
    <x v="5"/>
  </r>
  <r>
    <x v="1"/>
    <x v="6"/>
    <x v="6"/>
    <n v="21179"/>
    <n v="22"/>
    <n v="3214.45"/>
    <n v="1879.42"/>
    <x v="0"/>
  </r>
  <r>
    <x v="1"/>
    <x v="6"/>
    <x v="6"/>
    <n v="21260"/>
    <n v="30"/>
    <n v="5529.64"/>
    <n v="1368.34"/>
    <x v="4"/>
  </r>
  <r>
    <x v="1"/>
    <x v="6"/>
    <x v="6"/>
    <n v="22317"/>
    <n v="10"/>
    <n v="1041.6099999999999"/>
    <n v="467.49"/>
    <x v="5"/>
  </r>
  <r>
    <x v="1"/>
    <x v="6"/>
    <x v="6"/>
    <n v="22940"/>
    <n v="172"/>
    <n v="21249.59"/>
    <n v="6009.85"/>
    <x v="2"/>
  </r>
  <r>
    <x v="1"/>
    <x v="6"/>
    <x v="6"/>
    <n v="23178"/>
    <n v="230"/>
    <n v="40961.980000000003"/>
    <n v="10912.53"/>
    <x v="2"/>
  </r>
  <r>
    <x v="1"/>
    <x v="6"/>
    <x v="6"/>
    <n v="23600"/>
    <n v="777"/>
    <n v="90827.06"/>
    <n v="24503.94"/>
    <x v="2"/>
  </r>
  <r>
    <x v="1"/>
    <x v="6"/>
    <x v="6"/>
    <n v="23756"/>
    <n v="58"/>
    <n v="9099.26"/>
    <n v="3852.45"/>
    <x v="1"/>
  </r>
  <r>
    <x v="1"/>
    <x v="6"/>
    <x v="6"/>
    <n v="24326"/>
    <n v="27"/>
    <n v="3498.89"/>
    <n v="940.55"/>
    <x v="4"/>
  </r>
  <r>
    <x v="2"/>
    <x v="6"/>
    <x v="6"/>
    <n v="12184"/>
    <n v="97"/>
    <n v="11119.23"/>
    <n v="8130.14"/>
    <x v="0"/>
  </r>
  <r>
    <x v="2"/>
    <x v="6"/>
    <x v="6"/>
    <n v="12622"/>
    <n v="30"/>
    <n v="9652.74"/>
    <n v="6264.32"/>
    <x v="1"/>
  </r>
  <r>
    <x v="2"/>
    <x v="6"/>
    <x v="6"/>
    <n v="13527"/>
    <n v="386"/>
    <n v="57723.09"/>
    <n v="13642.71"/>
    <x v="2"/>
  </r>
  <r>
    <x v="2"/>
    <x v="6"/>
    <x v="6"/>
    <n v="13618"/>
    <n v="13"/>
    <n v="4123.1499999999996"/>
    <n v="2343.3200000000002"/>
    <x v="1"/>
  </r>
  <r>
    <x v="2"/>
    <x v="6"/>
    <x v="6"/>
    <n v="16024"/>
    <n v="160"/>
    <n v="71830.559999999998"/>
    <n v="23868.43"/>
    <x v="3"/>
  </r>
  <r>
    <x v="2"/>
    <x v="6"/>
    <x v="6"/>
    <n v="16650"/>
    <n v="42"/>
    <n v="6134.98"/>
    <n v="3949.72"/>
    <x v="0"/>
  </r>
  <r>
    <x v="2"/>
    <x v="6"/>
    <x v="6"/>
    <n v="17892"/>
    <n v="53"/>
    <n v="7162.74"/>
    <n v="1918.81"/>
    <x v="4"/>
  </r>
  <r>
    <x v="2"/>
    <x v="6"/>
    <x v="6"/>
    <n v="18342"/>
    <n v="74"/>
    <n v="57642.31"/>
    <n v="17051.32"/>
    <x v="3"/>
  </r>
  <r>
    <x v="2"/>
    <x v="6"/>
    <x v="6"/>
    <n v="20177"/>
    <n v="85"/>
    <n v="9800.4500000000007"/>
    <n v="4447.37"/>
    <x v="5"/>
  </r>
  <r>
    <x v="2"/>
    <x v="6"/>
    <x v="6"/>
    <n v="21179"/>
    <n v="71"/>
    <n v="8086.07"/>
    <n v="6230.22"/>
    <x v="0"/>
  </r>
  <r>
    <x v="2"/>
    <x v="6"/>
    <x v="6"/>
    <n v="21260"/>
    <n v="44"/>
    <n v="8798.3700000000008"/>
    <n v="2426.2399999999998"/>
    <x v="4"/>
  </r>
  <r>
    <x v="2"/>
    <x v="6"/>
    <x v="6"/>
    <n v="22317"/>
    <n v="50"/>
    <n v="5270.29"/>
    <n v="2422.36"/>
    <x v="5"/>
  </r>
  <r>
    <x v="2"/>
    <x v="6"/>
    <x v="6"/>
    <n v="22940"/>
    <n v="398"/>
    <n v="52466.85"/>
    <n v="11714.18"/>
    <x v="2"/>
  </r>
  <r>
    <x v="2"/>
    <x v="6"/>
    <x v="6"/>
    <n v="23178"/>
    <n v="209"/>
    <n v="41206.949999999997"/>
    <n v="8777.8700000000008"/>
    <x v="2"/>
  </r>
  <r>
    <x v="2"/>
    <x v="6"/>
    <x v="6"/>
    <n v="23600"/>
    <n v="437"/>
    <n v="49285.89"/>
    <n v="13149.97"/>
    <x v="2"/>
  </r>
  <r>
    <x v="2"/>
    <x v="6"/>
    <x v="6"/>
    <n v="23756"/>
    <n v="132"/>
    <n v="23006.92"/>
    <n v="11410.75"/>
    <x v="1"/>
  </r>
  <r>
    <x v="2"/>
    <x v="6"/>
    <x v="6"/>
    <n v="24326"/>
    <n v="105"/>
    <n v="13283.88"/>
    <n v="4382"/>
    <x v="4"/>
  </r>
  <r>
    <x v="3"/>
    <x v="6"/>
    <x v="6"/>
    <n v="12184"/>
    <n v="57"/>
    <n v="6559.89"/>
    <n v="3529.49"/>
    <x v="0"/>
  </r>
  <r>
    <x v="3"/>
    <x v="6"/>
    <x v="6"/>
    <n v="12622"/>
    <n v="28"/>
    <n v="7298.54"/>
    <n v="2990.89"/>
    <x v="1"/>
  </r>
  <r>
    <x v="3"/>
    <x v="6"/>
    <x v="6"/>
    <n v="13527"/>
    <n v="528"/>
    <n v="91436.07"/>
    <n v="21283.27"/>
    <x v="2"/>
  </r>
  <r>
    <x v="3"/>
    <x v="6"/>
    <x v="6"/>
    <n v="13618"/>
    <n v="7"/>
    <n v="2456.3200000000002"/>
    <n v="1048.1199999999999"/>
    <x v="1"/>
  </r>
  <r>
    <x v="3"/>
    <x v="6"/>
    <x v="6"/>
    <n v="16024"/>
    <n v="206"/>
    <n v="85376.71"/>
    <n v="23818.29"/>
    <x v="3"/>
  </r>
  <r>
    <x v="3"/>
    <x v="6"/>
    <x v="6"/>
    <n v="16650"/>
    <n v="37"/>
    <n v="6644.87"/>
    <n v="3767.54"/>
    <x v="0"/>
  </r>
  <r>
    <x v="3"/>
    <x v="6"/>
    <x v="6"/>
    <n v="17892"/>
    <n v="93"/>
    <n v="12593.15"/>
    <n v="2966.5"/>
    <x v="4"/>
  </r>
  <r>
    <x v="3"/>
    <x v="6"/>
    <x v="6"/>
    <n v="18342"/>
    <n v="195"/>
    <n v="174603.51"/>
    <n v="43665.599999999999"/>
    <x v="3"/>
  </r>
  <r>
    <x v="3"/>
    <x v="6"/>
    <x v="6"/>
    <n v="20177"/>
    <n v="105"/>
    <n v="12054.17"/>
    <n v="4679.3900000000003"/>
    <x v="5"/>
  </r>
  <r>
    <x v="3"/>
    <x v="6"/>
    <x v="6"/>
    <n v="21179"/>
    <n v="36"/>
    <n v="5321.12"/>
    <n v="3090.73"/>
    <x v="0"/>
  </r>
  <r>
    <x v="3"/>
    <x v="6"/>
    <x v="6"/>
    <n v="21260"/>
    <n v="55"/>
    <n v="9470.7000000000007"/>
    <n v="2059.35"/>
    <x v="4"/>
  </r>
  <r>
    <x v="3"/>
    <x v="6"/>
    <x v="6"/>
    <n v="22317"/>
    <n v="71"/>
    <n v="6672.12"/>
    <n v="2812.02"/>
    <x v="5"/>
  </r>
  <r>
    <x v="3"/>
    <x v="6"/>
    <x v="6"/>
    <n v="22940"/>
    <n v="598"/>
    <n v="81739.55"/>
    <n v="19544.78"/>
    <x v="2"/>
  </r>
  <r>
    <x v="3"/>
    <x v="6"/>
    <x v="6"/>
    <n v="23178"/>
    <n v="269"/>
    <n v="43442.32"/>
    <n v="9910.4599999999991"/>
    <x v="2"/>
  </r>
  <r>
    <x v="3"/>
    <x v="6"/>
    <x v="6"/>
    <n v="23600"/>
    <n v="1313"/>
    <n v="145175.85999999999"/>
    <n v="37669.78"/>
    <x v="2"/>
  </r>
  <r>
    <x v="3"/>
    <x v="6"/>
    <x v="6"/>
    <n v="23756"/>
    <n v="83"/>
    <n v="13059.85"/>
    <n v="5243.1"/>
    <x v="1"/>
  </r>
  <r>
    <x v="3"/>
    <x v="6"/>
    <x v="6"/>
    <n v="24326"/>
    <n v="144"/>
    <n v="19012.580000000002"/>
    <n v="5549.56"/>
    <x v="4"/>
  </r>
  <r>
    <x v="0"/>
    <x v="6"/>
    <x v="7"/>
    <n v="12184"/>
    <n v="86"/>
    <n v="9009.5499999999993"/>
    <n v="4089.68"/>
    <x v="0"/>
  </r>
  <r>
    <x v="0"/>
    <x v="6"/>
    <x v="7"/>
    <n v="12622"/>
    <n v="73"/>
    <n v="21984.54"/>
    <n v="11033.2"/>
    <x v="1"/>
  </r>
  <r>
    <x v="0"/>
    <x v="6"/>
    <x v="7"/>
    <n v="13527"/>
    <n v="797"/>
    <n v="125267.62"/>
    <n v="20069.650000000001"/>
    <x v="2"/>
  </r>
  <r>
    <x v="0"/>
    <x v="6"/>
    <x v="7"/>
    <n v="13618"/>
    <n v="28"/>
    <n v="11139.57"/>
    <n v="5802.33"/>
    <x v="1"/>
  </r>
  <r>
    <x v="0"/>
    <x v="6"/>
    <x v="7"/>
    <n v="16024"/>
    <n v="289"/>
    <n v="127303.14"/>
    <n v="35481.56"/>
    <x v="3"/>
  </r>
  <r>
    <x v="0"/>
    <x v="6"/>
    <x v="7"/>
    <n v="16650"/>
    <n v="32"/>
    <n v="4725.71"/>
    <n v="1978.56"/>
    <x v="0"/>
  </r>
  <r>
    <x v="0"/>
    <x v="6"/>
    <x v="7"/>
    <n v="17892"/>
    <n v="106"/>
    <n v="13566.48"/>
    <n v="4192.59"/>
    <x v="4"/>
  </r>
  <r>
    <x v="0"/>
    <x v="6"/>
    <x v="7"/>
    <n v="18342"/>
    <n v="203"/>
    <n v="171028.54"/>
    <n v="45611.12"/>
    <x v="3"/>
  </r>
  <r>
    <x v="0"/>
    <x v="6"/>
    <x v="7"/>
    <n v="20177"/>
    <n v="72"/>
    <n v="7342.7"/>
    <n v="2669.55"/>
    <x v="5"/>
  </r>
  <r>
    <x v="0"/>
    <x v="6"/>
    <x v="7"/>
    <n v="21179"/>
    <n v="63"/>
    <n v="7206.61"/>
    <n v="3541.49"/>
    <x v="0"/>
  </r>
  <r>
    <x v="0"/>
    <x v="6"/>
    <x v="7"/>
    <n v="21260"/>
    <n v="88"/>
    <n v="18473.689999999999"/>
    <n v="5833.85"/>
    <x v="4"/>
  </r>
  <r>
    <x v="0"/>
    <x v="6"/>
    <x v="7"/>
    <n v="22317"/>
    <n v="56"/>
    <n v="4813.46"/>
    <n v="1940.05"/>
    <x v="5"/>
  </r>
  <r>
    <x v="0"/>
    <x v="6"/>
    <x v="7"/>
    <n v="22940"/>
    <n v="874"/>
    <n v="119128.53"/>
    <n v="19882.240000000002"/>
    <x v="2"/>
  </r>
  <r>
    <x v="0"/>
    <x v="6"/>
    <x v="7"/>
    <n v="23178"/>
    <n v="204"/>
    <n v="36763.57"/>
    <n v="7076.59"/>
    <x v="2"/>
  </r>
  <r>
    <x v="0"/>
    <x v="6"/>
    <x v="7"/>
    <n v="23600"/>
    <n v="710"/>
    <n v="77091.25"/>
    <n v="18001.45"/>
    <x v="2"/>
  </r>
  <r>
    <x v="0"/>
    <x v="6"/>
    <x v="7"/>
    <n v="23756"/>
    <n v="110"/>
    <n v="23581.18"/>
    <n v="12012.85"/>
    <x v="1"/>
  </r>
  <r>
    <x v="0"/>
    <x v="6"/>
    <x v="7"/>
    <n v="24326"/>
    <n v="210"/>
    <n v="27357.9"/>
    <n v="7327.85"/>
    <x v="4"/>
  </r>
  <r>
    <x v="1"/>
    <x v="6"/>
    <x v="7"/>
    <n v="12184"/>
    <n v="35"/>
    <n v="4001.15"/>
    <n v="1796.2"/>
    <x v="0"/>
  </r>
  <r>
    <x v="1"/>
    <x v="6"/>
    <x v="7"/>
    <n v="12622"/>
    <n v="11"/>
    <n v="2809.85"/>
    <n v="994.43"/>
    <x v="1"/>
  </r>
  <r>
    <x v="1"/>
    <x v="6"/>
    <x v="7"/>
    <n v="13527"/>
    <n v="131"/>
    <n v="20633.43"/>
    <n v="3305.89"/>
    <x v="2"/>
  </r>
  <r>
    <x v="1"/>
    <x v="6"/>
    <x v="7"/>
    <n v="13618"/>
    <n v="10"/>
    <n v="3515.58"/>
    <n v="1581.3"/>
    <x v="1"/>
  </r>
  <r>
    <x v="1"/>
    <x v="6"/>
    <x v="7"/>
    <n v="16024"/>
    <n v="185"/>
    <n v="78821.56"/>
    <n v="26554.639999999999"/>
    <x v="3"/>
  </r>
  <r>
    <x v="1"/>
    <x v="6"/>
    <x v="7"/>
    <n v="16650"/>
    <n v="15"/>
    <n v="2470.96"/>
    <n v="1445.08"/>
    <x v="0"/>
  </r>
  <r>
    <x v="1"/>
    <x v="6"/>
    <x v="7"/>
    <n v="17892"/>
    <n v="52"/>
    <n v="7661.35"/>
    <n v="2028.27"/>
    <x v="4"/>
  </r>
  <r>
    <x v="1"/>
    <x v="6"/>
    <x v="7"/>
    <n v="18342"/>
    <n v="12"/>
    <n v="9566.98"/>
    <n v="2627.81"/>
    <x v="3"/>
  </r>
  <r>
    <x v="1"/>
    <x v="6"/>
    <x v="7"/>
    <n v="20177"/>
    <n v="26"/>
    <n v="2581.5300000000002"/>
    <n v="879.1"/>
    <x v="5"/>
  </r>
  <r>
    <x v="1"/>
    <x v="6"/>
    <x v="7"/>
    <n v="21179"/>
    <n v="25"/>
    <n v="2909.6"/>
    <n v="1793.55"/>
    <x v="0"/>
  </r>
  <r>
    <x v="1"/>
    <x v="6"/>
    <x v="7"/>
    <n v="21260"/>
    <n v="46"/>
    <n v="9631.7000000000007"/>
    <n v="2133.39"/>
    <x v="4"/>
  </r>
  <r>
    <x v="1"/>
    <x v="6"/>
    <x v="7"/>
    <n v="22317"/>
    <n v="18"/>
    <n v="1543.95"/>
    <n v="797.51"/>
    <x v="5"/>
  </r>
  <r>
    <x v="1"/>
    <x v="6"/>
    <x v="7"/>
    <n v="22940"/>
    <n v="225"/>
    <n v="32894.559999999998"/>
    <n v="8276.14"/>
    <x v="2"/>
  </r>
  <r>
    <x v="1"/>
    <x v="6"/>
    <x v="7"/>
    <n v="23178"/>
    <n v="283"/>
    <n v="49334.99"/>
    <n v="11320.33"/>
    <x v="2"/>
  </r>
  <r>
    <x v="1"/>
    <x v="6"/>
    <x v="7"/>
    <n v="23600"/>
    <n v="694"/>
    <n v="81712.649999999994"/>
    <n v="23983.8"/>
    <x v="2"/>
  </r>
  <r>
    <x v="1"/>
    <x v="6"/>
    <x v="7"/>
    <n v="23756"/>
    <n v="71"/>
    <n v="14067.48"/>
    <n v="5254.62"/>
    <x v="1"/>
  </r>
  <r>
    <x v="1"/>
    <x v="6"/>
    <x v="7"/>
    <n v="24326"/>
    <n v="41"/>
    <n v="5497.86"/>
    <n v="1565.46"/>
    <x v="4"/>
  </r>
  <r>
    <x v="2"/>
    <x v="6"/>
    <x v="7"/>
    <n v="12184"/>
    <n v="121"/>
    <n v="18106.689999999999"/>
    <n v="12465.88"/>
    <x v="0"/>
  </r>
  <r>
    <x v="2"/>
    <x v="6"/>
    <x v="7"/>
    <n v="12622"/>
    <n v="59"/>
    <n v="13642.33"/>
    <n v="7081.95"/>
    <x v="1"/>
  </r>
  <r>
    <x v="2"/>
    <x v="6"/>
    <x v="7"/>
    <n v="13527"/>
    <n v="476"/>
    <n v="81703.02"/>
    <n v="22669.040000000001"/>
    <x v="2"/>
  </r>
  <r>
    <x v="2"/>
    <x v="6"/>
    <x v="7"/>
    <n v="13618"/>
    <n v="14"/>
    <n v="6026.99"/>
    <n v="3809.26"/>
    <x v="1"/>
  </r>
  <r>
    <x v="2"/>
    <x v="6"/>
    <x v="7"/>
    <n v="16024"/>
    <n v="178"/>
    <n v="74675.7"/>
    <n v="25448.799999999999"/>
    <x v="3"/>
  </r>
  <r>
    <x v="2"/>
    <x v="6"/>
    <x v="7"/>
    <n v="16650"/>
    <n v="18"/>
    <n v="3105.32"/>
    <n v="2260.9"/>
    <x v="0"/>
  </r>
  <r>
    <x v="2"/>
    <x v="6"/>
    <x v="7"/>
    <n v="17892"/>
    <n v="85"/>
    <n v="13027.47"/>
    <n v="4381.55"/>
    <x v="4"/>
  </r>
  <r>
    <x v="2"/>
    <x v="6"/>
    <x v="7"/>
    <n v="18342"/>
    <n v="162"/>
    <n v="145772.1"/>
    <n v="48336.62"/>
    <x v="3"/>
  </r>
  <r>
    <x v="2"/>
    <x v="6"/>
    <x v="7"/>
    <n v="20177"/>
    <n v="87"/>
    <n v="7906.46"/>
    <n v="3375.41"/>
    <x v="5"/>
  </r>
  <r>
    <x v="2"/>
    <x v="6"/>
    <x v="7"/>
    <n v="21179"/>
    <n v="40"/>
    <n v="5966.55"/>
    <n v="3860.96"/>
    <x v="0"/>
  </r>
  <r>
    <x v="2"/>
    <x v="6"/>
    <x v="7"/>
    <n v="21260"/>
    <n v="65"/>
    <n v="13004.09"/>
    <n v="4198.76"/>
    <x v="4"/>
  </r>
  <r>
    <x v="2"/>
    <x v="6"/>
    <x v="7"/>
    <n v="22317"/>
    <n v="19"/>
    <n v="1978.86"/>
    <n v="824.02"/>
    <x v="5"/>
  </r>
  <r>
    <x v="2"/>
    <x v="6"/>
    <x v="7"/>
    <n v="22940"/>
    <n v="745"/>
    <n v="105590.85"/>
    <n v="25854.1"/>
    <x v="2"/>
  </r>
  <r>
    <x v="2"/>
    <x v="6"/>
    <x v="7"/>
    <n v="23178"/>
    <n v="119"/>
    <n v="20655.09"/>
    <n v="5945.25"/>
    <x v="2"/>
  </r>
  <r>
    <x v="2"/>
    <x v="6"/>
    <x v="7"/>
    <n v="23600"/>
    <n v="535"/>
    <n v="63065.31"/>
    <n v="16240"/>
    <x v="2"/>
  </r>
  <r>
    <x v="2"/>
    <x v="6"/>
    <x v="7"/>
    <n v="23756"/>
    <n v="71"/>
    <n v="13940.5"/>
    <n v="7898.97"/>
    <x v="1"/>
  </r>
  <r>
    <x v="2"/>
    <x v="6"/>
    <x v="7"/>
    <n v="24326"/>
    <n v="111"/>
    <n v="15887.02"/>
    <n v="4558.6499999999996"/>
    <x v="4"/>
  </r>
  <r>
    <x v="3"/>
    <x v="6"/>
    <x v="7"/>
    <n v="12184"/>
    <n v="69"/>
    <n v="10123.66"/>
    <n v="5687.2"/>
    <x v="0"/>
  </r>
  <r>
    <x v="3"/>
    <x v="6"/>
    <x v="7"/>
    <n v="12622"/>
    <n v="22"/>
    <n v="5111.21"/>
    <n v="2268.8000000000002"/>
    <x v="1"/>
  </r>
  <r>
    <x v="3"/>
    <x v="6"/>
    <x v="7"/>
    <n v="13527"/>
    <n v="376"/>
    <n v="55338.18"/>
    <n v="12510.54"/>
    <x v="2"/>
  </r>
  <r>
    <x v="3"/>
    <x v="6"/>
    <x v="7"/>
    <n v="13618"/>
    <n v="8"/>
    <n v="3542.24"/>
    <n v="1829.67"/>
    <x v="1"/>
  </r>
  <r>
    <x v="3"/>
    <x v="6"/>
    <x v="7"/>
    <n v="16024"/>
    <n v="241"/>
    <n v="107212.26"/>
    <n v="27775.22"/>
    <x v="3"/>
  </r>
  <r>
    <x v="3"/>
    <x v="6"/>
    <x v="7"/>
    <n v="16650"/>
    <n v="25"/>
    <n v="3064.5"/>
    <n v="1675.1"/>
    <x v="0"/>
  </r>
  <r>
    <x v="3"/>
    <x v="6"/>
    <x v="7"/>
    <n v="17892"/>
    <n v="70"/>
    <n v="10781.02"/>
    <n v="2994.59"/>
    <x v="4"/>
  </r>
  <r>
    <x v="3"/>
    <x v="6"/>
    <x v="7"/>
    <n v="18342"/>
    <n v="181"/>
    <n v="136967.81"/>
    <n v="29816.58"/>
    <x v="3"/>
  </r>
  <r>
    <x v="3"/>
    <x v="6"/>
    <x v="7"/>
    <n v="20177"/>
    <n v="80"/>
    <n v="9337.92"/>
    <n v="3947.4"/>
    <x v="5"/>
  </r>
  <r>
    <x v="3"/>
    <x v="6"/>
    <x v="7"/>
    <n v="21179"/>
    <n v="36"/>
    <n v="3901.76"/>
    <n v="2359.87"/>
    <x v="0"/>
  </r>
  <r>
    <x v="3"/>
    <x v="6"/>
    <x v="7"/>
    <n v="21260"/>
    <n v="77"/>
    <n v="14399.27"/>
    <n v="4274.84"/>
    <x v="4"/>
  </r>
  <r>
    <x v="3"/>
    <x v="6"/>
    <x v="7"/>
    <n v="22317"/>
    <n v="78"/>
    <n v="7485.62"/>
    <n v="2983.35"/>
    <x v="5"/>
  </r>
  <r>
    <x v="3"/>
    <x v="6"/>
    <x v="7"/>
    <n v="22940"/>
    <n v="743"/>
    <n v="89439.94"/>
    <n v="19010.28"/>
    <x v="2"/>
  </r>
  <r>
    <x v="3"/>
    <x v="6"/>
    <x v="7"/>
    <n v="23178"/>
    <n v="274"/>
    <n v="50257.1"/>
    <n v="9839.16"/>
    <x v="2"/>
  </r>
  <r>
    <x v="3"/>
    <x v="6"/>
    <x v="7"/>
    <n v="23600"/>
    <n v="633"/>
    <n v="67994.59"/>
    <n v="16931.77"/>
    <x v="2"/>
  </r>
  <r>
    <x v="3"/>
    <x v="6"/>
    <x v="7"/>
    <n v="23756"/>
    <n v="68"/>
    <n v="11748.11"/>
    <n v="5281.17"/>
    <x v="1"/>
  </r>
  <r>
    <x v="3"/>
    <x v="6"/>
    <x v="7"/>
    <n v="24326"/>
    <n v="56"/>
    <n v="7340.38"/>
    <n v="1666.03"/>
    <x v="4"/>
  </r>
  <r>
    <x v="0"/>
    <x v="6"/>
    <x v="8"/>
    <n v="12184"/>
    <n v="111"/>
    <n v="15188.4"/>
    <n v="7400.44"/>
    <x v="0"/>
  </r>
  <r>
    <x v="0"/>
    <x v="6"/>
    <x v="8"/>
    <n v="12622"/>
    <n v="47"/>
    <n v="10704.31"/>
    <n v="4334.55"/>
    <x v="1"/>
  </r>
  <r>
    <x v="0"/>
    <x v="6"/>
    <x v="8"/>
    <n v="13527"/>
    <n v="481"/>
    <n v="80890.539999999994"/>
    <n v="16135.67"/>
    <x v="2"/>
  </r>
  <r>
    <x v="0"/>
    <x v="6"/>
    <x v="8"/>
    <n v="13618"/>
    <n v="21"/>
    <n v="9073.4699999999993"/>
    <n v="4259.96"/>
    <x v="1"/>
  </r>
  <r>
    <x v="0"/>
    <x v="6"/>
    <x v="8"/>
    <n v="16024"/>
    <n v="342"/>
    <n v="151254.79999999999"/>
    <n v="39602.42"/>
    <x v="3"/>
  </r>
  <r>
    <x v="0"/>
    <x v="6"/>
    <x v="8"/>
    <n v="16650"/>
    <n v="74"/>
    <n v="11654.26"/>
    <n v="4687.46"/>
    <x v="0"/>
  </r>
  <r>
    <x v="0"/>
    <x v="6"/>
    <x v="8"/>
    <n v="17892"/>
    <n v="129"/>
    <n v="17523.09"/>
    <n v="5033.13"/>
    <x v="4"/>
  </r>
  <r>
    <x v="0"/>
    <x v="6"/>
    <x v="8"/>
    <n v="18342"/>
    <n v="197"/>
    <n v="180760.65"/>
    <n v="57245.85"/>
    <x v="3"/>
  </r>
  <r>
    <x v="0"/>
    <x v="6"/>
    <x v="8"/>
    <n v="20177"/>
    <n v="158"/>
    <n v="14643.49"/>
    <n v="5461.64"/>
    <x v="5"/>
  </r>
  <r>
    <x v="0"/>
    <x v="6"/>
    <x v="8"/>
    <n v="21179"/>
    <n v="72"/>
    <n v="8395.94"/>
    <n v="4224.38"/>
    <x v="0"/>
  </r>
  <r>
    <x v="0"/>
    <x v="6"/>
    <x v="8"/>
    <n v="21260"/>
    <n v="97"/>
    <n v="20303.64"/>
    <n v="5888.6"/>
    <x v="4"/>
  </r>
  <r>
    <x v="0"/>
    <x v="6"/>
    <x v="8"/>
    <n v="22317"/>
    <n v="90"/>
    <n v="8702.19"/>
    <n v="3199.5"/>
    <x v="5"/>
  </r>
  <r>
    <x v="0"/>
    <x v="6"/>
    <x v="8"/>
    <n v="22940"/>
    <n v="442"/>
    <n v="54488.89"/>
    <n v="10986.24"/>
    <x v="2"/>
  </r>
  <r>
    <x v="0"/>
    <x v="6"/>
    <x v="8"/>
    <n v="23178"/>
    <n v="342"/>
    <n v="60895.08"/>
    <n v="11604.55"/>
    <x v="2"/>
  </r>
  <r>
    <x v="0"/>
    <x v="6"/>
    <x v="8"/>
    <n v="23600"/>
    <n v="1213"/>
    <n v="125270.24"/>
    <n v="27538.05"/>
    <x v="2"/>
  </r>
  <r>
    <x v="0"/>
    <x v="6"/>
    <x v="8"/>
    <n v="23756"/>
    <n v="51"/>
    <n v="10045.48"/>
    <n v="5372.01"/>
    <x v="1"/>
  </r>
  <r>
    <x v="0"/>
    <x v="6"/>
    <x v="8"/>
    <n v="24326"/>
    <n v="92"/>
    <n v="14170.98"/>
    <n v="4478.72"/>
    <x v="4"/>
  </r>
  <r>
    <x v="1"/>
    <x v="6"/>
    <x v="8"/>
    <n v="12184"/>
    <n v="41"/>
    <n v="4843.1099999999997"/>
    <n v="2675.08"/>
    <x v="0"/>
  </r>
  <r>
    <x v="1"/>
    <x v="6"/>
    <x v="8"/>
    <n v="12622"/>
    <n v="13"/>
    <n v="3726.55"/>
    <n v="1527.55"/>
    <x v="1"/>
  </r>
  <r>
    <x v="1"/>
    <x v="6"/>
    <x v="8"/>
    <n v="13527"/>
    <n v="368"/>
    <n v="62585.81"/>
    <n v="12603.65"/>
    <x v="2"/>
  </r>
  <r>
    <x v="1"/>
    <x v="6"/>
    <x v="8"/>
    <n v="13618"/>
    <n v="3"/>
    <n v="975.44"/>
    <n v="478.93"/>
    <x v="1"/>
  </r>
  <r>
    <x v="1"/>
    <x v="6"/>
    <x v="8"/>
    <n v="16024"/>
    <n v="91"/>
    <n v="42526.01"/>
    <n v="13981.12"/>
    <x v="3"/>
  </r>
  <r>
    <x v="1"/>
    <x v="6"/>
    <x v="8"/>
    <n v="16650"/>
    <n v="15"/>
    <n v="2730.86"/>
    <n v="1593.47"/>
    <x v="0"/>
  </r>
  <r>
    <x v="1"/>
    <x v="6"/>
    <x v="8"/>
    <n v="17892"/>
    <n v="99"/>
    <n v="12644.48"/>
    <n v="3476.94"/>
    <x v="4"/>
  </r>
  <r>
    <x v="1"/>
    <x v="6"/>
    <x v="8"/>
    <n v="18342"/>
    <n v="11"/>
    <n v="10115.4"/>
    <n v="2897.61"/>
    <x v="3"/>
  </r>
  <r>
    <x v="1"/>
    <x v="6"/>
    <x v="8"/>
    <n v="20177"/>
    <n v="31"/>
    <n v="2954.23"/>
    <n v="1244.75"/>
    <x v="5"/>
  </r>
  <r>
    <x v="1"/>
    <x v="6"/>
    <x v="8"/>
    <n v="21179"/>
    <n v="33"/>
    <n v="4614.92"/>
    <n v="2416.8000000000002"/>
    <x v="0"/>
  </r>
  <r>
    <x v="1"/>
    <x v="6"/>
    <x v="8"/>
    <n v="21260"/>
    <n v="61"/>
    <n v="10666"/>
    <n v="2404.36"/>
    <x v="4"/>
  </r>
  <r>
    <x v="1"/>
    <x v="6"/>
    <x v="8"/>
    <n v="22317"/>
    <n v="19"/>
    <n v="1929.41"/>
    <n v="829.6"/>
    <x v="5"/>
  </r>
  <r>
    <x v="1"/>
    <x v="6"/>
    <x v="8"/>
    <n v="22940"/>
    <n v="98"/>
    <n v="13128.05"/>
    <n v="3300.23"/>
    <x v="2"/>
  </r>
  <r>
    <x v="1"/>
    <x v="6"/>
    <x v="8"/>
    <n v="23178"/>
    <n v="351"/>
    <n v="66014.7"/>
    <n v="19765.810000000001"/>
    <x v="2"/>
  </r>
  <r>
    <x v="1"/>
    <x v="6"/>
    <x v="8"/>
    <n v="23600"/>
    <n v="762"/>
    <n v="93043.48"/>
    <n v="28655.42"/>
    <x v="2"/>
  </r>
  <r>
    <x v="1"/>
    <x v="6"/>
    <x v="8"/>
    <n v="23756"/>
    <n v="98"/>
    <n v="16665.439999999999"/>
    <n v="6423.91"/>
    <x v="1"/>
  </r>
  <r>
    <x v="1"/>
    <x v="6"/>
    <x v="8"/>
    <n v="24326"/>
    <n v="18"/>
    <n v="2378.13"/>
    <n v="782.31"/>
    <x v="4"/>
  </r>
  <r>
    <x v="2"/>
    <x v="6"/>
    <x v="8"/>
    <n v="12184"/>
    <n v="90"/>
    <n v="10817.7"/>
    <n v="7013.02"/>
    <x v="0"/>
  </r>
  <r>
    <x v="2"/>
    <x v="6"/>
    <x v="8"/>
    <n v="12622"/>
    <n v="37"/>
    <n v="11719.02"/>
    <n v="6581.31"/>
    <x v="1"/>
  </r>
  <r>
    <x v="2"/>
    <x v="6"/>
    <x v="8"/>
    <n v="13527"/>
    <n v="335"/>
    <n v="49436.88"/>
    <n v="14217.6"/>
    <x v="2"/>
  </r>
  <r>
    <x v="2"/>
    <x v="6"/>
    <x v="8"/>
    <n v="13618"/>
    <n v="21"/>
    <n v="7888.79"/>
    <n v="5056.88"/>
    <x v="1"/>
  </r>
  <r>
    <x v="2"/>
    <x v="6"/>
    <x v="8"/>
    <n v="16024"/>
    <n v="261"/>
    <n v="124155.1"/>
    <n v="32208.28"/>
    <x v="3"/>
  </r>
  <r>
    <x v="2"/>
    <x v="6"/>
    <x v="8"/>
    <n v="16650"/>
    <n v="44"/>
    <n v="6734.19"/>
    <n v="5331.56"/>
    <x v="0"/>
  </r>
  <r>
    <x v="2"/>
    <x v="6"/>
    <x v="8"/>
    <n v="17892"/>
    <n v="77"/>
    <n v="10073.120000000001"/>
    <n v="3216.46"/>
    <x v="4"/>
  </r>
  <r>
    <x v="2"/>
    <x v="6"/>
    <x v="8"/>
    <n v="18342"/>
    <n v="65"/>
    <n v="49322.68"/>
    <n v="15432.44"/>
    <x v="3"/>
  </r>
  <r>
    <x v="2"/>
    <x v="6"/>
    <x v="8"/>
    <n v="20177"/>
    <n v="86"/>
    <n v="9786.1299999999992"/>
    <n v="4204.45"/>
    <x v="5"/>
  </r>
  <r>
    <x v="2"/>
    <x v="6"/>
    <x v="8"/>
    <n v="21179"/>
    <n v="40"/>
    <n v="4569.68"/>
    <n v="3603.32"/>
    <x v="0"/>
  </r>
  <r>
    <x v="2"/>
    <x v="6"/>
    <x v="8"/>
    <n v="21260"/>
    <n v="37"/>
    <n v="8085.85"/>
    <n v="2574.25"/>
    <x v="4"/>
  </r>
  <r>
    <x v="2"/>
    <x v="6"/>
    <x v="8"/>
    <n v="22317"/>
    <n v="34"/>
    <n v="3426.38"/>
    <n v="1784.13"/>
    <x v="5"/>
  </r>
  <r>
    <x v="2"/>
    <x v="6"/>
    <x v="8"/>
    <n v="22940"/>
    <n v="652"/>
    <n v="76543.509999999995"/>
    <n v="18995.04"/>
    <x v="2"/>
  </r>
  <r>
    <x v="2"/>
    <x v="6"/>
    <x v="8"/>
    <n v="23178"/>
    <n v="228"/>
    <n v="39735.519999999997"/>
    <n v="9851.9"/>
    <x v="2"/>
  </r>
  <r>
    <x v="2"/>
    <x v="6"/>
    <x v="8"/>
    <n v="23600"/>
    <n v="1125"/>
    <n v="118942.17"/>
    <n v="30816.66"/>
    <x v="2"/>
  </r>
  <r>
    <x v="2"/>
    <x v="6"/>
    <x v="8"/>
    <n v="23756"/>
    <n v="81"/>
    <n v="18277.87"/>
    <n v="10483.43"/>
    <x v="1"/>
  </r>
  <r>
    <x v="2"/>
    <x v="6"/>
    <x v="8"/>
    <n v="24326"/>
    <n v="137"/>
    <n v="19959.349999999999"/>
    <n v="5476.69"/>
    <x v="4"/>
  </r>
  <r>
    <x v="3"/>
    <x v="6"/>
    <x v="8"/>
    <n v="12184"/>
    <n v="68"/>
    <n v="10099.6"/>
    <n v="4919.21"/>
    <x v="0"/>
  </r>
  <r>
    <x v="3"/>
    <x v="6"/>
    <x v="8"/>
    <n v="12622"/>
    <n v="42"/>
    <n v="10918.56"/>
    <n v="5438.61"/>
    <x v="1"/>
  </r>
  <r>
    <x v="3"/>
    <x v="6"/>
    <x v="8"/>
    <n v="13527"/>
    <n v="242"/>
    <n v="37992.730000000003"/>
    <n v="8144.13"/>
    <x v="2"/>
  </r>
  <r>
    <x v="3"/>
    <x v="6"/>
    <x v="8"/>
    <n v="13618"/>
    <n v="14"/>
    <n v="6124.49"/>
    <n v="2859.93"/>
    <x v="1"/>
  </r>
  <r>
    <x v="3"/>
    <x v="6"/>
    <x v="8"/>
    <n v="16024"/>
    <n v="200"/>
    <n v="78627.33"/>
    <n v="17001.52"/>
    <x v="3"/>
  </r>
  <r>
    <x v="3"/>
    <x v="6"/>
    <x v="8"/>
    <n v="16650"/>
    <n v="55"/>
    <n v="7629.42"/>
    <n v="4139.58"/>
    <x v="0"/>
  </r>
  <r>
    <x v="3"/>
    <x v="6"/>
    <x v="8"/>
    <n v="17892"/>
    <n v="106"/>
    <n v="13371.14"/>
    <n v="3580.57"/>
    <x v="4"/>
  </r>
  <r>
    <x v="3"/>
    <x v="6"/>
    <x v="8"/>
    <n v="18342"/>
    <n v="178"/>
    <n v="136947.74"/>
    <n v="31495.39"/>
    <x v="3"/>
  </r>
  <r>
    <x v="3"/>
    <x v="6"/>
    <x v="8"/>
    <n v="20177"/>
    <n v="89"/>
    <n v="9940.73"/>
    <n v="3205.23"/>
    <x v="5"/>
  </r>
  <r>
    <x v="3"/>
    <x v="6"/>
    <x v="8"/>
    <n v="21179"/>
    <n v="34"/>
    <n v="5178.95"/>
    <n v="2605.62"/>
    <x v="0"/>
  </r>
  <r>
    <x v="3"/>
    <x v="6"/>
    <x v="8"/>
    <n v="21260"/>
    <n v="85"/>
    <n v="16762.41"/>
    <n v="4384.26"/>
    <x v="4"/>
  </r>
  <r>
    <x v="3"/>
    <x v="6"/>
    <x v="8"/>
    <n v="22317"/>
    <n v="79"/>
    <n v="6326.87"/>
    <n v="2667.01"/>
    <x v="5"/>
  </r>
  <r>
    <x v="3"/>
    <x v="6"/>
    <x v="8"/>
    <n v="22940"/>
    <n v="565"/>
    <n v="72294.45"/>
    <n v="15008.39"/>
    <x v="2"/>
  </r>
  <r>
    <x v="3"/>
    <x v="6"/>
    <x v="8"/>
    <n v="23178"/>
    <n v="306"/>
    <n v="56638.94"/>
    <n v="10179.129999999999"/>
    <x v="2"/>
  </r>
  <r>
    <x v="3"/>
    <x v="6"/>
    <x v="8"/>
    <n v="23600"/>
    <n v="1313"/>
    <n v="131625.29999999999"/>
    <n v="26680.94"/>
    <x v="2"/>
  </r>
  <r>
    <x v="3"/>
    <x v="6"/>
    <x v="8"/>
    <n v="23756"/>
    <n v="143"/>
    <n v="28386.26"/>
    <n v="12094.68"/>
    <x v="1"/>
  </r>
  <r>
    <x v="3"/>
    <x v="6"/>
    <x v="8"/>
    <n v="24326"/>
    <n v="119"/>
    <n v="15996.4"/>
    <n v="3801.92"/>
    <x v="4"/>
  </r>
  <r>
    <x v="0"/>
    <x v="6"/>
    <x v="9"/>
    <n v="12184"/>
    <n v="86"/>
    <n v="12018.13"/>
    <n v="6183.84"/>
    <x v="0"/>
  </r>
  <r>
    <x v="0"/>
    <x v="6"/>
    <x v="9"/>
    <n v="12622"/>
    <n v="81"/>
    <n v="22732.55"/>
    <n v="9124.51"/>
    <x v="1"/>
  </r>
  <r>
    <x v="0"/>
    <x v="6"/>
    <x v="9"/>
    <n v="13527"/>
    <n v="604"/>
    <n v="104362.74"/>
    <n v="20438.18"/>
    <x v="2"/>
  </r>
  <r>
    <x v="0"/>
    <x v="6"/>
    <x v="9"/>
    <n v="13618"/>
    <n v="31"/>
    <n v="10049.26"/>
    <n v="5025.79"/>
    <x v="1"/>
  </r>
  <r>
    <x v="0"/>
    <x v="6"/>
    <x v="9"/>
    <n v="16024"/>
    <n v="194"/>
    <n v="90514.26"/>
    <n v="24201.74"/>
    <x v="3"/>
  </r>
  <r>
    <x v="0"/>
    <x v="6"/>
    <x v="9"/>
    <n v="16650"/>
    <n v="58"/>
    <n v="7176.78"/>
    <n v="3774.72"/>
    <x v="0"/>
  </r>
  <r>
    <x v="0"/>
    <x v="6"/>
    <x v="9"/>
    <n v="17892"/>
    <n v="67"/>
    <n v="8830.31"/>
    <n v="2595.08"/>
    <x v="4"/>
  </r>
  <r>
    <x v="0"/>
    <x v="6"/>
    <x v="9"/>
    <n v="18342"/>
    <n v="258"/>
    <n v="233658.7"/>
    <n v="72777.899999999994"/>
    <x v="3"/>
  </r>
  <r>
    <x v="0"/>
    <x v="6"/>
    <x v="9"/>
    <n v="20177"/>
    <n v="159"/>
    <n v="17682.560000000001"/>
    <n v="7628.86"/>
    <x v="5"/>
  </r>
  <r>
    <x v="0"/>
    <x v="6"/>
    <x v="9"/>
    <n v="21179"/>
    <n v="46"/>
    <n v="6582.05"/>
    <n v="3407.29"/>
    <x v="0"/>
  </r>
  <r>
    <x v="0"/>
    <x v="6"/>
    <x v="9"/>
    <n v="21260"/>
    <n v="41"/>
    <n v="8651.86"/>
    <n v="2110.16"/>
    <x v="4"/>
  </r>
  <r>
    <x v="0"/>
    <x v="6"/>
    <x v="9"/>
    <n v="22317"/>
    <n v="76"/>
    <n v="7193.07"/>
    <n v="3048.32"/>
    <x v="5"/>
  </r>
  <r>
    <x v="0"/>
    <x v="6"/>
    <x v="9"/>
    <n v="22940"/>
    <n v="346"/>
    <n v="41821.78"/>
    <n v="8947.4500000000007"/>
    <x v="2"/>
  </r>
  <r>
    <x v="0"/>
    <x v="6"/>
    <x v="9"/>
    <n v="23178"/>
    <n v="481"/>
    <n v="83056.03"/>
    <n v="15518.2"/>
    <x v="2"/>
  </r>
  <r>
    <x v="0"/>
    <x v="6"/>
    <x v="9"/>
    <n v="23600"/>
    <n v="896"/>
    <n v="98142.58"/>
    <n v="24661.119999999999"/>
    <x v="2"/>
  </r>
  <r>
    <x v="0"/>
    <x v="6"/>
    <x v="9"/>
    <n v="23756"/>
    <n v="95"/>
    <n v="15788.96"/>
    <n v="7299.62"/>
    <x v="1"/>
  </r>
  <r>
    <x v="0"/>
    <x v="6"/>
    <x v="9"/>
    <n v="24326"/>
    <n v="74"/>
    <n v="10112.549999999999"/>
    <n v="2714.29"/>
    <x v="4"/>
  </r>
  <r>
    <x v="1"/>
    <x v="6"/>
    <x v="9"/>
    <n v="12184"/>
    <n v="25"/>
    <n v="3258.07"/>
    <n v="1616.92"/>
    <x v="0"/>
  </r>
  <r>
    <x v="1"/>
    <x v="6"/>
    <x v="9"/>
    <n v="12622"/>
    <n v="20"/>
    <n v="5276.87"/>
    <n v="2118.85"/>
    <x v="1"/>
  </r>
  <r>
    <x v="1"/>
    <x v="6"/>
    <x v="9"/>
    <n v="13527"/>
    <n v="294"/>
    <n v="44615.41"/>
    <n v="7561.4"/>
    <x v="2"/>
  </r>
  <r>
    <x v="1"/>
    <x v="6"/>
    <x v="9"/>
    <n v="13618"/>
    <n v="8"/>
    <n v="3235.65"/>
    <n v="1617.74"/>
    <x v="1"/>
  </r>
  <r>
    <x v="1"/>
    <x v="6"/>
    <x v="9"/>
    <n v="16024"/>
    <n v="199"/>
    <n v="76363.89"/>
    <n v="23194.25"/>
    <x v="3"/>
  </r>
  <r>
    <x v="1"/>
    <x v="6"/>
    <x v="9"/>
    <n v="16650"/>
    <n v="18"/>
    <n v="3405.04"/>
    <n v="2444.75"/>
    <x v="0"/>
  </r>
  <r>
    <x v="1"/>
    <x v="6"/>
    <x v="9"/>
    <n v="17892"/>
    <n v="65"/>
    <n v="8477.75"/>
    <n v="2379.4499999999998"/>
    <x v="4"/>
  </r>
  <r>
    <x v="1"/>
    <x v="6"/>
    <x v="9"/>
    <n v="18342"/>
    <n v="19"/>
    <n v="16889.32"/>
    <n v="5364.83"/>
    <x v="3"/>
  </r>
  <r>
    <x v="1"/>
    <x v="6"/>
    <x v="9"/>
    <n v="20177"/>
    <n v="28"/>
    <n v="2609.35"/>
    <n v="929.12"/>
    <x v="5"/>
  </r>
  <r>
    <x v="1"/>
    <x v="6"/>
    <x v="9"/>
    <n v="21179"/>
    <n v="46"/>
    <n v="5122.25"/>
    <n v="2795.71"/>
    <x v="0"/>
  </r>
  <r>
    <x v="1"/>
    <x v="6"/>
    <x v="9"/>
    <n v="21260"/>
    <n v="45"/>
    <n v="7948.04"/>
    <n v="2210.27"/>
    <x v="4"/>
  </r>
  <r>
    <x v="1"/>
    <x v="6"/>
    <x v="9"/>
    <n v="22317"/>
    <n v="16"/>
    <n v="1277.76"/>
    <n v="554.62"/>
    <x v="5"/>
  </r>
  <r>
    <x v="1"/>
    <x v="6"/>
    <x v="9"/>
    <n v="22940"/>
    <n v="104"/>
    <n v="12941.46"/>
    <n v="3919.91"/>
    <x v="2"/>
  </r>
  <r>
    <x v="1"/>
    <x v="6"/>
    <x v="9"/>
    <n v="23178"/>
    <n v="145"/>
    <n v="24802.74"/>
    <n v="6317.13"/>
    <x v="2"/>
  </r>
  <r>
    <x v="1"/>
    <x v="6"/>
    <x v="9"/>
    <n v="23600"/>
    <n v="536"/>
    <n v="64208.56"/>
    <n v="16224.57"/>
    <x v="2"/>
  </r>
  <r>
    <x v="1"/>
    <x v="6"/>
    <x v="9"/>
    <n v="23756"/>
    <n v="52"/>
    <n v="9763.4599999999991"/>
    <n v="4505.1099999999997"/>
    <x v="1"/>
  </r>
  <r>
    <x v="1"/>
    <x v="6"/>
    <x v="9"/>
    <n v="24326"/>
    <n v="19"/>
    <n v="2757.11"/>
    <n v="800.63"/>
    <x v="4"/>
  </r>
  <r>
    <x v="2"/>
    <x v="6"/>
    <x v="9"/>
    <n v="12184"/>
    <n v="120"/>
    <n v="15780.26"/>
    <n v="10389.950000000001"/>
    <x v="0"/>
  </r>
  <r>
    <x v="2"/>
    <x v="6"/>
    <x v="9"/>
    <n v="12622"/>
    <n v="56"/>
    <n v="13785.98"/>
    <n v="7394.41"/>
    <x v="1"/>
  </r>
  <r>
    <x v="2"/>
    <x v="6"/>
    <x v="9"/>
    <n v="13527"/>
    <n v="203"/>
    <n v="34863.65"/>
    <n v="9110.9699999999993"/>
    <x v="2"/>
  </r>
  <r>
    <x v="2"/>
    <x v="6"/>
    <x v="9"/>
    <n v="13618"/>
    <n v="17"/>
    <n v="6369.9"/>
    <n v="4135.4799999999996"/>
    <x v="1"/>
  </r>
  <r>
    <x v="2"/>
    <x v="6"/>
    <x v="9"/>
    <n v="16024"/>
    <n v="244"/>
    <n v="94600.13"/>
    <n v="26453.8"/>
    <x v="3"/>
  </r>
  <r>
    <x v="2"/>
    <x v="6"/>
    <x v="9"/>
    <n v="16650"/>
    <n v="46"/>
    <n v="6291.92"/>
    <n v="4708.78"/>
    <x v="0"/>
  </r>
  <r>
    <x v="2"/>
    <x v="6"/>
    <x v="9"/>
    <n v="17892"/>
    <n v="62"/>
    <n v="9012.1200000000008"/>
    <n v="2492.09"/>
    <x v="4"/>
  </r>
  <r>
    <x v="2"/>
    <x v="6"/>
    <x v="9"/>
    <n v="18342"/>
    <n v="118"/>
    <n v="105238.97"/>
    <n v="32297.06"/>
    <x v="3"/>
  </r>
  <r>
    <x v="2"/>
    <x v="6"/>
    <x v="9"/>
    <n v="20177"/>
    <n v="81"/>
    <n v="8277.4599999999991"/>
    <n v="3426.63"/>
    <x v="5"/>
  </r>
  <r>
    <x v="2"/>
    <x v="6"/>
    <x v="9"/>
    <n v="21179"/>
    <n v="63"/>
    <n v="6536.65"/>
    <n v="4487.24"/>
    <x v="0"/>
  </r>
  <r>
    <x v="2"/>
    <x v="6"/>
    <x v="9"/>
    <n v="21260"/>
    <n v="29"/>
    <n v="6183.54"/>
    <n v="1660.29"/>
    <x v="4"/>
  </r>
  <r>
    <x v="2"/>
    <x v="6"/>
    <x v="9"/>
    <n v="22317"/>
    <n v="48"/>
    <n v="4085.97"/>
    <n v="1596.55"/>
    <x v="5"/>
  </r>
  <r>
    <x v="2"/>
    <x v="6"/>
    <x v="9"/>
    <n v="22940"/>
    <n v="619"/>
    <n v="73415.19"/>
    <n v="19664.060000000001"/>
    <x v="2"/>
  </r>
  <r>
    <x v="2"/>
    <x v="6"/>
    <x v="9"/>
    <n v="23178"/>
    <n v="121"/>
    <n v="22223.200000000001"/>
    <n v="4882.13"/>
    <x v="2"/>
  </r>
  <r>
    <x v="2"/>
    <x v="6"/>
    <x v="9"/>
    <n v="23600"/>
    <n v="746"/>
    <n v="92530.44"/>
    <n v="25036.36"/>
    <x v="2"/>
  </r>
  <r>
    <x v="2"/>
    <x v="6"/>
    <x v="9"/>
    <n v="23756"/>
    <n v="106"/>
    <n v="21603.87"/>
    <n v="13903.4"/>
    <x v="1"/>
  </r>
  <r>
    <x v="2"/>
    <x v="6"/>
    <x v="9"/>
    <n v="24326"/>
    <n v="97"/>
    <n v="14326.08"/>
    <n v="4219.6099999999997"/>
    <x v="4"/>
  </r>
  <r>
    <x v="3"/>
    <x v="6"/>
    <x v="9"/>
    <n v="12184"/>
    <n v="54"/>
    <n v="7199.69"/>
    <n v="4617.9399999999996"/>
    <x v="0"/>
  </r>
  <r>
    <x v="3"/>
    <x v="6"/>
    <x v="9"/>
    <n v="12622"/>
    <n v="24"/>
    <n v="5867"/>
    <n v="3150.93"/>
    <x v="1"/>
  </r>
  <r>
    <x v="3"/>
    <x v="6"/>
    <x v="9"/>
    <n v="13527"/>
    <n v="517"/>
    <n v="82023.520000000004"/>
    <n v="18538.04"/>
    <x v="2"/>
  </r>
  <r>
    <x v="3"/>
    <x v="6"/>
    <x v="9"/>
    <n v="13618"/>
    <n v="6"/>
    <n v="2050.42"/>
    <n v="1076.57"/>
    <x v="1"/>
  </r>
  <r>
    <x v="3"/>
    <x v="6"/>
    <x v="9"/>
    <n v="16024"/>
    <n v="229"/>
    <n v="92933.37"/>
    <n v="21045.87"/>
    <x v="3"/>
  </r>
  <r>
    <x v="3"/>
    <x v="6"/>
    <x v="9"/>
    <n v="16650"/>
    <n v="39"/>
    <n v="5089.51"/>
    <n v="2643.35"/>
    <x v="0"/>
  </r>
  <r>
    <x v="3"/>
    <x v="6"/>
    <x v="9"/>
    <n v="17892"/>
    <n v="69"/>
    <n v="10325.57"/>
    <n v="2534.7399999999998"/>
    <x v="4"/>
  </r>
  <r>
    <x v="3"/>
    <x v="6"/>
    <x v="9"/>
    <n v="18342"/>
    <n v="128"/>
    <n v="108206.66"/>
    <n v="27280.47"/>
    <x v="3"/>
  </r>
  <r>
    <x v="3"/>
    <x v="6"/>
    <x v="9"/>
    <n v="20177"/>
    <n v="61"/>
    <n v="5626.58"/>
    <n v="2294.62"/>
    <x v="5"/>
  </r>
  <r>
    <x v="3"/>
    <x v="6"/>
    <x v="9"/>
    <n v="21179"/>
    <n v="55"/>
    <n v="7814.19"/>
    <n v="4383.05"/>
    <x v="0"/>
  </r>
  <r>
    <x v="3"/>
    <x v="6"/>
    <x v="9"/>
    <n v="21260"/>
    <n v="48"/>
    <n v="9683.18"/>
    <n v="2119.85"/>
    <x v="4"/>
  </r>
  <r>
    <x v="3"/>
    <x v="6"/>
    <x v="9"/>
    <n v="22317"/>
    <n v="48"/>
    <n v="3546.45"/>
    <n v="1362.7"/>
    <x v="5"/>
  </r>
  <r>
    <x v="3"/>
    <x v="6"/>
    <x v="9"/>
    <n v="22940"/>
    <n v="253"/>
    <n v="30314.55"/>
    <n v="5511.66"/>
    <x v="2"/>
  </r>
  <r>
    <x v="3"/>
    <x v="6"/>
    <x v="9"/>
    <n v="23178"/>
    <n v="295"/>
    <n v="51950.17"/>
    <n v="10529.78"/>
    <x v="2"/>
  </r>
  <r>
    <x v="3"/>
    <x v="6"/>
    <x v="9"/>
    <n v="23600"/>
    <n v="910"/>
    <n v="92171.09"/>
    <n v="19907.11"/>
    <x v="2"/>
  </r>
  <r>
    <x v="3"/>
    <x v="6"/>
    <x v="9"/>
    <n v="23756"/>
    <n v="72"/>
    <n v="15141.25"/>
    <n v="6122.55"/>
    <x v="1"/>
  </r>
  <r>
    <x v="3"/>
    <x v="6"/>
    <x v="9"/>
    <n v="24326"/>
    <n v="113"/>
    <n v="16042.98"/>
    <n v="4347.4399999999996"/>
    <x v="4"/>
  </r>
  <r>
    <x v="0"/>
    <x v="6"/>
    <x v="10"/>
    <n v="12184"/>
    <n v="42"/>
    <n v="4682.8100000000004"/>
    <n v="2335.77"/>
    <x v="0"/>
  </r>
  <r>
    <x v="0"/>
    <x v="6"/>
    <x v="10"/>
    <n v="12622"/>
    <n v="74"/>
    <n v="19942.54"/>
    <n v="10781.03"/>
    <x v="1"/>
  </r>
  <r>
    <x v="0"/>
    <x v="6"/>
    <x v="10"/>
    <n v="13527"/>
    <n v="584"/>
    <n v="87142.01"/>
    <n v="17656.400000000001"/>
    <x v="2"/>
  </r>
  <r>
    <x v="0"/>
    <x v="6"/>
    <x v="10"/>
    <n v="13618"/>
    <n v="11"/>
    <n v="4646.51"/>
    <n v="2264.08"/>
    <x v="1"/>
  </r>
  <r>
    <x v="0"/>
    <x v="6"/>
    <x v="10"/>
    <n v="16024"/>
    <n v="216"/>
    <n v="82235.7"/>
    <n v="24051.51"/>
    <x v="3"/>
  </r>
  <r>
    <x v="0"/>
    <x v="6"/>
    <x v="10"/>
    <n v="16650"/>
    <n v="40"/>
    <n v="6806.76"/>
    <n v="3353.93"/>
    <x v="0"/>
  </r>
  <r>
    <x v="0"/>
    <x v="6"/>
    <x v="10"/>
    <n v="17892"/>
    <n v="180"/>
    <n v="28352.65"/>
    <n v="8012.14"/>
    <x v="4"/>
  </r>
  <r>
    <x v="0"/>
    <x v="6"/>
    <x v="10"/>
    <n v="18342"/>
    <n v="160"/>
    <n v="121372.84"/>
    <n v="31343.96"/>
    <x v="3"/>
  </r>
  <r>
    <x v="0"/>
    <x v="6"/>
    <x v="10"/>
    <n v="20177"/>
    <n v="95"/>
    <n v="10323.1"/>
    <n v="4277.5200000000004"/>
    <x v="5"/>
  </r>
  <r>
    <x v="0"/>
    <x v="6"/>
    <x v="10"/>
    <n v="21179"/>
    <n v="57"/>
    <n v="5927.93"/>
    <n v="2585.59"/>
    <x v="0"/>
  </r>
  <r>
    <x v="0"/>
    <x v="6"/>
    <x v="10"/>
    <n v="21260"/>
    <n v="52"/>
    <n v="10900.31"/>
    <n v="2646.69"/>
    <x v="4"/>
  </r>
  <r>
    <x v="0"/>
    <x v="6"/>
    <x v="10"/>
    <n v="22317"/>
    <n v="59"/>
    <n v="5581.87"/>
    <n v="2376.63"/>
    <x v="5"/>
  </r>
  <r>
    <x v="0"/>
    <x v="6"/>
    <x v="10"/>
    <n v="22940"/>
    <n v="701"/>
    <n v="89534.58"/>
    <n v="14487.67"/>
    <x v="2"/>
  </r>
  <r>
    <x v="0"/>
    <x v="6"/>
    <x v="10"/>
    <n v="23178"/>
    <n v="411"/>
    <n v="67589.78"/>
    <n v="11350.25"/>
    <x v="2"/>
  </r>
  <r>
    <x v="0"/>
    <x v="6"/>
    <x v="10"/>
    <n v="23600"/>
    <n v="1234"/>
    <n v="140590.41"/>
    <n v="30616.65"/>
    <x v="2"/>
  </r>
  <r>
    <x v="0"/>
    <x v="6"/>
    <x v="10"/>
    <n v="23756"/>
    <n v="139"/>
    <n v="24245.54"/>
    <n v="11820.58"/>
    <x v="1"/>
  </r>
  <r>
    <x v="0"/>
    <x v="6"/>
    <x v="10"/>
    <n v="24326"/>
    <n v="166"/>
    <n v="20639.939999999999"/>
    <n v="6006.37"/>
    <x v="4"/>
  </r>
  <r>
    <x v="2"/>
    <x v="6"/>
    <x v="10"/>
    <n v="12184"/>
    <n v="40"/>
    <n v="4924.57"/>
    <n v="3520.73"/>
    <x v="0"/>
  </r>
  <r>
    <x v="2"/>
    <x v="6"/>
    <x v="10"/>
    <n v="12622"/>
    <n v="28"/>
    <n v="8926.65"/>
    <n v="5577"/>
    <x v="1"/>
  </r>
  <r>
    <x v="2"/>
    <x v="6"/>
    <x v="10"/>
    <n v="13527"/>
    <n v="409"/>
    <n v="67011.87"/>
    <n v="17442.169999999998"/>
    <x v="2"/>
  </r>
  <r>
    <x v="2"/>
    <x v="6"/>
    <x v="10"/>
    <n v="13618"/>
    <n v="25"/>
    <n v="10009.64"/>
    <n v="6014.25"/>
    <x v="1"/>
  </r>
  <r>
    <x v="2"/>
    <x v="6"/>
    <x v="10"/>
    <n v="16024"/>
    <n v="340"/>
    <n v="141047.9"/>
    <n v="38182.199999999997"/>
    <x v="3"/>
  </r>
  <r>
    <x v="2"/>
    <x v="6"/>
    <x v="10"/>
    <n v="16650"/>
    <n v="40"/>
    <n v="5908.84"/>
    <n v="4013.86"/>
    <x v="0"/>
  </r>
  <r>
    <x v="2"/>
    <x v="6"/>
    <x v="10"/>
    <n v="17892"/>
    <n v="68"/>
    <n v="8648.5"/>
    <n v="2443.86"/>
    <x v="4"/>
  </r>
  <r>
    <x v="2"/>
    <x v="6"/>
    <x v="10"/>
    <n v="18342"/>
    <n v="131"/>
    <n v="104857.51"/>
    <n v="35513.06"/>
    <x v="3"/>
  </r>
  <r>
    <x v="2"/>
    <x v="6"/>
    <x v="10"/>
    <n v="20177"/>
    <n v="31"/>
    <n v="2705.37"/>
    <n v="1103.22"/>
    <x v="5"/>
  </r>
  <r>
    <x v="2"/>
    <x v="6"/>
    <x v="10"/>
    <n v="21179"/>
    <n v="44"/>
    <n v="5244.81"/>
    <n v="4128.99"/>
    <x v="0"/>
  </r>
  <r>
    <x v="2"/>
    <x v="6"/>
    <x v="10"/>
    <n v="21260"/>
    <n v="24"/>
    <n v="5003.5600000000004"/>
    <n v="1588.5"/>
    <x v="4"/>
  </r>
  <r>
    <x v="2"/>
    <x v="6"/>
    <x v="10"/>
    <n v="22317"/>
    <n v="52"/>
    <n v="3922.93"/>
    <n v="1993.76"/>
    <x v="5"/>
  </r>
  <r>
    <x v="2"/>
    <x v="6"/>
    <x v="10"/>
    <n v="22940"/>
    <n v="747"/>
    <n v="88406.39"/>
    <n v="19888.37"/>
    <x v="2"/>
  </r>
  <r>
    <x v="2"/>
    <x v="6"/>
    <x v="10"/>
    <n v="23178"/>
    <n v="256"/>
    <n v="46091.29"/>
    <n v="12317.98"/>
    <x v="2"/>
  </r>
  <r>
    <x v="2"/>
    <x v="6"/>
    <x v="10"/>
    <n v="23600"/>
    <n v="621"/>
    <n v="73317.759999999995"/>
    <n v="17868.78"/>
    <x v="2"/>
  </r>
  <r>
    <x v="2"/>
    <x v="6"/>
    <x v="10"/>
    <n v="23756"/>
    <n v="113"/>
    <n v="22080.720000000001"/>
    <n v="12410.02"/>
    <x v="1"/>
  </r>
  <r>
    <x v="2"/>
    <x v="6"/>
    <x v="10"/>
    <n v="24326"/>
    <n v="101"/>
    <n v="13615.62"/>
    <n v="4514.16"/>
    <x v="4"/>
  </r>
  <r>
    <x v="3"/>
    <x v="6"/>
    <x v="10"/>
    <n v="12184"/>
    <n v="44"/>
    <n v="6216.6"/>
    <n v="3643.18"/>
    <x v="0"/>
  </r>
  <r>
    <x v="3"/>
    <x v="6"/>
    <x v="10"/>
    <n v="12622"/>
    <n v="67"/>
    <n v="19351.96"/>
    <n v="7750.27"/>
    <x v="1"/>
  </r>
  <r>
    <x v="3"/>
    <x v="6"/>
    <x v="10"/>
    <n v="13527"/>
    <n v="689"/>
    <n v="102283.53"/>
    <n v="18660.990000000002"/>
    <x v="2"/>
  </r>
  <r>
    <x v="3"/>
    <x v="6"/>
    <x v="10"/>
    <n v="13618"/>
    <n v="8"/>
    <n v="3032.28"/>
    <n v="1504.01"/>
    <x v="1"/>
  </r>
  <r>
    <x v="3"/>
    <x v="6"/>
    <x v="10"/>
    <n v="16024"/>
    <n v="166"/>
    <n v="68879.44"/>
    <n v="17782.919999999998"/>
    <x v="3"/>
  </r>
  <r>
    <x v="3"/>
    <x v="6"/>
    <x v="10"/>
    <n v="16650"/>
    <n v="22"/>
    <n v="2937.2"/>
    <n v="1569.42"/>
    <x v="0"/>
  </r>
  <r>
    <x v="3"/>
    <x v="6"/>
    <x v="10"/>
    <n v="17892"/>
    <n v="95"/>
    <n v="13436.85"/>
    <n v="3823.75"/>
    <x v="4"/>
  </r>
  <r>
    <x v="3"/>
    <x v="6"/>
    <x v="10"/>
    <n v="18342"/>
    <n v="183"/>
    <n v="143440.93"/>
    <n v="33308.58"/>
    <x v="3"/>
  </r>
  <r>
    <x v="3"/>
    <x v="6"/>
    <x v="10"/>
    <n v="20177"/>
    <n v="72"/>
    <n v="6475.22"/>
    <n v="2539.54"/>
    <x v="5"/>
  </r>
  <r>
    <x v="3"/>
    <x v="6"/>
    <x v="10"/>
    <n v="21179"/>
    <n v="43"/>
    <n v="4736.1000000000004"/>
    <n v="2286.9499999999998"/>
    <x v="0"/>
  </r>
  <r>
    <x v="3"/>
    <x v="6"/>
    <x v="10"/>
    <n v="21260"/>
    <n v="72"/>
    <n v="13266.79"/>
    <n v="3096.3"/>
    <x v="4"/>
  </r>
  <r>
    <x v="3"/>
    <x v="6"/>
    <x v="10"/>
    <n v="22317"/>
    <n v="84"/>
    <n v="7775.01"/>
    <n v="3256.21"/>
    <x v="5"/>
  </r>
  <r>
    <x v="3"/>
    <x v="6"/>
    <x v="10"/>
    <n v="22940"/>
    <n v="578"/>
    <n v="69213.850000000006"/>
    <n v="12999.97"/>
    <x v="2"/>
  </r>
  <r>
    <x v="3"/>
    <x v="6"/>
    <x v="10"/>
    <n v="23178"/>
    <n v="301"/>
    <n v="55316.28"/>
    <n v="11935.86"/>
    <x v="2"/>
  </r>
  <r>
    <x v="3"/>
    <x v="6"/>
    <x v="10"/>
    <n v="23600"/>
    <n v="1384"/>
    <n v="158991.59"/>
    <n v="32785.120000000003"/>
    <x v="2"/>
  </r>
  <r>
    <x v="3"/>
    <x v="6"/>
    <x v="10"/>
    <n v="23756"/>
    <n v="145"/>
    <n v="25948.91"/>
    <n v="12426.82"/>
    <x v="1"/>
  </r>
  <r>
    <x v="3"/>
    <x v="6"/>
    <x v="10"/>
    <n v="24326"/>
    <n v="121"/>
    <n v="16896.22"/>
    <n v="3789.96"/>
    <x v="4"/>
  </r>
  <r>
    <x v="1"/>
    <x v="6"/>
    <x v="10"/>
    <n v="12184"/>
    <n v="28"/>
    <n v="3312.35"/>
    <n v="1817.02"/>
    <x v="0"/>
  </r>
  <r>
    <x v="1"/>
    <x v="6"/>
    <x v="10"/>
    <n v="12622"/>
    <n v="18"/>
    <n v="5094.43"/>
    <n v="2123.04"/>
    <x v="1"/>
  </r>
  <r>
    <x v="1"/>
    <x v="6"/>
    <x v="10"/>
    <n v="13527"/>
    <n v="211"/>
    <n v="32886.57"/>
    <n v="5223.9799999999996"/>
    <x v="2"/>
  </r>
  <r>
    <x v="1"/>
    <x v="6"/>
    <x v="10"/>
    <n v="13618"/>
    <n v="9"/>
    <n v="2972.12"/>
    <n v="1238.8699999999999"/>
    <x v="1"/>
  </r>
  <r>
    <x v="1"/>
    <x v="6"/>
    <x v="10"/>
    <n v="16024"/>
    <n v="109"/>
    <n v="51987.67"/>
    <n v="15206.74"/>
    <x v="3"/>
  </r>
  <r>
    <x v="1"/>
    <x v="6"/>
    <x v="10"/>
    <n v="16650"/>
    <n v="14"/>
    <n v="2055.5500000000002"/>
    <n v="1242.33"/>
    <x v="0"/>
  </r>
  <r>
    <x v="1"/>
    <x v="6"/>
    <x v="10"/>
    <n v="17892"/>
    <n v="68"/>
    <n v="9327.61"/>
    <n v="2596.66"/>
    <x v="4"/>
  </r>
  <r>
    <x v="1"/>
    <x v="6"/>
    <x v="10"/>
    <n v="18342"/>
    <n v="13"/>
    <n v="9961.18"/>
    <n v="2852.42"/>
    <x v="3"/>
  </r>
  <r>
    <x v="1"/>
    <x v="6"/>
    <x v="10"/>
    <n v="20177"/>
    <n v="27"/>
    <n v="2743.01"/>
    <n v="1196.22"/>
    <x v="5"/>
  </r>
  <r>
    <x v="1"/>
    <x v="6"/>
    <x v="10"/>
    <n v="21179"/>
    <n v="47"/>
    <n v="4974.97"/>
    <n v="2721.13"/>
    <x v="0"/>
  </r>
  <r>
    <x v="1"/>
    <x v="6"/>
    <x v="10"/>
    <n v="21260"/>
    <n v="43"/>
    <n v="8101.08"/>
    <n v="2040.8"/>
    <x v="4"/>
  </r>
  <r>
    <x v="1"/>
    <x v="6"/>
    <x v="10"/>
    <n v="22317"/>
    <n v="16"/>
    <n v="1593.68"/>
    <n v="684.67"/>
    <x v="5"/>
  </r>
  <r>
    <x v="1"/>
    <x v="6"/>
    <x v="10"/>
    <n v="22940"/>
    <n v="102"/>
    <n v="13082.16"/>
    <n v="3881.7"/>
    <x v="2"/>
  </r>
  <r>
    <x v="1"/>
    <x v="6"/>
    <x v="10"/>
    <n v="23178"/>
    <n v="302"/>
    <n v="55413.06"/>
    <n v="13792.01"/>
    <x v="2"/>
  </r>
  <r>
    <x v="1"/>
    <x v="6"/>
    <x v="10"/>
    <n v="23600"/>
    <n v="561"/>
    <n v="64406.97"/>
    <n v="14728.94"/>
    <x v="2"/>
  </r>
  <r>
    <x v="1"/>
    <x v="6"/>
    <x v="10"/>
    <n v="23756"/>
    <n v="45"/>
    <n v="8696.16"/>
    <n v="3973.31"/>
    <x v="1"/>
  </r>
  <r>
    <x v="1"/>
    <x v="6"/>
    <x v="10"/>
    <n v="24326"/>
    <n v="44"/>
    <n v="6222.61"/>
    <n v="1703.87"/>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yhteenveto"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3">
  <location ref="A1:H21" firstHeaderRow="1" firstDataRow="2" firstDataCol="1"/>
  <pivotFields count="8">
    <pivotField showAll="0" defaultSubtotal="0">
      <items count="4">
        <item h="1" x="0"/>
        <item h="1" x="1"/>
        <item x="2"/>
        <item h="1" x="3"/>
      </items>
    </pivotField>
    <pivotField axis="axisRow" showAll="0">
      <items count="8">
        <item sd="0" x="0"/>
        <item sd="0" x="1"/>
        <item sd="0" x="2"/>
        <item sd="0" x="3"/>
        <item sd="0" x="4"/>
        <item sd="0" x="5"/>
        <item x="6"/>
        <item t="default"/>
      </items>
    </pivotField>
    <pivotField axis="axisRow" showAll="0">
      <items count="13">
        <item x="0"/>
        <item x="1"/>
        <item x="2"/>
        <item x="3"/>
        <item x="4"/>
        <item x="5"/>
        <item x="6"/>
        <item x="7"/>
        <item x="8"/>
        <item x="9"/>
        <item x="10"/>
        <item x="11"/>
        <item t="default"/>
      </items>
    </pivotField>
    <pivotField showAll="0"/>
    <pivotField showAll="0"/>
    <pivotField dataField="1" showAll="0"/>
    <pivotField showAll="0"/>
    <pivotField axis="axisCol" showAll="0">
      <items count="8">
        <item x="4"/>
        <item x="1"/>
        <item x="2"/>
        <item x="0"/>
        <item x="5"/>
        <item x="3"/>
        <item m="1" x="6"/>
        <item t="default"/>
      </items>
    </pivotField>
  </pivotFields>
  <rowFields count="2">
    <field x="1"/>
    <field x="2"/>
  </rowFields>
  <rowItems count="19">
    <i>
      <x/>
    </i>
    <i>
      <x v="1"/>
    </i>
    <i>
      <x v="2"/>
    </i>
    <i>
      <x v="3"/>
    </i>
    <i>
      <x v="4"/>
    </i>
    <i>
      <x v="5"/>
    </i>
    <i>
      <x v="6"/>
    </i>
    <i r="1">
      <x/>
    </i>
    <i r="1">
      <x v="1"/>
    </i>
    <i r="1">
      <x v="2"/>
    </i>
    <i r="1">
      <x v="3"/>
    </i>
    <i r="1">
      <x v="4"/>
    </i>
    <i r="1">
      <x v="5"/>
    </i>
    <i r="1">
      <x v="6"/>
    </i>
    <i r="1">
      <x v="7"/>
    </i>
    <i r="1">
      <x v="8"/>
    </i>
    <i r="1">
      <x v="9"/>
    </i>
    <i r="1">
      <x v="10"/>
    </i>
    <i t="grand">
      <x/>
    </i>
  </rowItems>
  <colFields count="1">
    <field x="7"/>
  </colFields>
  <colItems count="7">
    <i>
      <x/>
    </i>
    <i>
      <x v="1"/>
    </i>
    <i>
      <x v="2"/>
    </i>
    <i>
      <x v="3"/>
    </i>
    <i>
      <x v="4"/>
    </i>
    <i>
      <x v="5"/>
    </i>
    <i t="grand">
      <x/>
    </i>
  </colItems>
  <dataFields count="1">
    <dataField name="Sum of Tuotto" fld="5" baseField="0" baseItem="0" numFmtId="3"/>
  </dataFields>
  <formats count="1">
    <format dxfId="1">
      <pivotArea outline="0" collapsedLevelsAreSubtotals="1" fieldPosition="0"/>
    </format>
  </formats>
  <chartFormats count="7">
    <chartFormat chart="2" format="0" series="1">
      <pivotArea type="data" outline="0" fieldPosition="0">
        <references count="2">
          <reference field="4294967294" count="1" selected="0">
            <x v="0"/>
          </reference>
          <reference field="7" count="1" selected="0">
            <x v="0"/>
          </reference>
        </references>
      </pivotArea>
    </chartFormat>
    <chartFormat chart="2" format="1" series="1">
      <pivotArea type="data" outline="0" fieldPosition="0">
        <references count="2">
          <reference field="4294967294" count="1" selected="0">
            <x v="0"/>
          </reference>
          <reference field="7" count="1" selected="0">
            <x v="1"/>
          </reference>
        </references>
      </pivotArea>
    </chartFormat>
    <chartFormat chart="2" format="2" series="1">
      <pivotArea type="data" outline="0" fieldPosition="0">
        <references count="2">
          <reference field="4294967294" count="1" selected="0">
            <x v="0"/>
          </reference>
          <reference field="7" count="1" selected="0">
            <x v="2"/>
          </reference>
        </references>
      </pivotArea>
    </chartFormat>
    <chartFormat chart="2" format="3" series="1">
      <pivotArea type="data" outline="0" fieldPosition="0">
        <references count="2">
          <reference field="4294967294" count="1" selected="0">
            <x v="0"/>
          </reference>
          <reference field="7" count="1" selected="0">
            <x v="3"/>
          </reference>
        </references>
      </pivotArea>
    </chartFormat>
    <chartFormat chart="2" format="4" series="1">
      <pivotArea type="data" outline="0" fieldPosition="0">
        <references count="2">
          <reference field="4294967294" count="1" selected="0">
            <x v="0"/>
          </reference>
          <reference field="7" count="1" selected="0">
            <x v="4"/>
          </reference>
        </references>
      </pivotArea>
    </chartFormat>
    <chartFormat chart="2" format="5" series="1">
      <pivotArea type="data" outline="0" fieldPosition="0">
        <references count="2">
          <reference field="4294967294" count="1" selected="0">
            <x v="0"/>
          </reference>
          <reference field="7" count="1" selected="0">
            <x v="5"/>
          </reference>
        </references>
      </pivotArea>
    </chartFormat>
    <chartFormat chart="2" format="6" series="1">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iiri" xr10:uid="{00000000-0013-0000-FFFF-FFFF01000000}" sourceName="Piiri">
  <pivotTables>
    <pivotTable tabId="3" name="yhteenveto"/>
  </pivotTables>
  <data>
    <tabular pivotCacheId="1">
      <items count="4">
        <i x="0"/>
        <i x="1"/>
        <i x="2"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iiri" xr10:uid="{00000000-0014-0000-FFFF-FFFF01000000}" cache="Slicer_Piiri" caption="Piiri"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uotteet" displayName="tuotteet" ref="A3:D20" totalsRowShown="0">
  <autoFilter ref="A3:D20" xr:uid="{00000000-0009-0000-0100-000002000000}"/>
  <tableColumns count="4">
    <tableColumn id="1" xr3:uid="{00000000-0010-0000-0000-000001000000}" name="TuoteID"/>
    <tableColumn id="2" xr3:uid="{00000000-0010-0000-0000-000002000000}" name="Ryhmä"/>
    <tableColumn id="3" xr3:uid="{00000000-0010-0000-0000-000003000000}" name="Nimi"/>
    <tableColumn id="4" xr3:uid="{00000000-0010-0000-0000-000004000000}" name="Hankintahinta"/>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myynnit" displayName="myynnit" ref="A1:H5679" totalsRowShown="0">
  <autoFilter ref="A1:H5679" xr:uid="{00000000-0009-0000-0100-000001000000}"/>
  <tableColumns count="8">
    <tableColumn id="1" xr3:uid="{00000000-0010-0000-0100-000001000000}" name="Piiri"/>
    <tableColumn id="2" xr3:uid="{00000000-0010-0000-0100-000002000000}" name="Vuosi"/>
    <tableColumn id="3" xr3:uid="{00000000-0010-0000-0100-000003000000}" name="Kuu"/>
    <tableColumn id="4" xr3:uid="{00000000-0010-0000-0100-000004000000}" name="TuoteID"/>
    <tableColumn id="5" xr3:uid="{00000000-0010-0000-0100-000005000000}" name="Kpl"/>
    <tableColumn id="6" xr3:uid="{00000000-0010-0000-0100-000006000000}" name="Tuotto"/>
    <tableColumn id="7" xr3:uid="{00000000-0010-0000-0100-000007000000}" name="Kate"/>
    <tableColumn id="8" xr3:uid="{00000000-0010-0000-0100-000008000000}" name="Ryhmä" dataDxfId="0">
      <calculatedColumnFormula>VLOOKUP(myynnit[[#This Row],[TuoteID]],ohjaus!$A$4:$B$20,2,FALSE)</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21"/>
  <sheetViews>
    <sheetView workbookViewId="0">
      <selection activeCell="O24" sqref="O24"/>
    </sheetView>
  </sheetViews>
  <sheetFormatPr defaultRowHeight="14.5" x14ac:dyDescent="0.35"/>
  <cols>
    <col min="1" max="1" width="13.54296875" bestFit="1" customWidth="1"/>
    <col min="2" max="2" width="16.26953125" bestFit="1" customWidth="1"/>
    <col min="3" max="4" width="10.1796875" bestFit="1" customWidth="1"/>
    <col min="5" max="5" width="8.81640625" bestFit="1" customWidth="1"/>
    <col min="6" max="6" width="9.7265625" bestFit="1" customWidth="1"/>
    <col min="7" max="7" width="9.81640625" bestFit="1" customWidth="1"/>
    <col min="8" max="8" width="11.26953125" bestFit="1" customWidth="1"/>
    <col min="9" max="9" width="10.81640625" bestFit="1" customWidth="1"/>
    <col min="10" max="10" width="11" customWidth="1"/>
    <col min="11" max="11" width="10" customWidth="1"/>
    <col min="12" max="12" width="11" customWidth="1"/>
    <col min="13" max="13" width="10" customWidth="1"/>
    <col min="14" max="16" width="11" customWidth="1"/>
    <col min="17" max="17" width="10" customWidth="1"/>
    <col min="18" max="18" width="11" customWidth="1"/>
    <col min="19" max="19" width="12" bestFit="1" customWidth="1"/>
  </cols>
  <sheetData>
    <row r="1" spans="1:8" x14ac:dyDescent="0.35">
      <c r="A1" s="1" t="s">
        <v>34</v>
      </c>
      <c r="B1" s="1" t="s">
        <v>33</v>
      </c>
    </row>
    <row r="2" spans="1:8" x14ac:dyDescent="0.35">
      <c r="A2" s="1" t="s">
        <v>31</v>
      </c>
      <c r="B2" t="s">
        <v>8</v>
      </c>
      <c r="C2" t="s">
        <v>12</v>
      </c>
      <c r="D2" t="s">
        <v>16</v>
      </c>
      <c r="E2" t="s">
        <v>21</v>
      </c>
      <c r="F2" t="s">
        <v>25</v>
      </c>
      <c r="G2" t="s">
        <v>28</v>
      </c>
      <c r="H2" t="s">
        <v>32</v>
      </c>
    </row>
    <row r="3" spans="1:8" x14ac:dyDescent="0.35">
      <c r="A3" s="2">
        <v>2012</v>
      </c>
      <c r="B3" s="4">
        <v>449610.42</v>
      </c>
      <c r="C3" s="4">
        <v>477530.88999999996</v>
      </c>
      <c r="D3" s="4">
        <v>3110263.24</v>
      </c>
      <c r="E3" s="4">
        <v>294197.16000000003</v>
      </c>
      <c r="F3" s="4">
        <v>107504.86</v>
      </c>
      <c r="G3" s="4">
        <v>2514467.459999999</v>
      </c>
      <c r="H3" s="4">
        <v>6953574.0299999993</v>
      </c>
    </row>
    <row r="4" spans="1:8" x14ac:dyDescent="0.35">
      <c r="A4" s="2">
        <v>2013</v>
      </c>
      <c r="B4" s="4">
        <v>446004.06999999995</v>
      </c>
      <c r="C4" s="4">
        <v>456876.23999999987</v>
      </c>
      <c r="D4" s="4">
        <v>3127642.0700000003</v>
      </c>
      <c r="E4" s="4">
        <v>256599.96</v>
      </c>
      <c r="F4" s="4">
        <v>113853.41999999998</v>
      </c>
      <c r="G4" s="4">
        <v>2514018.2099999995</v>
      </c>
      <c r="H4" s="4">
        <v>6914993.9699999988</v>
      </c>
    </row>
    <row r="5" spans="1:8" x14ac:dyDescent="0.35">
      <c r="A5" s="2">
        <v>2014</v>
      </c>
      <c r="B5" s="4">
        <v>430024.57000000007</v>
      </c>
      <c r="C5" s="4">
        <v>416930.79999999993</v>
      </c>
      <c r="D5" s="4">
        <v>3095659.1599999997</v>
      </c>
      <c r="E5" s="4">
        <v>278223.96999999991</v>
      </c>
      <c r="F5" s="4">
        <v>117218.55</v>
      </c>
      <c r="G5" s="4">
        <v>2559523.0499999998</v>
      </c>
      <c r="H5" s="4">
        <v>6897580.0999999996</v>
      </c>
    </row>
    <row r="6" spans="1:8" x14ac:dyDescent="0.35">
      <c r="A6" s="2">
        <v>2015</v>
      </c>
      <c r="B6" s="4">
        <v>470578.91000000009</v>
      </c>
      <c r="C6" s="4">
        <v>481363.22000000003</v>
      </c>
      <c r="D6" s="4">
        <v>2820736.7199999997</v>
      </c>
      <c r="E6" s="4">
        <v>284793.53999999998</v>
      </c>
      <c r="F6" s="4">
        <v>112194.14000000001</v>
      </c>
      <c r="G6" s="4">
        <v>2617349.3099999996</v>
      </c>
      <c r="H6" s="4">
        <v>6787015.8399999999</v>
      </c>
    </row>
    <row r="7" spans="1:8" x14ac:dyDescent="0.35">
      <c r="A7" s="2">
        <v>2016</v>
      </c>
      <c r="B7" s="4">
        <v>417290.92000000004</v>
      </c>
      <c r="C7" s="4">
        <v>434252.83</v>
      </c>
      <c r="D7" s="4">
        <v>3012560.5999999996</v>
      </c>
      <c r="E7" s="4">
        <v>262962.35999999993</v>
      </c>
      <c r="F7" s="4">
        <v>129370.84000000001</v>
      </c>
      <c r="G7" s="4">
        <v>2600432.09</v>
      </c>
      <c r="H7" s="4">
        <v>6856869.6399999997</v>
      </c>
    </row>
    <row r="8" spans="1:8" x14ac:dyDescent="0.35">
      <c r="A8" s="2">
        <v>2017</v>
      </c>
      <c r="B8" s="4">
        <v>437091.96</v>
      </c>
      <c r="C8" s="4">
        <v>455305.3600000001</v>
      </c>
      <c r="D8" s="4">
        <v>2815433.5</v>
      </c>
      <c r="E8" s="4">
        <v>276391.94</v>
      </c>
      <c r="F8" s="4">
        <v>102954.19</v>
      </c>
      <c r="G8" s="4">
        <v>2785777.79</v>
      </c>
      <c r="H8" s="4">
        <v>6872954.7400000002</v>
      </c>
    </row>
    <row r="9" spans="1:8" x14ac:dyDescent="0.35">
      <c r="A9" s="2">
        <v>2018</v>
      </c>
      <c r="B9" s="4">
        <v>395621.19</v>
      </c>
      <c r="C9" s="4">
        <v>423426.83999999997</v>
      </c>
      <c r="D9" s="4">
        <v>2715413.46</v>
      </c>
      <c r="E9" s="4">
        <v>243289.99000000002</v>
      </c>
      <c r="F9" s="4">
        <v>103017.54999999999</v>
      </c>
      <c r="G9" s="4">
        <v>1806020.8499999999</v>
      </c>
      <c r="H9" s="4">
        <v>5686789.8799999999</v>
      </c>
    </row>
    <row r="10" spans="1:8" x14ac:dyDescent="0.35">
      <c r="A10" s="3">
        <v>1</v>
      </c>
      <c r="B10" s="4">
        <v>45076.6</v>
      </c>
      <c r="C10" s="4">
        <v>32667.59</v>
      </c>
      <c r="D10" s="4">
        <v>210991.62</v>
      </c>
      <c r="E10" s="4">
        <v>14442.400000000001</v>
      </c>
      <c r="F10" s="4">
        <v>6872.29</v>
      </c>
      <c r="G10" s="4">
        <v>113243.1</v>
      </c>
      <c r="H10" s="4">
        <v>423293.6</v>
      </c>
    </row>
    <row r="11" spans="1:8" x14ac:dyDescent="0.35">
      <c r="A11" s="3">
        <v>2</v>
      </c>
      <c r="B11" s="4">
        <v>34243.25</v>
      </c>
      <c r="C11" s="4">
        <v>33282.35</v>
      </c>
      <c r="D11" s="4">
        <v>191607.67999999999</v>
      </c>
      <c r="E11" s="4">
        <v>14558.07</v>
      </c>
      <c r="F11" s="4">
        <v>7201.63</v>
      </c>
      <c r="G11" s="4">
        <v>122878.01</v>
      </c>
      <c r="H11" s="4">
        <v>403770.99</v>
      </c>
    </row>
    <row r="12" spans="1:8" x14ac:dyDescent="0.35">
      <c r="A12" s="3">
        <v>3</v>
      </c>
      <c r="B12" s="4">
        <v>32635.439999999999</v>
      </c>
      <c r="C12" s="4">
        <v>36001.14</v>
      </c>
      <c r="D12" s="4">
        <v>275290.63</v>
      </c>
      <c r="E12" s="4">
        <v>30295.920000000006</v>
      </c>
      <c r="F12" s="4">
        <v>7448.05</v>
      </c>
      <c r="G12" s="4">
        <v>150389</v>
      </c>
      <c r="H12" s="4">
        <v>532060.17999999993</v>
      </c>
    </row>
    <row r="13" spans="1:8" x14ac:dyDescent="0.35">
      <c r="A13" s="3">
        <v>4</v>
      </c>
      <c r="B13" s="4">
        <v>48573.630000000005</v>
      </c>
      <c r="C13" s="4">
        <v>43977.63</v>
      </c>
      <c r="D13" s="4">
        <v>279473.91000000003</v>
      </c>
      <c r="E13" s="4">
        <v>18340.7</v>
      </c>
      <c r="F13" s="4">
        <v>7800.47</v>
      </c>
      <c r="G13" s="4">
        <v>140263.4</v>
      </c>
      <c r="H13" s="4">
        <v>538429.74</v>
      </c>
    </row>
    <row r="14" spans="1:8" x14ac:dyDescent="0.35">
      <c r="A14" s="3">
        <v>5</v>
      </c>
      <c r="B14" s="4">
        <v>37928.17</v>
      </c>
      <c r="C14" s="4">
        <v>39424.65</v>
      </c>
      <c r="D14" s="4">
        <v>303754.70999999996</v>
      </c>
      <c r="E14" s="4">
        <v>16629.169999999998</v>
      </c>
      <c r="F14" s="4">
        <v>6463.2999999999993</v>
      </c>
      <c r="G14" s="4">
        <v>133429.45000000001</v>
      </c>
      <c r="H14" s="4">
        <v>537629.44999999995</v>
      </c>
    </row>
    <row r="15" spans="1:8" x14ac:dyDescent="0.35">
      <c r="A15" s="3">
        <v>6</v>
      </c>
      <c r="B15" s="4">
        <v>31092.789999999997</v>
      </c>
      <c r="C15" s="4">
        <v>47018.41</v>
      </c>
      <c r="D15" s="4">
        <v>200079.99</v>
      </c>
      <c r="E15" s="4">
        <v>29696.27</v>
      </c>
      <c r="F15" s="4">
        <v>10071.51</v>
      </c>
      <c r="G15" s="4">
        <v>176674.93</v>
      </c>
      <c r="H15" s="4">
        <v>494633.9</v>
      </c>
    </row>
    <row r="16" spans="1:8" x14ac:dyDescent="0.35">
      <c r="A16" s="3">
        <v>7</v>
      </c>
      <c r="B16" s="4">
        <v>29244.989999999998</v>
      </c>
      <c r="C16" s="4">
        <v>36782.81</v>
      </c>
      <c r="D16" s="4">
        <v>200682.78</v>
      </c>
      <c r="E16" s="4">
        <v>25340.28</v>
      </c>
      <c r="F16" s="4">
        <v>15070.740000000002</v>
      </c>
      <c r="G16" s="4">
        <v>129472.87</v>
      </c>
      <c r="H16" s="4">
        <v>436594.47</v>
      </c>
    </row>
    <row r="17" spans="1:8" x14ac:dyDescent="0.35">
      <c r="A17" s="3">
        <v>8</v>
      </c>
      <c r="B17" s="4">
        <v>41918.58</v>
      </c>
      <c r="C17" s="4">
        <v>33609.82</v>
      </c>
      <c r="D17" s="4">
        <v>271014.27</v>
      </c>
      <c r="E17" s="4">
        <v>27178.559999999998</v>
      </c>
      <c r="F17" s="4">
        <v>9885.32</v>
      </c>
      <c r="G17" s="4">
        <v>220447.8</v>
      </c>
      <c r="H17" s="4">
        <v>604054.35000000009</v>
      </c>
    </row>
    <row r="18" spans="1:8" x14ac:dyDescent="0.35">
      <c r="A18" s="3">
        <v>9</v>
      </c>
      <c r="B18" s="4">
        <v>38118.32</v>
      </c>
      <c r="C18" s="4">
        <v>37885.68</v>
      </c>
      <c r="D18" s="4">
        <v>284658.08</v>
      </c>
      <c r="E18" s="4">
        <v>22121.57</v>
      </c>
      <c r="F18" s="4">
        <v>13212.509999999998</v>
      </c>
      <c r="G18" s="4">
        <v>173477.78</v>
      </c>
      <c r="H18" s="4">
        <v>569473.94000000006</v>
      </c>
    </row>
    <row r="19" spans="1:8" x14ac:dyDescent="0.35">
      <c r="A19" s="3">
        <v>10</v>
      </c>
      <c r="B19" s="4">
        <v>29521.739999999998</v>
      </c>
      <c r="C19" s="4">
        <v>41759.75</v>
      </c>
      <c r="D19" s="4">
        <v>223032.48</v>
      </c>
      <c r="E19" s="4">
        <v>28608.83</v>
      </c>
      <c r="F19" s="4">
        <v>12363.429999999998</v>
      </c>
      <c r="G19" s="4">
        <v>199839.1</v>
      </c>
      <c r="H19" s="4">
        <v>535125.32999999996</v>
      </c>
    </row>
    <row r="20" spans="1:8" x14ac:dyDescent="0.35">
      <c r="A20" s="3">
        <v>11</v>
      </c>
      <c r="B20" s="4">
        <v>27267.68</v>
      </c>
      <c r="C20" s="4">
        <v>41017.01</v>
      </c>
      <c r="D20" s="4">
        <v>274827.31</v>
      </c>
      <c r="E20" s="4">
        <v>16078.220000000001</v>
      </c>
      <c r="F20" s="4">
        <v>6628.2999999999993</v>
      </c>
      <c r="G20" s="4">
        <v>245905.40999999997</v>
      </c>
      <c r="H20" s="4">
        <v>611723.92999999993</v>
      </c>
    </row>
    <row r="21" spans="1:8" x14ac:dyDescent="0.35">
      <c r="A21" s="2" t="s">
        <v>32</v>
      </c>
      <c r="B21" s="4">
        <v>3046222.0400000005</v>
      </c>
      <c r="C21" s="4">
        <v>3145686.1799999997</v>
      </c>
      <c r="D21" s="4">
        <v>20697708.749999996</v>
      </c>
      <c r="E21" s="4">
        <v>1896458.9199999997</v>
      </c>
      <c r="F21" s="4">
        <v>786113.55000000016</v>
      </c>
      <c r="G21" s="4">
        <v>17397588.759999998</v>
      </c>
      <c r="H21" s="4">
        <v>46969778.200000003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20"/>
  <sheetViews>
    <sheetView tabSelected="1" workbookViewId="0">
      <selection activeCell="P11" sqref="P11"/>
    </sheetView>
  </sheetViews>
  <sheetFormatPr defaultRowHeight="14.5" x14ac:dyDescent="0.35"/>
  <cols>
    <col min="1" max="1" width="9.453125" customWidth="1"/>
    <col min="4" max="4" width="14.26953125" customWidth="1"/>
    <col min="7" max="7" width="20.81640625" bestFit="1" customWidth="1"/>
  </cols>
  <sheetData>
    <row r="1" spans="1:11" ht="23.5" x14ac:dyDescent="0.55000000000000004">
      <c r="A1" s="5" t="s">
        <v>44</v>
      </c>
      <c r="G1" s="6" t="s">
        <v>45</v>
      </c>
    </row>
    <row r="3" spans="1:11" x14ac:dyDescent="0.35">
      <c r="A3" t="s">
        <v>2</v>
      </c>
      <c r="B3" t="s">
        <v>5</v>
      </c>
      <c r="C3" t="s">
        <v>6</v>
      </c>
      <c r="D3" t="s">
        <v>7</v>
      </c>
      <c r="G3" s="9" t="s">
        <v>47</v>
      </c>
      <c r="H3" s="10">
        <v>2018</v>
      </c>
      <c r="I3" s="10">
        <v>10</v>
      </c>
      <c r="K3" s="7" t="s">
        <v>46</v>
      </c>
    </row>
    <row r="4" spans="1:11" x14ac:dyDescent="0.35">
      <c r="A4">
        <v>17892</v>
      </c>
      <c r="B4" t="s">
        <v>8</v>
      </c>
      <c r="C4" t="s">
        <v>9</v>
      </c>
      <c r="D4">
        <v>113</v>
      </c>
      <c r="K4" s="8" t="s">
        <v>37</v>
      </c>
    </row>
    <row r="5" spans="1:11" x14ac:dyDescent="0.35">
      <c r="A5">
        <v>21260</v>
      </c>
      <c r="B5" t="s">
        <v>8</v>
      </c>
      <c r="C5" t="s">
        <v>10</v>
      </c>
      <c r="D5">
        <v>155</v>
      </c>
      <c r="K5" s="8" t="s">
        <v>39</v>
      </c>
    </row>
    <row r="6" spans="1:11" x14ac:dyDescent="0.35">
      <c r="A6">
        <v>24326</v>
      </c>
      <c r="B6" t="s">
        <v>8</v>
      </c>
      <c r="C6" t="s">
        <v>11</v>
      </c>
      <c r="D6">
        <v>113</v>
      </c>
      <c r="K6" s="8" t="s">
        <v>38</v>
      </c>
    </row>
    <row r="7" spans="1:11" x14ac:dyDescent="0.35">
      <c r="A7">
        <v>12622</v>
      </c>
      <c r="B7" t="s">
        <v>12</v>
      </c>
      <c r="C7" t="s">
        <v>13</v>
      </c>
      <c r="D7">
        <v>198</v>
      </c>
      <c r="K7" s="8" t="s">
        <v>40</v>
      </c>
    </row>
    <row r="8" spans="1:11" x14ac:dyDescent="0.35">
      <c r="A8">
        <v>13618</v>
      </c>
      <c r="B8" t="s">
        <v>12</v>
      </c>
      <c r="C8" t="s">
        <v>14</v>
      </c>
      <c r="D8">
        <v>288</v>
      </c>
    </row>
    <row r="9" spans="1:11" x14ac:dyDescent="0.35">
      <c r="A9">
        <v>23756</v>
      </c>
      <c r="B9" t="s">
        <v>12</v>
      </c>
      <c r="C9" t="s">
        <v>15</v>
      </c>
      <c r="D9">
        <v>134</v>
      </c>
    </row>
    <row r="10" spans="1:11" x14ac:dyDescent="0.35">
      <c r="A10">
        <v>13527</v>
      </c>
      <c r="B10" t="s">
        <v>16</v>
      </c>
      <c r="C10" t="s">
        <v>17</v>
      </c>
      <c r="D10">
        <v>133</v>
      </c>
    </row>
    <row r="11" spans="1:11" x14ac:dyDescent="0.35">
      <c r="A11">
        <v>22940</v>
      </c>
      <c r="B11" t="s">
        <v>16</v>
      </c>
      <c r="C11" t="s">
        <v>18</v>
      </c>
      <c r="D11">
        <v>106</v>
      </c>
    </row>
    <row r="12" spans="1:11" x14ac:dyDescent="0.35">
      <c r="A12">
        <v>23178</v>
      </c>
      <c r="B12" t="s">
        <v>16</v>
      </c>
      <c r="C12" t="s">
        <v>19</v>
      </c>
      <c r="D12">
        <v>145</v>
      </c>
    </row>
    <row r="13" spans="1:11" x14ac:dyDescent="0.35">
      <c r="A13">
        <v>23600</v>
      </c>
      <c r="B13" t="s">
        <v>16</v>
      </c>
      <c r="C13" t="s">
        <v>20</v>
      </c>
      <c r="D13">
        <v>90</v>
      </c>
    </row>
    <row r="14" spans="1:11" x14ac:dyDescent="0.35">
      <c r="A14">
        <v>12184</v>
      </c>
      <c r="B14" t="s">
        <v>21</v>
      </c>
      <c r="C14" t="s">
        <v>22</v>
      </c>
      <c r="D14">
        <v>90</v>
      </c>
    </row>
    <row r="15" spans="1:11" x14ac:dyDescent="0.35">
      <c r="A15">
        <v>16650</v>
      </c>
      <c r="B15" t="s">
        <v>21</v>
      </c>
      <c r="C15" t="s">
        <v>23</v>
      </c>
      <c r="D15">
        <v>111</v>
      </c>
    </row>
    <row r="16" spans="1:11" x14ac:dyDescent="0.35">
      <c r="A16">
        <v>21179</v>
      </c>
      <c r="B16" t="s">
        <v>21</v>
      </c>
      <c r="C16" t="s">
        <v>24</v>
      </c>
      <c r="D16">
        <v>90</v>
      </c>
    </row>
    <row r="17" spans="1:4" x14ac:dyDescent="0.35">
      <c r="A17">
        <v>20177</v>
      </c>
      <c r="B17" t="s">
        <v>25</v>
      </c>
      <c r="C17" t="s">
        <v>26</v>
      </c>
      <c r="D17">
        <v>78</v>
      </c>
    </row>
    <row r="18" spans="1:4" x14ac:dyDescent="0.35">
      <c r="A18">
        <v>22317</v>
      </c>
      <c r="B18" t="s">
        <v>25</v>
      </c>
      <c r="C18" t="s">
        <v>27</v>
      </c>
      <c r="D18">
        <v>67</v>
      </c>
    </row>
    <row r="19" spans="1:4" x14ac:dyDescent="0.35">
      <c r="A19">
        <v>16024</v>
      </c>
      <c r="B19" t="s">
        <v>28</v>
      </c>
      <c r="C19" t="s">
        <v>29</v>
      </c>
      <c r="D19">
        <v>345</v>
      </c>
    </row>
    <row r="20" spans="1:4" x14ac:dyDescent="0.35">
      <c r="A20">
        <v>18342</v>
      </c>
      <c r="B20" t="s">
        <v>28</v>
      </c>
      <c r="C20" t="s">
        <v>30</v>
      </c>
      <c r="D20">
        <v>670</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11223"/>
  <sheetViews>
    <sheetView topLeftCell="A5559" workbookViewId="0">
      <selection activeCell="A5578" sqref="A5578"/>
    </sheetView>
  </sheetViews>
  <sheetFormatPr defaultRowHeight="14.5" x14ac:dyDescent="0.35"/>
  <cols>
    <col min="4" max="4" width="9.453125" customWidth="1"/>
  </cols>
  <sheetData>
    <row r="1" spans="1:11" x14ac:dyDescent="0.35">
      <c r="A1" t="s">
        <v>36</v>
      </c>
      <c r="B1" t="s">
        <v>0</v>
      </c>
      <c r="C1" t="s">
        <v>1</v>
      </c>
      <c r="D1" t="s">
        <v>2</v>
      </c>
      <c r="E1" t="s">
        <v>3</v>
      </c>
      <c r="F1" t="s">
        <v>4</v>
      </c>
      <c r="G1" t="s">
        <v>35</v>
      </c>
      <c r="H1" t="s">
        <v>5</v>
      </c>
    </row>
    <row r="2" spans="1:11" x14ac:dyDescent="0.35">
      <c r="A2" t="s">
        <v>37</v>
      </c>
      <c r="B2">
        <v>2012</v>
      </c>
      <c r="C2">
        <v>1</v>
      </c>
      <c r="D2">
        <v>12184</v>
      </c>
      <c r="E2">
        <v>97</v>
      </c>
      <c r="F2">
        <v>13184.63</v>
      </c>
      <c r="G2">
        <v>6942.9</v>
      </c>
      <c r="H2" t="str">
        <f>VLOOKUP(myynnit[[#This Row],[TuoteID]],ohjaus!$A$4:$B$20,2,FALSE)</f>
        <v>Rahi</v>
      </c>
      <c r="J2">
        <v>17</v>
      </c>
      <c r="K2" t="s">
        <v>41</v>
      </c>
    </row>
    <row r="3" spans="1:11" x14ac:dyDescent="0.35">
      <c r="A3" t="s">
        <v>37</v>
      </c>
      <c r="B3">
        <v>2012</v>
      </c>
      <c r="C3">
        <v>1</v>
      </c>
      <c r="D3">
        <v>12622</v>
      </c>
      <c r="E3">
        <v>36</v>
      </c>
      <c r="F3">
        <v>8321.24</v>
      </c>
      <c r="G3">
        <v>3582.94</v>
      </c>
      <c r="H3" t="str">
        <f>VLOOKUP(myynnit[[#This Row],[TuoteID]],ohjaus!$A$4:$B$20,2,FALSE)</f>
        <v>Pianotuoli</v>
      </c>
      <c r="J3">
        <v>4</v>
      </c>
      <c r="K3" t="s">
        <v>42</v>
      </c>
    </row>
    <row r="4" spans="1:11" x14ac:dyDescent="0.35">
      <c r="A4" t="s">
        <v>37</v>
      </c>
      <c r="B4">
        <v>2012</v>
      </c>
      <c r="C4">
        <v>1</v>
      </c>
      <c r="D4">
        <v>13527</v>
      </c>
      <c r="E4">
        <v>344</v>
      </c>
      <c r="F4">
        <v>56028.88</v>
      </c>
      <c r="G4">
        <v>9149.33</v>
      </c>
      <c r="H4" t="str">
        <f>VLOOKUP(myynnit[[#This Row],[TuoteID]],ohjaus!$A$4:$B$20,2,FALSE)</f>
        <v>Pinnatuoli</v>
      </c>
      <c r="J4">
        <f>J3*J2</f>
        <v>68</v>
      </c>
      <c r="K4" t="s">
        <v>43</v>
      </c>
    </row>
    <row r="5" spans="1:11" x14ac:dyDescent="0.35">
      <c r="A5" t="s">
        <v>37</v>
      </c>
      <c r="B5">
        <v>2012</v>
      </c>
      <c r="C5">
        <v>1</v>
      </c>
      <c r="D5">
        <v>13618</v>
      </c>
      <c r="E5">
        <v>12</v>
      </c>
      <c r="F5">
        <v>4573.41</v>
      </c>
      <c r="G5">
        <v>2177.5300000000002</v>
      </c>
      <c r="H5" t="str">
        <f>VLOOKUP(myynnit[[#This Row],[TuoteID]],ohjaus!$A$4:$B$20,2,FALSE)</f>
        <v>Pianotuoli</v>
      </c>
    </row>
    <row r="6" spans="1:11" x14ac:dyDescent="0.35">
      <c r="A6" t="s">
        <v>37</v>
      </c>
      <c r="B6">
        <v>2012</v>
      </c>
      <c r="C6">
        <v>1</v>
      </c>
      <c r="D6">
        <v>16024</v>
      </c>
      <c r="E6">
        <v>147</v>
      </c>
      <c r="F6">
        <v>60598.21</v>
      </c>
      <c r="G6">
        <v>18530.060000000001</v>
      </c>
      <c r="H6" t="str">
        <f>VLOOKUP(myynnit[[#This Row],[TuoteID]],ohjaus!$A$4:$B$20,2,FALSE)</f>
        <v>Työtuoli</v>
      </c>
      <c r="J6">
        <f>ROWS(myynnit[])</f>
        <v>5678</v>
      </c>
      <c r="K6" t="s">
        <v>48</v>
      </c>
    </row>
    <row r="7" spans="1:11" x14ac:dyDescent="0.35">
      <c r="A7" t="s">
        <v>37</v>
      </c>
      <c r="B7">
        <v>2012</v>
      </c>
      <c r="C7">
        <v>1</v>
      </c>
      <c r="D7">
        <v>16650</v>
      </c>
      <c r="E7">
        <v>72</v>
      </c>
      <c r="F7">
        <v>12035.61</v>
      </c>
      <c r="G7">
        <v>4925.8100000000004</v>
      </c>
      <c r="H7" t="str">
        <f>VLOOKUP(myynnit[[#This Row],[TuoteID]],ohjaus!$A$4:$B$20,2,FALSE)</f>
        <v>Rahi</v>
      </c>
    </row>
    <row r="8" spans="1:11" x14ac:dyDescent="0.35">
      <c r="A8" t="s">
        <v>37</v>
      </c>
      <c r="B8">
        <v>2012</v>
      </c>
      <c r="C8">
        <v>1</v>
      </c>
      <c r="D8">
        <v>17892</v>
      </c>
      <c r="E8">
        <v>170</v>
      </c>
      <c r="F8">
        <v>25018.98</v>
      </c>
      <c r="G8">
        <v>6676.41</v>
      </c>
      <c r="H8" t="str">
        <f>VLOOKUP(myynnit[[#This Row],[TuoteID]],ohjaus!$A$4:$B$20,2,FALSE)</f>
        <v>Lepotuoli</v>
      </c>
    </row>
    <row r="9" spans="1:11" x14ac:dyDescent="0.35">
      <c r="A9" t="s">
        <v>37</v>
      </c>
      <c r="B9">
        <v>2012</v>
      </c>
      <c r="C9">
        <v>1</v>
      </c>
      <c r="D9">
        <v>18342</v>
      </c>
      <c r="E9">
        <v>260</v>
      </c>
      <c r="F9">
        <v>213881.79</v>
      </c>
      <c r="G9">
        <v>53731.61</v>
      </c>
      <c r="H9" t="str">
        <f>VLOOKUP(myynnit[[#This Row],[TuoteID]],ohjaus!$A$4:$B$20,2,FALSE)</f>
        <v>Työtuoli</v>
      </c>
    </row>
    <row r="10" spans="1:11" x14ac:dyDescent="0.35">
      <c r="A10" t="s">
        <v>37</v>
      </c>
      <c r="B10">
        <v>2012</v>
      </c>
      <c r="C10">
        <v>1</v>
      </c>
      <c r="D10">
        <v>20177</v>
      </c>
      <c r="E10">
        <v>118</v>
      </c>
      <c r="F10">
        <v>11447.98</v>
      </c>
      <c r="G10">
        <v>3717.41</v>
      </c>
      <c r="H10" t="str">
        <f>VLOOKUP(myynnit[[#This Row],[TuoteID]],ohjaus!$A$4:$B$20,2,FALSE)</f>
        <v>Säkkituoli</v>
      </c>
    </row>
    <row r="11" spans="1:11" x14ac:dyDescent="0.35">
      <c r="A11" t="s">
        <v>37</v>
      </c>
      <c r="B11">
        <v>2012</v>
      </c>
      <c r="C11">
        <v>1</v>
      </c>
      <c r="D11">
        <v>21179</v>
      </c>
      <c r="E11">
        <v>71</v>
      </c>
      <c r="F11">
        <v>7952.06</v>
      </c>
      <c r="G11">
        <v>3299.25</v>
      </c>
      <c r="H11" t="str">
        <f>VLOOKUP(myynnit[[#This Row],[TuoteID]],ohjaus!$A$4:$B$20,2,FALSE)</f>
        <v>Rahi</v>
      </c>
    </row>
    <row r="12" spans="1:11" x14ac:dyDescent="0.35">
      <c r="A12" t="s">
        <v>37</v>
      </c>
      <c r="B12">
        <v>2012</v>
      </c>
      <c r="C12">
        <v>1</v>
      </c>
      <c r="D12">
        <v>21260</v>
      </c>
      <c r="E12">
        <v>45</v>
      </c>
      <c r="F12">
        <v>7805.24</v>
      </c>
      <c r="G12">
        <v>2019</v>
      </c>
      <c r="H12" t="str">
        <f>VLOOKUP(myynnit[[#This Row],[TuoteID]],ohjaus!$A$4:$B$20,2,FALSE)</f>
        <v>Lepotuoli</v>
      </c>
    </row>
    <row r="13" spans="1:11" x14ac:dyDescent="0.35">
      <c r="A13" t="s">
        <v>37</v>
      </c>
      <c r="B13">
        <v>2012</v>
      </c>
      <c r="C13">
        <v>1</v>
      </c>
      <c r="D13">
        <v>22317</v>
      </c>
      <c r="E13">
        <v>66</v>
      </c>
      <c r="F13">
        <v>5884.75</v>
      </c>
      <c r="G13">
        <v>2073.42</v>
      </c>
      <c r="H13" t="str">
        <f>VLOOKUP(myynnit[[#This Row],[TuoteID]],ohjaus!$A$4:$B$20,2,FALSE)</f>
        <v>Säkkituoli</v>
      </c>
    </row>
    <row r="14" spans="1:11" x14ac:dyDescent="0.35">
      <c r="A14" t="s">
        <v>37</v>
      </c>
      <c r="B14">
        <v>2012</v>
      </c>
      <c r="C14">
        <v>1</v>
      </c>
      <c r="D14">
        <v>22940</v>
      </c>
      <c r="E14">
        <v>404</v>
      </c>
      <c r="F14">
        <v>50492.82</v>
      </c>
      <c r="G14">
        <v>8142.54</v>
      </c>
      <c r="H14" t="str">
        <f>VLOOKUP(myynnit[[#This Row],[TuoteID]],ohjaus!$A$4:$B$20,2,FALSE)</f>
        <v>Pinnatuoli</v>
      </c>
    </row>
    <row r="15" spans="1:11" x14ac:dyDescent="0.35">
      <c r="A15" t="s">
        <v>37</v>
      </c>
      <c r="B15">
        <v>2012</v>
      </c>
      <c r="C15">
        <v>1</v>
      </c>
      <c r="D15">
        <v>23178</v>
      </c>
      <c r="E15">
        <v>380</v>
      </c>
      <c r="F15">
        <v>64787.8</v>
      </c>
      <c r="G15">
        <v>13120.36</v>
      </c>
      <c r="H15" t="str">
        <f>VLOOKUP(myynnit[[#This Row],[TuoteID]],ohjaus!$A$4:$B$20,2,FALSE)</f>
        <v>Pinnatuoli</v>
      </c>
    </row>
    <row r="16" spans="1:11" x14ac:dyDescent="0.35">
      <c r="A16" t="s">
        <v>37</v>
      </c>
      <c r="B16">
        <v>2012</v>
      </c>
      <c r="C16">
        <v>1</v>
      </c>
      <c r="D16">
        <v>23600</v>
      </c>
      <c r="E16">
        <v>1287</v>
      </c>
      <c r="F16">
        <v>145910.26999999999</v>
      </c>
      <c r="G16">
        <v>34971.14</v>
      </c>
      <c r="H16" t="str">
        <f>VLOOKUP(myynnit[[#This Row],[TuoteID]],ohjaus!$A$4:$B$20,2,FALSE)</f>
        <v>Pinnatuoli</v>
      </c>
    </row>
    <row r="17" spans="1:8" x14ac:dyDescent="0.35">
      <c r="A17" t="s">
        <v>37</v>
      </c>
      <c r="B17">
        <v>2012</v>
      </c>
      <c r="C17">
        <v>1</v>
      </c>
      <c r="D17">
        <v>23756</v>
      </c>
      <c r="E17">
        <v>109</v>
      </c>
      <c r="F17">
        <v>22931.21</v>
      </c>
      <c r="G17">
        <v>9286.7099999999991</v>
      </c>
      <c r="H17" t="str">
        <f>VLOOKUP(myynnit[[#This Row],[TuoteID]],ohjaus!$A$4:$B$20,2,FALSE)</f>
        <v>Pianotuoli</v>
      </c>
    </row>
    <row r="18" spans="1:8" x14ac:dyDescent="0.35">
      <c r="A18" t="s">
        <v>37</v>
      </c>
      <c r="B18">
        <v>2012</v>
      </c>
      <c r="C18">
        <v>1</v>
      </c>
      <c r="D18">
        <v>24326</v>
      </c>
      <c r="E18">
        <v>152</v>
      </c>
      <c r="F18">
        <v>22894.47</v>
      </c>
      <c r="G18">
        <v>6914.43</v>
      </c>
      <c r="H18" t="str">
        <f>VLOOKUP(myynnit[[#This Row],[TuoteID]],ohjaus!$A$4:$B$20,2,FALSE)</f>
        <v>Lepotuoli</v>
      </c>
    </row>
    <row r="19" spans="1:8" x14ac:dyDescent="0.35">
      <c r="A19" t="s">
        <v>40</v>
      </c>
      <c r="B19">
        <v>2012</v>
      </c>
      <c r="C19">
        <v>1</v>
      </c>
      <c r="D19">
        <v>12184</v>
      </c>
      <c r="E19">
        <v>26</v>
      </c>
      <c r="F19">
        <v>2580.0700000000002</v>
      </c>
      <c r="G19">
        <v>1264.46</v>
      </c>
      <c r="H19" t="str">
        <f>VLOOKUP(myynnit[[#This Row],[TuoteID]],ohjaus!$A$4:$B$20,2,FALSE)</f>
        <v>Rahi</v>
      </c>
    </row>
    <row r="20" spans="1:8" x14ac:dyDescent="0.35">
      <c r="A20" t="s">
        <v>40</v>
      </c>
      <c r="B20">
        <v>2012</v>
      </c>
      <c r="C20">
        <v>1</v>
      </c>
      <c r="D20">
        <v>12622</v>
      </c>
      <c r="E20">
        <v>22</v>
      </c>
      <c r="F20">
        <v>6352.58</v>
      </c>
      <c r="G20">
        <v>2247.7800000000002</v>
      </c>
      <c r="H20" t="str">
        <f>VLOOKUP(myynnit[[#This Row],[TuoteID]],ohjaus!$A$4:$B$20,2,FALSE)</f>
        <v>Pianotuoli</v>
      </c>
    </row>
    <row r="21" spans="1:8" x14ac:dyDescent="0.35">
      <c r="A21" t="s">
        <v>40</v>
      </c>
      <c r="B21">
        <v>2012</v>
      </c>
      <c r="C21">
        <v>1</v>
      </c>
      <c r="D21">
        <v>13527</v>
      </c>
      <c r="E21">
        <v>185</v>
      </c>
      <c r="F21">
        <v>27070.560000000001</v>
      </c>
      <c r="G21">
        <v>5530.44</v>
      </c>
      <c r="H21" t="str">
        <f>VLOOKUP(myynnit[[#This Row],[TuoteID]],ohjaus!$A$4:$B$20,2,FALSE)</f>
        <v>Pinnatuoli</v>
      </c>
    </row>
    <row r="22" spans="1:8" x14ac:dyDescent="0.35">
      <c r="A22" t="s">
        <v>40</v>
      </c>
      <c r="B22">
        <v>2012</v>
      </c>
      <c r="C22">
        <v>1</v>
      </c>
      <c r="D22">
        <v>13618</v>
      </c>
      <c r="E22">
        <v>10</v>
      </c>
      <c r="F22">
        <v>3608.11</v>
      </c>
      <c r="G22">
        <v>1637.83</v>
      </c>
      <c r="H22" t="str">
        <f>VLOOKUP(myynnit[[#This Row],[TuoteID]],ohjaus!$A$4:$B$20,2,FALSE)</f>
        <v>Pianotuoli</v>
      </c>
    </row>
    <row r="23" spans="1:8" x14ac:dyDescent="0.35">
      <c r="A23" t="s">
        <v>40</v>
      </c>
      <c r="B23">
        <v>2012</v>
      </c>
      <c r="C23">
        <v>1</v>
      </c>
      <c r="D23">
        <v>16024</v>
      </c>
      <c r="E23">
        <v>165</v>
      </c>
      <c r="F23">
        <v>79740.38</v>
      </c>
      <c r="G23">
        <v>25691.69</v>
      </c>
      <c r="H23" t="str">
        <f>VLOOKUP(myynnit[[#This Row],[TuoteID]],ohjaus!$A$4:$B$20,2,FALSE)</f>
        <v>Työtuoli</v>
      </c>
    </row>
    <row r="24" spans="1:8" x14ac:dyDescent="0.35">
      <c r="A24" t="s">
        <v>40</v>
      </c>
      <c r="B24">
        <v>2012</v>
      </c>
      <c r="C24">
        <v>1</v>
      </c>
      <c r="D24">
        <v>16650</v>
      </c>
      <c r="E24">
        <v>28</v>
      </c>
      <c r="F24">
        <v>4501.7</v>
      </c>
      <c r="G24">
        <v>2602.5</v>
      </c>
      <c r="H24" t="str">
        <f>VLOOKUP(myynnit[[#This Row],[TuoteID]],ohjaus!$A$4:$B$20,2,FALSE)</f>
        <v>Rahi</v>
      </c>
    </row>
    <row r="25" spans="1:8" x14ac:dyDescent="0.35">
      <c r="A25" t="s">
        <v>40</v>
      </c>
      <c r="B25">
        <v>2012</v>
      </c>
      <c r="C25">
        <v>1</v>
      </c>
      <c r="D25">
        <v>17892</v>
      </c>
      <c r="E25">
        <v>60</v>
      </c>
      <c r="F25">
        <v>9120.67</v>
      </c>
      <c r="G25">
        <v>1979.23</v>
      </c>
      <c r="H25" t="str">
        <f>VLOOKUP(myynnit[[#This Row],[TuoteID]],ohjaus!$A$4:$B$20,2,FALSE)</f>
        <v>Lepotuoli</v>
      </c>
    </row>
    <row r="26" spans="1:8" x14ac:dyDescent="0.35">
      <c r="A26" t="s">
        <v>40</v>
      </c>
      <c r="B26">
        <v>2012</v>
      </c>
      <c r="C26">
        <v>1</v>
      </c>
      <c r="D26">
        <v>18342</v>
      </c>
      <c r="E26">
        <v>33</v>
      </c>
      <c r="F26">
        <v>30875.9</v>
      </c>
      <c r="G26">
        <v>10656.8</v>
      </c>
      <c r="H26" t="str">
        <f>VLOOKUP(myynnit[[#This Row],[TuoteID]],ohjaus!$A$4:$B$20,2,FALSE)</f>
        <v>Työtuoli</v>
      </c>
    </row>
    <row r="27" spans="1:8" x14ac:dyDescent="0.35">
      <c r="A27" t="s">
        <v>40</v>
      </c>
      <c r="B27">
        <v>2012</v>
      </c>
      <c r="C27">
        <v>1</v>
      </c>
      <c r="D27">
        <v>20177</v>
      </c>
      <c r="E27">
        <v>12</v>
      </c>
      <c r="F27">
        <v>1332.65</v>
      </c>
      <c r="G27">
        <v>455.04</v>
      </c>
      <c r="H27" t="str">
        <f>VLOOKUP(myynnit[[#This Row],[TuoteID]],ohjaus!$A$4:$B$20,2,FALSE)</f>
        <v>Säkkituoli</v>
      </c>
    </row>
    <row r="28" spans="1:8" x14ac:dyDescent="0.35">
      <c r="A28" t="s">
        <v>40</v>
      </c>
      <c r="B28">
        <v>2012</v>
      </c>
      <c r="C28">
        <v>1</v>
      </c>
      <c r="D28">
        <v>21179</v>
      </c>
      <c r="E28">
        <v>31</v>
      </c>
      <c r="F28">
        <v>4691.32</v>
      </c>
      <c r="G28">
        <v>2304.96</v>
      </c>
      <c r="H28" t="str">
        <f>VLOOKUP(myynnit[[#This Row],[TuoteID]],ohjaus!$A$4:$B$20,2,FALSE)</f>
        <v>Rahi</v>
      </c>
    </row>
    <row r="29" spans="1:8" x14ac:dyDescent="0.35">
      <c r="A29" t="s">
        <v>40</v>
      </c>
      <c r="B29">
        <v>2012</v>
      </c>
      <c r="C29">
        <v>1</v>
      </c>
      <c r="D29">
        <v>21260</v>
      </c>
      <c r="E29">
        <v>46</v>
      </c>
      <c r="F29">
        <v>7997.19</v>
      </c>
      <c r="G29">
        <v>1844.64</v>
      </c>
      <c r="H29" t="str">
        <f>VLOOKUP(myynnit[[#This Row],[TuoteID]],ohjaus!$A$4:$B$20,2,FALSE)</f>
        <v>Lepotuoli</v>
      </c>
    </row>
    <row r="30" spans="1:8" x14ac:dyDescent="0.35">
      <c r="A30" t="s">
        <v>40</v>
      </c>
      <c r="B30">
        <v>2012</v>
      </c>
      <c r="C30">
        <v>1</v>
      </c>
      <c r="D30">
        <v>22317</v>
      </c>
      <c r="E30">
        <v>13</v>
      </c>
      <c r="F30">
        <v>1163.5999999999999</v>
      </c>
      <c r="G30">
        <v>582.22</v>
      </c>
      <c r="H30" t="str">
        <f>VLOOKUP(myynnit[[#This Row],[TuoteID]],ohjaus!$A$4:$B$20,2,FALSE)</f>
        <v>Säkkituoli</v>
      </c>
    </row>
    <row r="31" spans="1:8" x14ac:dyDescent="0.35">
      <c r="A31" t="s">
        <v>40</v>
      </c>
      <c r="B31">
        <v>2012</v>
      </c>
      <c r="C31">
        <v>1</v>
      </c>
      <c r="D31">
        <v>22940</v>
      </c>
      <c r="E31">
        <v>141</v>
      </c>
      <c r="F31">
        <v>20134.95</v>
      </c>
      <c r="G31">
        <v>5291</v>
      </c>
      <c r="H31" t="str">
        <f>VLOOKUP(myynnit[[#This Row],[TuoteID]],ohjaus!$A$4:$B$20,2,FALSE)</f>
        <v>Pinnatuoli</v>
      </c>
    </row>
    <row r="32" spans="1:8" x14ac:dyDescent="0.35">
      <c r="A32" t="s">
        <v>40</v>
      </c>
      <c r="B32">
        <v>2012</v>
      </c>
      <c r="C32">
        <v>1</v>
      </c>
      <c r="D32">
        <v>23178</v>
      </c>
      <c r="E32">
        <v>186</v>
      </c>
      <c r="F32">
        <v>31892.76</v>
      </c>
      <c r="G32">
        <v>7874.72</v>
      </c>
      <c r="H32" t="str">
        <f>VLOOKUP(myynnit[[#This Row],[TuoteID]],ohjaus!$A$4:$B$20,2,FALSE)</f>
        <v>Pinnatuoli</v>
      </c>
    </row>
    <row r="33" spans="1:8" x14ac:dyDescent="0.35">
      <c r="A33" t="s">
        <v>40</v>
      </c>
      <c r="B33">
        <v>2012</v>
      </c>
      <c r="C33">
        <v>1</v>
      </c>
      <c r="D33">
        <v>23600</v>
      </c>
      <c r="E33">
        <v>491</v>
      </c>
      <c r="F33">
        <v>54831.64</v>
      </c>
      <c r="G33">
        <v>16389.82</v>
      </c>
      <c r="H33" t="str">
        <f>VLOOKUP(myynnit[[#This Row],[TuoteID]],ohjaus!$A$4:$B$20,2,FALSE)</f>
        <v>Pinnatuoli</v>
      </c>
    </row>
    <row r="34" spans="1:8" x14ac:dyDescent="0.35">
      <c r="A34" t="s">
        <v>40</v>
      </c>
      <c r="B34">
        <v>2012</v>
      </c>
      <c r="C34">
        <v>1</v>
      </c>
      <c r="D34">
        <v>23756</v>
      </c>
      <c r="E34">
        <v>34</v>
      </c>
      <c r="F34">
        <v>5523.25</v>
      </c>
      <c r="G34">
        <v>2362.63</v>
      </c>
      <c r="H34" t="str">
        <f>VLOOKUP(myynnit[[#This Row],[TuoteID]],ohjaus!$A$4:$B$20,2,FALSE)</f>
        <v>Pianotuoli</v>
      </c>
    </row>
    <row r="35" spans="1:8" x14ac:dyDescent="0.35">
      <c r="A35" t="s">
        <v>40</v>
      </c>
      <c r="B35">
        <v>2012</v>
      </c>
      <c r="C35">
        <v>1</v>
      </c>
      <c r="D35">
        <v>24326</v>
      </c>
      <c r="E35">
        <v>39</v>
      </c>
      <c r="F35">
        <v>5872.45</v>
      </c>
      <c r="G35">
        <v>1777.95</v>
      </c>
      <c r="H35" t="str">
        <f>VLOOKUP(myynnit[[#This Row],[TuoteID]],ohjaus!$A$4:$B$20,2,FALSE)</f>
        <v>Lepotuoli</v>
      </c>
    </row>
    <row r="36" spans="1:8" x14ac:dyDescent="0.35">
      <c r="A36" t="s">
        <v>39</v>
      </c>
      <c r="B36">
        <v>2012</v>
      </c>
      <c r="C36">
        <v>1</v>
      </c>
      <c r="D36">
        <v>12184</v>
      </c>
      <c r="E36">
        <v>64</v>
      </c>
      <c r="F36">
        <v>8409.4500000000007</v>
      </c>
      <c r="G36">
        <v>5934.18</v>
      </c>
      <c r="H36" t="str">
        <f>VLOOKUP(myynnit[[#This Row],[TuoteID]],ohjaus!$A$4:$B$20,2,FALSE)</f>
        <v>Rahi</v>
      </c>
    </row>
    <row r="37" spans="1:8" x14ac:dyDescent="0.35">
      <c r="A37" t="s">
        <v>39</v>
      </c>
      <c r="B37">
        <v>2012</v>
      </c>
      <c r="C37">
        <v>1</v>
      </c>
      <c r="D37">
        <v>12622</v>
      </c>
      <c r="E37">
        <v>43</v>
      </c>
      <c r="F37">
        <v>11488.25</v>
      </c>
      <c r="G37">
        <v>7225.14</v>
      </c>
      <c r="H37" t="str">
        <f>VLOOKUP(myynnit[[#This Row],[TuoteID]],ohjaus!$A$4:$B$20,2,FALSE)</f>
        <v>Pianotuoli</v>
      </c>
    </row>
    <row r="38" spans="1:8" x14ac:dyDescent="0.35">
      <c r="A38" t="s">
        <v>39</v>
      </c>
      <c r="B38">
        <v>2012</v>
      </c>
      <c r="C38">
        <v>1</v>
      </c>
      <c r="D38">
        <v>13527</v>
      </c>
      <c r="E38">
        <v>508</v>
      </c>
      <c r="F38">
        <v>74866.83</v>
      </c>
      <c r="G38">
        <v>20280.18</v>
      </c>
      <c r="H38" t="str">
        <f>VLOOKUP(myynnit[[#This Row],[TuoteID]],ohjaus!$A$4:$B$20,2,FALSE)</f>
        <v>Pinnatuoli</v>
      </c>
    </row>
    <row r="39" spans="1:8" x14ac:dyDescent="0.35">
      <c r="A39" t="s">
        <v>39</v>
      </c>
      <c r="B39">
        <v>2012</v>
      </c>
      <c r="C39">
        <v>1</v>
      </c>
      <c r="D39">
        <v>13618</v>
      </c>
      <c r="E39">
        <v>28</v>
      </c>
      <c r="F39">
        <v>9440.85</v>
      </c>
      <c r="G39">
        <v>4707.87</v>
      </c>
      <c r="H39" t="str">
        <f>VLOOKUP(myynnit[[#This Row],[TuoteID]],ohjaus!$A$4:$B$20,2,FALSE)</f>
        <v>Pianotuoli</v>
      </c>
    </row>
    <row r="40" spans="1:8" x14ac:dyDescent="0.35">
      <c r="A40" t="s">
        <v>39</v>
      </c>
      <c r="B40">
        <v>2012</v>
      </c>
      <c r="C40">
        <v>1</v>
      </c>
      <c r="D40">
        <v>16024</v>
      </c>
      <c r="E40">
        <v>304</v>
      </c>
      <c r="F40">
        <v>129682.14</v>
      </c>
      <c r="G40">
        <v>41531.550000000003</v>
      </c>
      <c r="H40" t="str">
        <f>VLOOKUP(myynnit[[#This Row],[TuoteID]],ohjaus!$A$4:$B$20,2,FALSE)</f>
        <v>Työtuoli</v>
      </c>
    </row>
    <row r="41" spans="1:8" x14ac:dyDescent="0.35">
      <c r="A41" t="s">
        <v>39</v>
      </c>
      <c r="B41">
        <v>2012</v>
      </c>
      <c r="C41">
        <v>1</v>
      </c>
      <c r="D41">
        <v>16650</v>
      </c>
      <c r="E41">
        <v>18</v>
      </c>
      <c r="F41">
        <v>3209.31</v>
      </c>
      <c r="G41">
        <v>2299.5100000000002</v>
      </c>
      <c r="H41" t="str">
        <f>VLOOKUP(myynnit[[#This Row],[TuoteID]],ohjaus!$A$4:$B$20,2,FALSE)</f>
        <v>Rahi</v>
      </c>
    </row>
    <row r="42" spans="1:8" x14ac:dyDescent="0.35">
      <c r="A42" t="s">
        <v>39</v>
      </c>
      <c r="B42">
        <v>2012</v>
      </c>
      <c r="C42">
        <v>1</v>
      </c>
      <c r="D42">
        <v>17892</v>
      </c>
      <c r="E42">
        <v>71</v>
      </c>
      <c r="F42">
        <v>9081.27</v>
      </c>
      <c r="G42">
        <v>2793.44</v>
      </c>
      <c r="H42" t="str">
        <f>VLOOKUP(myynnit[[#This Row],[TuoteID]],ohjaus!$A$4:$B$20,2,FALSE)</f>
        <v>Lepotuoli</v>
      </c>
    </row>
    <row r="43" spans="1:8" x14ac:dyDescent="0.35">
      <c r="A43" t="s">
        <v>39</v>
      </c>
      <c r="B43">
        <v>2012</v>
      </c>
      <c r="C43">
        <v>1</v>
      </c>
      <c r="D43">
        <v>18342</v>
      </c>
      <c r="E43">
        <v>179</v>
      </c>
      <c r="F43">
        <v>153180.35999999999</v>
      </c>
      <c r="G43">
        <v>46804.13</v>
      </c>
      <c r="H43" t="str">
        <f>VLOOKUP(myynnit[[#This Row],[TuoteID]],ohjaus!$A$4:$B$20,2,FALSE)</f>
        <v>Työtuoli</v>
      </c>
    </row>
    <row r="44" spans="1:8" x14ac:dyDescent="0.35">
      <c r="A44" t="s">
        <v>39</v>
      </c>
      <c r="B44">
        <v>2012</v>
      </c>
      <c r="C44">
        <v>1</v>
      </c>
      <c r="D44">
        <v>20177</v>
      </c>
      <c r="E44">
        <v>65</v>
      </c>
      <c r="F44">
        <v>7010.81</v>
      </c>
      <c r="G44">
        <v>3627.72</v>
      </c>
      <c r="H44" t="str">
        <f>VLOOKUP(myynnit[[#This Row],[TuoteID]],ohjaus!$A$4:$B$20,2,FALSE)</f>
        <v>Säkkituoli</v>
      </c>
    </row>
    <row r="45" spans="1:8" x14ac:dyDescent="0.35">
      <c r="A45" t="s">
        <v>39</v>
      </c>
      <c r="B45">
        <v>2012</v>
      </c>
      <c r="C45">
        <v>1</v>
      </c>
      <c r="D45">
        <v>21179</v>
      </c>
      <c r="E45">
        <v>27</v>
      </c>
      <c r="F45">
        <v>2851.77</v>
      </c>
      <c r="G45">
        <v>2050.1999999999998</v>
      </c>
      <c r="H45" t="str">
        <f>VLOOKUP(myynnit[[#This Row],[TuoteID]],ohjaus!$A$4:$B$20,2,FALSE)</f>
        <v>Rahi</v>
      </c>
    </row>
    <row r="46" spans="1:8" x14ac:dyDescent="0.35">
      <c r="A46" t="s">
        <v>39</v>
      </c>
      <c r="B46">
        <v>2012</v>
      </c>
      <c r="C46">
        <v>1</v>
      </c>
      <c r="D46">
        <v>21260</v>
      </c>
      <c r="E46">
        <v>46</v>
      </c>
      <c r="F46">
        <v>8257.2800000000007</v>
      </c>
      <c r="G46">
        <v>2688.55</v>
      </c>
      <c r="H46" t="str">
        <f>VLOOKUP(myynnit[[#This Row],[TuoteID]],ohjaus!$A$4:$B$20,2,FALSE)</f>
        <v>Lepotuoli</v>
      </c>
    </row>
    <row r="47" spans="1:8" x14ac:dyDescent="0.35">
      <c r="A47" t="s">
        <v>39</v>
      </c>
      <c r="B47">
        <v>2012</v>
      </c>
      <c r="C47">
        <v>1</v>
      </c>
      <c r="D47">
        <v>22317</v>
      </c>
      <c r="E47">
        <v>20</v>
      </c>
      <c r="F47">
        <v>1646.7</v>
      </c>
      <c r="G47">
        <v>772.14</v>
      </c>
      <c r="H47" t="str">
        <f>VLOOKUP(myynnit[[#This Row],[TuoteID]],ohjaus!$A$4:$B$20,2,FALSE)</f>
        <v>Säkkituoli</v>
      </c>
    </row>
    <row r="48" spans="1:8" x14ac:dyDescent="0.35">
      <c r="A48" t="s">
        <v>39</v>
      </c>
      <c r="B48">
        <v>2012</v>
      </c>
      <c r="C48">
        <v>1</v>
      </c>
      <c r="D48">
        <v>22940</v>
      </c>
      <c r="E48">
        <v>366</v>
      </c>
      <c r="F48">
        <v>51380.71</v>
      </c>
      <c r="G48">
        <v>11384.07</v>
      </c>
      <c r="H48" t="str">
        <f>VLOOKUP(myynnit[[#This Row],[TuoteID]],ohjaus!$A$4:$B$20,2,FALSE)</f>
        <v>Pinnatuoli</v>
      </c>
    </row>
    <row r="49" spans="1:8" x14ac:dyDescent="0.35">
      <c r="A49" t="s">
        <v>39</v>
      </c>
      <c r="B49">
        <v>2012</v>
      </c>
      <c r="C49">
        <v>1</v>
      </c>
      <c r="D49">
        <v>23178</v>
      </c>
      <c r="E49">
        <v>153</v>
      </c>
      <c r="F49">
        <v>25612.34</v>
      </c>
      <c r="G49">
        <v>6616.11</v>
      </c>
      <c r="H49" t="str">
        <f>VLOOKUP(myynnit[[#This Row],[TuoteID]],ohjaus!$A$4:$B$20,2,FALSE)</f>
        <v>Pinnatuoli</v>
      </c>
    </row>
    <row r="50" spans="1:8" x14ac:dyDescent="0.35">
      <c r="A50" t="s">
        <v>39</v>
      </c>
      <c r="B50">
        <v>2012</v>
      </c>
      <c r="C50">
        <v>1</v>
      </c>
      <c r="D50">
        <v>23600</v>
      </c>
      <c r="E50">
        <v>445</v>
      </c>
      <c r="F50">
        <v>46234</v>
      </c>
      <c r="G50">
        <v>14175.22</v>
      </c>
      <c r="H50" t="str">
        <f>VLOOKUP(myynnit[[#This Row],[TuoteID]],ohjaus!$A$4:$B$20,2,FALSE)</f>
        <v>Pinnatuoli</v>
      </c>
    </row>
    <row r="51" spans="1:8" x14ac:dyDescent="0.35">
      <c r="A51" t="s">
        <v>39</v>
      </c>
      <c r="B51">
        <v>2012</v>
      </c>
      <c r="C51">
        <v>1</v>
      </c>
      <c r="D51">
        <v>23756</v>
      </c>
      <c r="E51">
        <v>133</v>
      </c>
      <c r="F51">
        <v>26789.07</v>
      </c>
      <c r="G51">
        <v>15713.32</v>
      </c>
      <c r="H51" t="str">
        <f>VLOOKUP(myynnit[[#This Row],[TuoteID]],ohjaus!$A$4:$B$20,2,FALSE)</f>
        <v>Pianotuoli</v>
      </c>
    </row>
    <row r="52" spans="1:8" x14ac:dyDescent="0.35">
      <c r="A52" t="s">
        <v>39</v>
      </c>
      <c r="B52">
        <v>2012</v>
      </c>
      <c r="C52">
        <v>1</v>
      </c>
      <c r="D52">
        <v>24326</v>
      </c>
      <c r="E52">
        <v>62</v>
      </c>
      <c r="F52">
        <v>9877.24</v>
      </c>
      <c r="G52">
        <v>2776.47</v>
      </c>
      <c r="H52" t="str">
        <f>VLOOKUP(myynnit[[#This Row],[TuoteID]],ohjaus!$A$4:$B$20,2,FALSE)</f>
        <v>Lepotuoli</v>
      </c>
    </row>
    <row r="53" spans="1:8" x14ac:dyDescent="0.35">
      <c r="A53" t="s">
        <v>38</v>
      </c>
      <c r="B53">
        <v>2012</v>
      </c>
      <c r="C53">
        <v>1</v>
      </c>
      <c r="D53">
        <v>12184</v>
      </c>
      <c r="E53">
        <v>70</v>
      </c>
      <c r="F53">
        <v>10382.77</v>
      </c>
      <c r="G53">
        <v>5707.46</v>
      </c>
      <c r="H53" t="str">
        <f>VLOOKUP(myynnit[[#This Row],[TuoteID]],ohjaus!$A$4:$B$20,2,FALSE)</f>
        <v>Rahi</v>
      </c>
    </row>
    <row r="54" spans="1:8" x14ac:dyDescent="0.35">
      <c r="A54" t="s">
        <v>38</v>
      </c>
      <c r="B54">
        <v>2012</v>
      </c>
      <c r="C54">
        <v>1</v>
      </c>
      <c r="D54">
        <v>12622</v>
      </c>
      <c r="E54">
        <v>27</v>
      </c>
      <c r="F54">
        <v>6187.73</v>
      </c>
      <c r="G54">
        <v>2752.27</v>
      </c>
      <c r="H54" t="str">
        <f>VLOOKUP(myynnit[[#This Row],[TuoteID]],ohjaus!$A$4:$B$20,2,FALSE)</f>
        <v>Pianotuoli</v>
      </c>
    </row>
    <row r="55" spans="1:8" x14ac:dyDescent="0.35">
      <c r="A55" t="s">
        <v>38</v>
      </c>
      <c r="B55">
        <v>2012</v>
      </c>
      <c r="C55">
        <v>1</v>
      </c>
      <c r="D55">
        <v>13527</v>
      </c>
      <c r="E55">
        <v>479</v>
      </c>
      <c r="F55">
        <v>72612.75</v>
      </c>
      <c r="G55">
        <v>16734.91</v>
      </c>
      <c r="H55" t="str">
        <f>VLOOKUP(myynnit[[#This Row],[TuoteID]],ohjaus!$A$4:$B$20,2,FALSE)</f>
        <v>Pinnatuoli</v>
      </c>
    </row>
    <row r="56" spans="1:8" x14ac:dyDescent="0.35">
      <c r="A56" t="s">
        <v>38</v>
      </c>
      <c r="B56">
        <v>2012</v>
      </c>
      <c r="C56">
        <v>1</v>
      </c>
      <c r="D56">
        <v>13618</v>
      </c>
      <c r="E56">
        <v>14</v>
      </c>
      <c r="F56">
        <v>5382.18</v>
      </c>
      <c r="G56">
        <v>2341.6</v>
      </c>
      <c r="H56" t="str">
        <f>VLOOKUP(myynnit[[#This Row],[TuoteID]],ohjaus!$A$4:$B$20,2,FALSE)</f>
        <v>Pianotuoli</v>
      </c>
    </row>
    <row r="57" spans="1:8" x14ac:dyDescent="0.35">
      <c r="A57" t="s">
        <v>38</v>
      </c>
      <c r="B57">
        <v>2012</v>
      </c>
      <c r="C57">
        <v>1</v>
      </c>
      <c r="D57">
        <v>16024</v>
      </c>
      <c r="E57">
        <v>188</v>
      </c>
      <c r="F57">
        <v>85143.39</v>
      </c>
      <c r="G57">
        <v>18829.509999999998</v>
      </c>
      <c r="H57" t="str">
        <f>VLOOKUP(myynnit[[#This Row],[TuoteID]],ohjaus!$A$4:$B$20,2,FALSE)</f>
        <v>Työtuoli</v>
      </c>
    </row>
    <row r="58" spans="1:8" x14ac:dyDescent="0.35">
      <c r="A58" t="s">
        <v>38</v>
      </c>
      <c r="B58">
        <v>2012</v>
      </c>
      <c r="C58">
        <v>1</v>
      </c>
      <c r="D58">
        <v>16650</v>
      </c>
      <c r="E58">
        <v>40</v>
      </c>
      <c r="F58">
        <v>7210.22</v>
      </c>
      <c r="G58">
        <v>3490.33</v>
      </c>
      <c r="H58" t="str">
        <f>VLOOKUP(myynnit[[#This Row],[TuoteID]],ohjaus!$A$4:$B$20,2,FALSE)</f>
        <v>Rahi</v>
      </c>
    </row>
    <row r="59" spans="1:8" x14ac:dyDescent="0.35">
      <c r="A59" t="s">
        <v>38</v>
      </c>
      <c r="B59">
        <v>2012</v>
      </c>
      <c r="C59">
        <v>1</v>
      </c>
      <c r="D59">
        <v>17892</v>
      </c>
      <c r="E59">
        <v>90</v>
      </c>
      <c r="F59">
        <v>13400.03</v>
      </c>
      <c r="G59">
        <v>3243.49</v>
      </c>
      <c r="H59" t="str">
        <f>VLOOKUP(myynnit[[#This Row],[TuoteID]],ohjaus!$A$4:$B$20,2,FALSE)</f>
        <v>Lepotuoli</v>
      </c>
    </row>
    <row r="60" spans="1:8" x14ac:dyDescent="0.35">
      <c r="A60" t="s">
        <v>38</v>
      </c>
      <c r="B60">
        <v>2012</v>
      </c>
      <c r="C60">
        <v>1</v>
      </c>
      <c r="D60">
        <v>18342</v>
      </c>
      <c r="E60">
        <v>166</v>
      </c>
      <c r="F60">
        <v>140335.17000000001</v>
      </c>
      <c r="G60">
        <v>38365.15</v>
      </c>
      <c r="H60" t="str">
        <f>VLOOKUP(myynnit[[#This Row],[TuoteID]],ohjaus!$A$4:$B$20,2,FALSE)</f>
        <v>Työtuoli</v>
      </c>
    </row>
    <row r="61" spans="1:8" x14ac:dyDescent="0.35">
      <c r="A61" t="s">
        <v>38</v>
      </c>
      <c r="B61">
        <v>2012</v>
      </c>
      <c r="C61">
        <v>1</v>
      </c>
      <c r="D61">
        <v>20177</v>
      </c>
      <c r="E61">
        <v>85</v>
      </c>
      <c r="F61">
        <v>8000.12</v>
      </c>
      <c r="G61">
        <v>3467.17</v>
      </c>
      <c r="H61" t="str">
        <f>VLOOKUP(myynnit[[#This Row],[TuoteID]],ohjaus!$A$4:$B$20,2,FALSE)</f>
        <v>Säkkituoli</v>
      </c>
    </row>
    <row r="62" spans="1:8" x14ac:dyDescent="0.35">
      <c r="A62" t="s">
        <v>38</v>
      </c>
      <c r="B62">
        <v>2012</v>
      </c>
      <c r="C62">
        <v>1</v>
      </c>
      <c r="D62">
        <v>21179</v>
      </c>
      <c r="E62">
        <v>35</v>
      </c>
      <c r="F62">
        <v>3486.69</v>
      </c>
      <c r="G62">
        <v>1927.44</v>
      </c>
      <c r="H62" t="str">
        <f>VLOOKUP(myynnit[[#This Row],[TuoteID]],ohjaus!$A$4:$B$20,2,FALSE)</f>
        <v>Rahi</v>
      </c>
    </row>
    <row r="63" spans="1:8" x14ac:dyDescent="0.35">
      <c r="A63" t="s">
        <v>38</v>
      </c>
      <c r="B63">
        <v>2012</v>
      </c>
      <c r="C63">
        <v>1</v>
      </c>
      <c r="D63">
        <v>21260</v>
      </c>
      <c r="E63">
        <v>35</v>
      </c>
      <c r="F63">
        <v>6844.27</v>
      </c>
      <c r="G63">
        <v>1749.38</v>
      </c>
      <c r="H63" t="str">
        <f>VLOOKUP(myynnit[[#This Row],[TuoteID]],ohjaus!$A$4:$B$20,2,FALSE)</f>
        <v>Lepotuoli</v>
      </c>
    </row>
    <row r="64" spans="1:8" x14ac:dyDescent="0.35">
      <c r="A64" t="s">
        <v>38</v>
      </c>
      <c r="B64">
        <v>2012</v>
      </c>
      <c r="C64">
        <v>1</v>
      </c>
      <c r="D64">
        <v>22317</v>
      </c>
      <c r="E64">
        <v>75</v>
      </c>
      <c r="F64">
        <v>6429.55</v>
      </c>
      <c r="G64">
        <v>2203.6</v>
      </c>
      <c r="H64" t="str">
        <f>VLOOKUP(myynnit[[#This Row],[TuoteID]],ohjaus!$A$4:$B$20,2,FALSE)</f>
        <v>Säkkituoli</v>
      </c>
    </row>
    <row r="65" spans="1:8" x14ac:dyDescent="0.35">
      <c r="A65" t="s">
        <v>38</v>
      </c>
      <c r="B65">
        <v>2012</v>
      </c>
      <c r="C65">
        <v>1</v>
      </c>
      <c r="D65">
        <v>22940</v>
      </c>
      <c r="E65">
        <v>578</v>
      </c>
      <c r="F65">
        <v>75121.56</v>
      </c>
      <c r="G65">
        <v>14378.93</v>
      </c>
      <c r="H65" t="str">
        <f>VLOOKUP(myynnit[[#This Row],[TuoteID]],ohjaus!$A$4:$B$20,2,FALSE)</f>
        <v>Pinnatuoli</v>
      </c>
    </row>
    <row r="66" spans="1:8" x14ac:dyDescent="0.35">
      <c r="A66" t="s">
        <v>38</v>
      </c>
      <c r="B66">
        <v>2012</v>
      </c>
      <c r="C66">
        <v>1</v>
      </c>
      <c r="D66">
        <v>23178</v>
      </c>
      <c r="E66">
        <v>182</v>
      </c>
      <c r="F66">
        <v>34269.53</v>
      </c>
      <c r="G66">
        <v>6333.5</v>
      </c>
      <c r="H66" t="str">
        <f>VLOOKUP(myynnit[[#This Row],[TuoteID]],ohjaus!$A$4:$B$20,2,FALSE)</f>
        <v>Pinnatuoli</v>
      </c>
    </row>
    <row r="67" spans="1:8" x14ac:dyDescent="0.35">
      <c r="A67" t="s">
        <v>38</v>
      </c>
      <c r="B67">
        <v>2012</v>
      </c>
      <c r="C67">
        <v>1</v>
      </c>
      <c r="D67">
        <v>23600</v>
      </c>
      <c r="E67">
        <v>1282</v>
      </c>
      <c r="F67">
        <v>129561.77</v>
      </c>
      <c r="G67">
        <v>33503.440000000002</v>
      </c>
      <c r="H67" t="str">
        <f>VLOOKUP(myynnit[[#This Row],[TuoteID]],ohjaus!$A$4:$B$20,2,FALSE)</f>
        <v>Pinnatuoli</v>
      </c>
    </row>
    <row r="68" spans="1:8" x14ac:dyDescent="0.35">
      <c r="A68" t="s">
        <v>38</v>
      </c>
      <c r="B68">
        <v>2012</v>
      </c>
      <c r="C68">
        <v>1</v>
      </c>
      <c r="D68">
        <v>23756</v>
      </c>
      <c r="E68">
        <v>77</v>
      </c>
      <c r="F68">
        <v>13390.67</v>
      </c>
      <c r="G68">
        <v>6028.54</v>
      </c>
      <c r="H68" t="str">
        <f>VLOOKUP(myynnit[[#This Row],[TuoteID]],ohjaus!$A$4:$B$20,2,FALSE)</f>
        <v>Pianotuoli</v>
      </c>
    </row>
    <row r="69" spans="1:8" x14ac:dyDescent="0.35">
      <c r="A69" t="s">
        <v>38</v>
      </c>
      <c r="B69">
        <v>2012</v>
      </c>
      <c r="C69">
        <v>1</v>
      </c>
      <c r="D69">
        <v>24326</v>
      </c>
      <c r="E69">
        <v>143</v>
      </c>
      <c r="F69">
        <v>19385.52</v>
      </c>
      <c r="G69">
        <v>4534.01</v>
      </c>
      <c r="H69" t="str">
        <f>VLOOKUP(myynnit[[#This Row],[TuoteID]],ohjaus!$A$4:$B$20,2,FALSE)</f>
        <v>Lepotuoli</v>
      </c>
    </row>
    <row r="70" spans="1:8" x14ac:dyDescent="0.35">
      <c r="A70" t="s">
        <v>37</v>
      </c>
      <c r="B70">
        <v>2012</v>
      </c>
      <c r="C70">
        <v>2</v>
      </c>
      <c r="D70">
        <v>12184</v>
      </c>
      <c r="E70">
        <v>101</v>
      </c>
      <c r="F70">
        <v>11357.75</v>
      </c>
      <c r="G70">
        <v>5959.85</v>
      </c>
      <c r="H70" t="str">
        <f>VLOOKUP(myynnit[[#This Row],[TuoteID]],ohjaus!$A$4:$B$20,2,FALSE)</f>
        <v>Rahi</v>
      </c>
    </row>
    <row r="71" spans="1:8" x14ac:dyDescent="0.35">
      <c r="A71" t="s">
        <v>37</v>
      </c>
      <c r="B71">
        <v>2012</v>
      </c>
      <c r="C71">
        <v>2</v>
      </c>
      <c r="D71">
        <v>12622</v>
      </c>
      <c r="E71">
        <v>60</v>
      </c>
      <c r="F71">
        <v>15981.93</v>
      </c>
      <c r="G71">
        <v>6623.59</v>
      </c>
      <c r="H71" t="str">
        <f>VLOOKUP(myynnit[[#This Row],[TuoteID]],ohjaus!$A$4:$B$20,2,FALSE)</f>
        <v>Pianotuoli</v>
      </c>
    </row>
    <row r="72" spans="1:8" x14ac:dyDescent="0.35">
      <c r="A72" t="s">
        <v>37</v>
      </c>
      <c r="B72">
        <v>2012</v>
      </c>
      <c r="C72">
        <v>2</v>
      </c>
      <c r="D72">
        <v>13527</v>
      </c>
      <c r="E72">
        <v>784</v>
      </c>
      <c r="F72">
        <v>134380.96</v>
      </c>
      <c r="G72">
        <v>27489.38</v>
      </c>
      <c r="H72" t="str">
        <f>VLOOKUP(myynnit[[#This Row],[TuoteID]],ohjaus!$A$4:$B$20,2,FALSE)</f>
        <v>Pinnatuoli</v>
      </c>
    </row>
    <row r="73" spans="1:8" x14ac:dyDescent="0.35">
      <c r="A73" t="s">
        <v>37</v>
      </c>
      <c r="B73">
        <v>2012</v>
      </c>
      <c r="C73">
        <v>2</v>
      </c>
      <c r="D73">
        <v>13618</v>
      </c>
      <c r="E73">
        <v>17</v>
      </c>
      <c r="F73">
        <v>7241.7</v>
      </c>
      <c r="G73">
        <v>2954.93</v>
      </c>
      <c r="H73" t="str">
        <f>VLOOKUP(myynnit[[#This Row],[TuoteID]],ohjaus!$A$4:$B$20,2,FALSE)</f>
        <v>Pianotuoli</v>
      </c>
    </row>
    <row r="74" spans="1:8" x14ac:dyDescent="0.35">
      <c r="A74" t="s">
        <v>37</v>
      </c>
      <c r="B74">
        <v>2012</v>
      </c>
      <c r="C74">
        <v>2</v>
      </c>
      <c r="D74">
        <v>16024</v>
      </c>
      <c r="E74">
        <v>258</v>
      </c>
      <c r="F74">
        <v>107209.21</v>
      </c>
      <c r="G74">
        <v>26636.69</v>
      </c>
      <c r="H74" t="str">
        <f>VLOOKUP(myynnit[[#This Row],[TuoteID]],ohjaus!$A$4:$B$20,2,FALSE)</f>
        <v>Työtuoli</v>
      </c>
    </row>
    <row r="75" spans="1:8" x14ac:dyDescent="0.35">
      <c r="A75" t="s">
        <v>37</v>
      </c>
      <c r="B75">
        <v>2012</v>
      </c>
      <c r="C75">
        <v>2</v>
      </c>
      <c r="D75">
        <v>16650</v>
      </c>
      <c r="E75">
        <v>65</v>
      </c>
      <c r="F75">
        <v>10040.48</v>
      </c>
      <c r="G75">
        <v>4545.8999999999996</v>
      </c>
      <c r="H75" t="str">
        <f>VLOOKUP(myynnit[[#This Row],[TuoteID]],ohjaus!$A$4:$B$20,2,FALSE)</f>
        <v>Rahi</v>
      </c>
    </row>
    <row r="76" spans="1:8" x14ac:dyDescent="0.35">
      <c r="A76" t="s">
        <v>37</v>
      </c>
      <c r="B76">
        <v>2012</v>
      </c>
      <c r="C76">
        <v>2</v>
      </c>
      <c r="D76">
        <v>17892</v>
      </c>
      <c r="E76">
        <v>161</v>
      </c>
      <c r="F76">
        <v>22202.99</v>
      </c>
      <c r="G76">
        <v>6537.45</v>
      </c>
      <c r="H76" t="str">
        <f>VLOOKUP(myynnit[[#This Row],[TuoteID]],ohjaus!$A$4:$B$20,2,FALSE)</f>
        <v>Lepotuoli</v>
      </c>
    </row>
    <row r="77" spans="1:8" x14ac:dyDescent="0.35">
      <c r="A77" t="s">
        <v>37</v>
      </c>
      <c r="B77">
        <v>2012</v>
      </c>
      <c r="C77">
        <v>2</v>
      </c>
      <c r="D77">
        <v>18342</v>
      </c>
      <c r="E77">
        <v>130</v>
      </c>
      <c r="F77">
        <v>120953.4</v>
      </c>
      <c r="G77">
        <v>34084.75</v>
      </c>
      <c r="H77" t="str">
        <f>VLOOKUP(myynnit[[#This Row],[TuoteID]],ohjaus!$A$4:$B$20,2,FALSE)</f>
        <v>Työtuoli</v>
      </c>
    </row>
    <row r="78" spans="1:8" x14ac:dyDescent="0.35">
      <c r="A78" t="s">
        <v>37</v>
      </c>
      <c r="B78">
        <v>2012</v>
      </c>
      <c r="C78">
        <v>2</v>
      </c>
      <c r="D78">
        <v>20177</v>
      </c>
      <c r="E78">
        <v>114</v>
      </c>
      <c r="F78">
        <v>13174.41</v>
      </c>
      <c r="G78">
        <v>5144.33</v>
      </c>
      <c r="H78" t="str">
        <f>VLOOKUP(myynnit[[#This Row],[TuoteID]],ohjaus!$A$4:$B$20,2,FALSE)</f>
        <v>Säkkituoli</v>
      </c>
    </row>
    <row r="79" spans="1:8" x14ac:dyDescent="0.35">
      <c r="A79" t="s">
        <v>37</v>
      </c>
      <c r="B79">
        <v>2012</v>
      </c>
      <c r="C79">
        <v>2</v>
      </c>
      <c r="D79">
        <v>21179</v>
      </c>
      <c r="E79">
        <v>48</v>
      </c>
      <c r="F79">
        <v>5389.27</v>
      </c>
      <c r="G79">
        <v>2405.52</v>
      </c>
      <c r="H79" t="str">
        <f>VLOOKUP(myynnit[[#This Row],[TuoteID]],ohjaus!$A$4:$B$20,2,FALSE)</f>
        <v>Rahi</v>
      </c>
    </row>
    <row r="80" spans="1:8" x14ac:dyDescent="0.35">
      <c r="A80" t="s">
        <v>37</v>
      </c>
      <c r="B80">
        <v>2012</v>
      </c>
      <c r="C80">
        <v>2</v>
      </c>
      <c r="D80">
        <v>21260</v>
      </c>
      <c r="E80">
        <v>45</v>
      </c>
      <c r="F80">
        <v>8474.61</v>
      </c>
      <c r="G80">
        <v>2738.12</v>
      </c>
      <c r="H80" t="str">
        <f>VLOOKUP(myynnit[[#This Row],[TuoteID]],ohjaus!$A$4:$B$20,2,FALSE)</f>
        <v>Lepotuoli</v>
      </c>
    </row>
    <row r="81" spans="1:8" x14ac:dyDescent="0.35">
      <c r="A81" t="s">
        <v>37</v>
      </c>
      <c r="B81">
        <v>2012</v>
      </c>
      <c r="C81">
        <v>2</v>
      </c>
      <c r="D81">
        <v>22317</v>
      </c>
      <c r="E81">
        <v>82</v>
      </c>
      <c r="F81">
        <v>8000.19</v>
      </c>
      <c r="G81">
        <v>3185.01</v>
      </c>
      <c r="H81" t="str">
        <f>VLOOKUP(myynnit[[#This Row],[TuoteID]],ohjaus!$A$4:$B$20,2,FALSE)</f>
        <v>Säkkituoli</v>
      </c>
    </row>
    <row r="82" spans="1:8" x14ac:dyDescent="0.35">
      <c r="A82" t="s">
        <v>37</v>
      </c>
      <c r="B82">
        <v>2012</v>
      </c>
      <c r="C82">
        <v>2</v>
      </c>
      <c r="D82">
        <v>22940</v>
      </c>
      <c r="E82">
        <v>349</v>
      </c>
      <c r="F82">
        <v>43367.24</v>
      </c>
      <c r="G82">
        <v>7668.56</v>
      </c>
      <c r="H82" t="str">
        <f>VLOOKUP(myynnit[[#This Row],[TuoteID]],ohjaus!$A$4:$B$20,2,FALSE)</f>
        <v>Pinnatuoli</v>
      </c>
    </row>
    <row r="83" spans="1:8" x14ac:dyDescent="0.35">
      <c r="A83" t="s">
        <v>37</v>
      </c>
      <c r="B83">
        <v>2012</v>
      </c>
      <c r="C83">
        <v>2</v>
      </c>
      <c r="D83">
        <v>23178</v>
      </c>
      <c r="E83">
        <v>257</v>
      </c>
      <c r="F83">
        <v>45614.68</v>
      </c>
      <c r="G83">
        <v>8026.95</v>
      </c>
      <c r="H83" t="str">
        <f>VLOOKUP(myynnit[[#This Row],[TuoteID]],ohjaus!$A$4:$B$20,2,FALSE)</f>
        <v>Pinnatuoli</v>
      </c>
    </row>
    <row r="84" spans="1:8" x14ac:dyDescent="0.35">
      <c r="A84" t="s">
        <v>37</v>
      </c>
      <c r="B84">
        <v>2012</v>
      </c>
      <c r="C84">
        <v>2</v>
      </c>
      <c r="D84">
        <v>23600</v>
      </c>
      <c r="E84">
        <v>604</v>
      </c>
      <c r="F84">
        <v>60065.16</v>
      </c>
      <c r="G84">
        <v>12952.6</v>
      </c>
      <c r="H84" t="str">
        <f>VLOOKUP(myynnit[[#This Row],[TuoteID]],ohjaus!$A$4:$B$20,2,FALSE)</f>
        <v>Pinnatuoli</v>
      </c>
    </row>
    <row r="85" spans="1:8" x14ac:dyDescent="0.35">
      <c r="A85" t="s">
        <v>37</v>
      </c>
      <c r="B85">
        <v>2012</v>
      </c>
      <c r="C85">
        <v>2</v>
      </c>
      <c r="D85">
        <v>23756</v>
      </c>
      <c r="E85">
        <v>98</v>
      </c>
      <c r="F85">
        <v>18096.47</v>
      </c>
      <c r="G85">
        <v>9608.23</v>
      </c>
      <c r="H85" t="str">
        <f>VLOOKUP(myynnit[[#This Row],[TuoteID]],ohjaus!$A$4:$B$20,2,FALSE)</f>
        <v>Pianotuoli</v>
      </c>
    </row>
    <row r="86" spans="1:8" x14ac:dyDescent="0.35">
      <c r="A86" t="s">
        <v>37</v>
      </c>
      <c r="B86">
        <v>2012</v>
      </c>
      <c r="C86">
        <v>2</v>
      </c>
      <c r="D86">
        <v>24326</v>
      </c>
      <c r="E86">
        <v>160</v>
      </c>
      <c r="F86">
        <v>22237.85</v>
      </c>
      <c r="G86">
        <v>5896.85</v>
      </c>
      <c r="H86" t="str">
        <f>VLOOKUP(myynnit[[#This Row],[TuoteID]],ohjaus!$A$4:$B$20,2,FALSE)</f>
        <v>Lepotuoli</v>
      </c>
    </row>
    <row r="87" spans="1:8" x14ac:dyDescent="0.35">
      <c r="A87" t="s">
        <v>40</v>
      </c>
      <c r="B87">
        <v>2012</v>
      </c>
      <c r="C87">
        <v>2</v>
      </c>
      <c r="D87">
        <v>12184</v>
      </c>
      <c r="E87">
        <v>27</v>
      </c>
      <c r="F87">
        <v>2815.18</v>
      </c>
      <c r="G87">
        <v>1222.49</v>
      </c>
      <c r="H87" t="str">
        <f>VLOOKUP(myynnit[[#This Row],[TuoteID]],ohjaus!$A$4:$B$20,2,FALSE)</f>
        <v>Rahi</v>
      </c>
    </row>
    <row r="88" spans="1:8" x14ac:dyDescent="0.35">
      <c r="A88" t="s">
        <v>40</v>
      </c>
      <c r="B88">
        <v>2012</v>
      </c>
      <c r="C88">
        <v>2</v>
      </c>
      <c r="D88">
        <v>12622</v>
      </c>
      <c r="E88">
        <v>19</v>
      </c>
      <c r="F88">
        <v>5644.91</v>
      </c>
      <c r="G88">
        <v>2536.9299999999998</v>
      </c>
      <c r="H88" t="str">
        <f>VLOOKUP(myynnit[[#This Row],[TuoteID]],ohjaus!$A$4:$B$20,2,FALSE)</f>
        <v>Pianotuoli</v>
      </c>
    </row>
    <row r="89" spans="1:8" x14ac:dyDescent="0.35">
      <c r="A89" t="s">
        <v>40</v>
      </c>
      <c r="B89">
        <v>2012</v>
      </c>
      <c r="C89">
        <v>2</v>
      </c>
      <c r="D89">
        <v>13527</v>
      </c>
      <c r="E89">
        <v>373</v>
      </c>
      <c r="F89">
        <v>58276.76</v>
      </c>
      <c r="G89">
        <v>9236.0300000000007</v>
      </c>
      <c r="H89" t="str">
        <f>VLOOKUP(myynnit[[#This Row],[TuoteID]],ohjaus!$A$4:$B$20,2,FALSE)</f>
        <v>Pinnatuoli</v>
      </c>
    </row>
    <row r="90" spans="1:8" x14ac:dyDescent="0.35">
      <c r="A90" t="s">
        <v>40</v>
      </c>
      <c r="B90">
        <v>2012</v>
      </c>
      <c r="C90">
        <v>2</v>
      </c>
      <c r="D90">
        <v>13618</v>
      </c>
      <c r="E90">
        <v>9</v>
      </c>
      <c r="F90">
        <v>3039.43</v>
      </c>
      <c r="G90">
        <v>1326.6</v>
      </c>
      <c r="H90" t="str">
        <f>VLOOKUP(myynnit[[#This Row],[TuoteID]],ohjaus!$A$4:$B$20,2,FALSE)</f>
        <v>Pianotuoli</v>
      </c>
    </row>
    <row r="91" spans="1:8" x14ac:dyDescent="0.35">
      <c r="A91" t="s">
        <v>40</v>
      </c>
      <c r="B91">
        <v>2012</v>
      </c>
      <c r="C91">
        <v>2</v>
      </c>
      <c r="D91">
        <v>16024</v>
      </c>
      <c r="E91">
        <v>177</v>
      </c>
      <c r="F91">
        <v>68581.399999999994</v>
      </c>
      <c r="G91">
        <v>21530.58</v>
      </c>
      <c r="H91" t="str">
        <f>VLOOKUP(myynnit[[#This Row],[TuoteID]],ohjaus!$A$4:$B$20,2,FALSE)</f>
        <v>Työtuoli</v>
      </c>
    </row>
    <row r="92" spans="1:8" x14ac:dyDescent="0.35">
      <c r="A92" t="s">
        <v>40</v>
      </c>
      <c r="B92">
        <v>2012</v>
      </c>
      <c r="C92">
        <v>2</v>
      </c>
      <c r="D92">
        <v>16650</v>
      </c>
      <c r="E92">
        <v>12</v>
      </c>
      <c r="F92">
        <v>1992</v>
      </c>
      <c r="G92">
        <v>1063.81</v>
      </c>
      <c r="H92" t="str">
        <f>VLOOKUP(myynnit[[#This Row],[TuoteID]],ohjaus!$A$4:$B$20,2,FALSE)</f>
        <v>Rahi</v>
      </c>
    </row>
    <row r="93" spans="1:8" x14ac:dyDescent="0.35">
      <c r="A93" t="s">
        <v>40</v>
      </c>
      <c r="B93">
        <v>2012</v>
      </c>
      <c r="C93">
        <v>2</v>
      </c>
      <c r="D93">
        <v>17892</v>
      </c>
      <c r="E93">
        <v>88</v>
      </c>
      <c r="F93">
        <v>12541.99</v>
      </c>
      <c r="G93">
        <v>3371.73</v>
      </c>
      <c r="H93" t="str">
        <f>VLOOKUP(myynnit[[#This Row],[TuoteID]],ohjaus!$A$4:$B$20,2,FALSE)</f>
        <v>Lepotuoli</v>
      </c>
    </row>
    <row r="94" spans="1:8" x14ac:dyDescent="0.35">
      <c r="A94" t="s">
        <v>40</v>
      </c>
      <c r="B94">
        <v>2012</v>
      </c>
      <c r="C94">
        <v>2</v>
      </c>
      <c r="D94">
        <v>18342</v>
      </c>
      <c r="E94">
        <v>23</v>
      </c>
      <c r="F94">
        <v>21073.31</v>
      </c>
      <c r="G94">
        <v>5875.64</v>
      </c>
      <c r="H94" t="str">
        <f>VLOOKUP(myynnit[[#This Row],[TuoteID]],ohjaus!$A$4:$B$20,2,FALSE)</f>
        <v>Työtuoli</v>
      </c>
    </row>
    <row r="95" spans="1:8" x14ac:dyDescent="0.35">
      <c r="A95" t="s">
        <v>40</v>
      </c>
      <c r="B95">
        <v>2012</v>
      </c>
      <c r="C95">
        <v>2</v>
      </c>
      <c r="D95">
        <v>20177</v>
      </c>
      <c r="E95">
        <v>31</v>
      </c>
      <c r="F95">
        <v>3572.51</v>
      </c>
      <c r="G95">
        <v>1465.86</v>
      </c>
      <c r="H95" t="str">
        <f>VLOOKUP(myynnit[[#This Row],[TuoteID]],ohjaus!$A$4:$B$20,2,FALSE)</f>
        <v>Säkkituoli</v>
      </c>
    </row>
    <row r="96" spans="1:8" x14ac:dyDescent="0.35">
      <c r="A96" t="s">
        <v>40</v>
      </c>
      <c r="B96">
        <v>2012</v>
      </c>
      <c r="C96">
        <v>2</v>
      </c>
      <c r="D96">
        <v>21179</v>
      </c>
      <c r="E96">
        <v>40</v>
      </c>
      <c r="F96">
        <v>4841.82</v>
      </c>
      <c r="G96">
        <v>2514.58</v>
      </c>
      <c r="H96" t="str">
        <f>VLOOKUP(myynnit[[#This Row],[TuoteID]],ohjaus!$A$4:$B$20,2,FALSE)</f>
        <v>Rahi</v>
      </c>
    </row>
    <row r="97" spans="1:8" x14ac:dyDescent="0.35">
      <c r="A97" t="s">
        <v>40</v>
      </c>
      <c r="B97">
        <v>2012</v>
      </c>
      <c r="C97">
        <v>2</v>
      </c>
      <c r="D97">
        <v>21260</v>
      </c>
      <c r="E97">
        <v>38</v>
      </c>
      <c r="F97">
        <v>7015.78</v>
      </c>
      <c r="G97">
        <v>1637.57</v>
      </c>
      <c r="H97" t="str">
        <f>VLOOKUP(myynnit[[#This Row],[TuoteID]],ohjaus!$A$4:$B$20,2,FALSE)</f>
        <v>Lepotuoli</v>
      </c>
    </row>
    <row r="98" spans="1:8" x14ac:dyDescent="0.35">
      <c r="A98" t="s">
        <v>40</v>
      </c>
      <c r="B98">
        <v>2012</v>
      </c>
      <c r="C98">
        <v>2</v>
      </c>
      <c r="D98">
        <v>22317</v>
      </c>
      <c r="E98">
        <v>19</v>
      </c>
      <c r="F98">
        <v>1790.8</v>
      </c>
      <c r="G98">
        <v>908.7</v>
      </c>
      <c r="H98" t="str">
        <f>VLOOKUP(myynnit[[#This Row],[TuoteID]],ohjaus!$A$4:$B$20,2,FALSE)</f>
        <v>Säkkituoli</v>
      </c>
    </row>
    <row r="99" spans="1:8" x14ac:dyDescent="0.35">
      <c r="A99" t="s">
        <v>40</v>
      </c>
      <c r="B99">
        <v>2012</v>
      </c>
      <c r="C99">
        <v>2</v>
      </c>
      <c r="D99">
        <v>22940</v>
      </c>
      <c r="E99">
        <v>152</v>
      </c>
      <c r="F99">
        <v>21211.200000000001</v>
      </c>
      <c r="G99">
        <v>5597.46</v>
      </c>
      <c r="H99" t="str">
        <f>VLOOKUP(myynnit[[#This Row],[TuoteID]],ohjaus!$A$4:$B$20,2,FALSE)</f>
        <v>Pinnatuoli</v>
      </c>
    </row>
    <row r="100" spans="1:8" x14ac:dyDescent="0.35">
      <c r="A100" t="s">
        <v>40</v>
      </c>
      <c r="B100">
        <v>2012</v>
      </c>
      <c r="C100">
        <v>2</v>
      </c>
      <c r="D100">
        <v>23178</v>
      </c>
      <c r="E100">
        <v>156</v>
      </c>
      <c r="F100">
        <v>26840.41</v>
      </c>
      <c r="G100">
        <v>6992.34</v>
      </c>
      <c r="H100" t="str">
        <f>VLOOKUP(myynnit[[#This Row],[TuoteID]],ohjaus!$A$4:$B$20,2,FALSE)</f>
        <v>Pinnatuoli</v>
      </c>
    </row>
    <row r="101" spans="1:8" x14ac:dyDescent="0.35">
      <c r="A101" t="s">
        <v>40</v>
      </c>
      <c r="B101">
        <v>2012</v>
      </c>
      <c r="C101">
        <v>2</v>
      </c>
      <c r="D101">
        <v>23600</v>
      </c>
      <c r="E101">
        <v>467</v>
      </c>
      <c r="F101">
        <v>56451.46</v>
      </c>
      <c r="G101">
        <v>13000.34</v>
      </c>
      <c r="H101" t="str">
        <f>VLOOKUP(myynnit[[#This Row],[TuoteID]],ohjaus!$A$4:$B$20,2,FALSE)</f>
        <v>Pinnatuoli</v>
      </c>
    </row>
    <row r="102" spans="1:8" x14ac:dyDescent="0.35">
      <c r="A102" t="s">
        <v>40</v>
      </c>
      <c r="B102">
        <v>2012</v>
      </c>
      <c r="C102">
        <v>2</v>
      </c>
      <c r="D102">
        <v>23756</v>
      </c>
      <c r="E102">
        <v>67</v>
      </c>
      <c r="F102">
        <v>10791.12</v>
      </c>
      <c r="G102">
        <v>4971.09</v>
      </c>
      <c r="H102" t="str">
        <f>VLOOKUP(myynnit[[#This Row],[TuoteID]],ohjaus!$A$4:$B$20,2,FALSE)</f>
        <v>Pianotuoli</v>
      </c>
    </row>
    <row r="103" spans="1:8" x14ac:dyDescent="0.35">
      <c r="A103" t="s">
        <v>40</v>
      </c>
      <c r="B103">
        <v>2012</v>
      </c>
      <c r="C103">
        <v>2</v>
      </c>
      <c r="D103">
        <v>24326</v>
      </c>
      <c r="E103">
        <v>29</v>
      </c>
      <c r="F103">
        <v>4250.6899999999996</v>
      </c>
      <c r="G103">
        <v>1218.52</v>
      </c>
      <c r="H103" t="str">
        <f>VLOOKUP(myynnit[[#This Row],[TuoteID]],ohjaus!$A$4:$B$20,2,FALSE)</f>
        <v>Lepotuoli</v>
      </c>
    </row>
    <row r="104" spans="1:8" x14ac:dyDescent="0.35">
      <c r="A104" t="s">
        <v>39</v>
      </c>
      <c r="B104">
        <v>2012</v>
      </c>
      <c r="C104">
        <v>2</v>
      </c>
      <c r="D104">
        <v>12184</v>
      </c>
      <c r="E104">
        <v>100</v>
      </c>
      <c r="F104">
        <v>13961.71</v>
      </c>
      <c r="G104">
        <v>10549.63</v>
      </c>
      <c r="H104" t="str">
        <f>VLOOKUP(myynnit[[#This Row],[TuoteID]],ohjaus!$A$4:$B$20,2,FALSE)</f>
        <v>Rahi</v>
      </c>
    </row>
    <row r="105" spans="1:8" x14ac:dyDescent="0.35">
      <c r="A105" t="s">
        <v>39</v>
      </c>
      <c r="B105">
        <v>2012</v>
      </c>
      <c r="C105">
        <v>2</v>
      </c>
      <c r="D105">
        <v>12622</v>
      </c>
      <c r="E105">
        <v>46</v>
      </c>
      <c r="F105">
        <v>12541.27</v>
      </c>
      <c r="G105">
        <v>8238.94</v>
      </c>
      <c r="H105" t="str">
        <f>VLOOKUP(myynnit[[#This Row],[TuoteID]],ohjaus!$A$4:$B$20,2,FALSE)</f>
        <v>Pianotuoli</v>
      </c>
    </row>
    <row r="106" spans="1:8" x14ac:dyDescent="0.35">
      <c r="A106" t="s">
        <v>39</v>
      </c>
      <c r="B106">
        <v>2012</v>
      </c>
      <c r="C106">
        <v>2</v>
      </c>
      <c r="D106">
        <v>13527</v>
      </c>
      <c r="E106">
        <v>518</v>
      </c>
      <c r="F106">
        <v>83975.08</v>
      </c>
      <c r="G106">
        <v>21276.59</v>
      </c>
      <c r="H106" t="str">
        <f>VLOOKUP(myynnit[[#This Row],[TuoteID]],ohjaus!$A$4:$B$20,2,FALSE)</f>
        <v>Pinnatuoli</v>
      </c>
    </row>
    <row r="107" spans="1:8" x14ac:dyDescent="0.35">
      <c r="A107" t="s">
        <v>39</v>
      </c>
      <c r="B107">
        <v>2012</v>
      </c>
      <c r="C107">
        <v>2</v>
      </c>
      <c r="D107">
        <v>13618</v>
      </c>
      <c r="E107">
        <v>16</v>
      </c>
      <c r="F107">
        <v>7310.92</v>
      </c>
      <c r="G107">
        <v>4343.82</v>
      </c>
      <c r="H107" t="str">
        <f>VLOOKUP(myynnit[[#This Row],[TuoteID]],ohjaus!$A$4:$B$20,2,FALSE)</f>
        <v>Pianotuoli</v>
      </c>
    </row>
    <row r="108" spans="1:8" x14ac:dyDescent="0.35">
      <c r="A108" t="s">
        <v>39</v>
      </c>
      <c r="B108">
        <v>2012</v>
      </c>
      <c r="C108">
        <v>2</v>
      </c>
      <c r="D108">
        <v>16024</v>
      </c>
      <c r="E108">
        <v>307</v>
      </c>
      <c r="F108">
        <v>139637.79999999999</v>
      </c>
      <c r="G108">
        <v>37378.28</v>
      </c>
      <c r="H108" t="str">
        <f>VLOOKUP(myynnit[[#This Row],[TuoteID]],ohjaus!$A$4:$B$20,2,FALSE)</f>
        <v>Työtuoli</v>
      </c>
    </row>
    <row r="109" spans="1:8" x14ac:dyDescent="0.35">
      <c r="A109" t="s">
        <v>39</v>
      </c>
      <c r="B109">
        <v>2012</v>
      </c>
      <c r="C109">
        <v>2</v>
      </c>
      <c r="D109">
        <v>16650</v>
      </c>
      <c r="E109">
        <v>49</v>
      </c>
      <c r="F109">
        <v>8626.23</v>
      </c>
      <c r="G109">
        <v>6131.28</v>
      </c>
      <c r="H109" t="str">
        <f>VLOOKUP(myynnit[[#This Row],[TuoteID]],ohjaus!$A$4:$B$20,2,FALSE)</f>
        <v>Rahi</v>
      </c>
    </row>
    <row r="110" spans="1:8" x14ac:dyDescent="0.35">
      <c r="A110" t="s">
        <v>39</v>
      </c>
      <c r="B110">
        <v>2012</v>
      </c>
      <c r="C110">
        <v>2</v>
      </c>
      <c r="D110">
        <v>17892</v>
      </c>
      <c r="E110">
        <v>117</v>
      </c>
      <c r="F110">
        <v>18366.16</v>
      </c>
      <c r="G110">
        <v>5388.67</v>
      </c>
      <c r="H110" t="str">
        <f>VLOOKUP(myynnit[[#This Row],[TuoteID]],ohjaus!$A$4:$B$20,2,FALSE)</f>
        <v>Lepotuoli</v>
      </c>
    </row>
    <row r="111" spans="1:8" x14ac:dyDescent="0.35">
      <c r="A111" t="s">
        <v>39</v>
      </c>
      <c r="B111">
        <v>2012</v>
      </c>
      <c r="C111">
        <v>2</v>
      </c>
      <c r="D111">
        <v>18342</v>
      </c>
      <c r="E111">
        <v>184</v>
      </c>
      <c r="F111">
        <v>139142.47</v>
      </c>
      <c r="G111">
        <v>45893.93</v>
      </c>
      <c r="H111" t="str">
        <f>VLOOKUP(myynnit[[#This Row],[TuoteID]],ohjaus!$A$4:$B$20,2,FALSE)</f>
        <v>Työtuoli</v>
      </c>
    </row>
    <row r="112" spans="1:8" x14ac:dyDescent="0.35">
      <c r="A112" t="s">
        <v>39</v>
      </c>
      <c r="B112">
        <v>2012</v>
      </c>
      <c r="C112">
        <v>2</v>
      </c>
      <c r="D112">
        <v>20177</v>
      </c>
      <c r="E112">
        <v>34</v>
      </c>
      <c r="F112">
        <v>3626.23</v>
      </c>
      <c r="G112">
        <v>1539.95</v>
      </c>
      <c r="H112" t="str">
        <f>VLOOKUP(myynnit[[#This Row],[TuoteID]],ohjaus!$A$4:$B$20,2,FALSE)</f>
        <v>Säkkituoli</v>
      </c>
    </row>
    <row r="113" spans="1:8" x14ac:dyDescent="0.35">
      <c r="A113" t="s">
        <v>39</v>
      </c>
      <c r="B113">
        <v>2012</v>
      </c>
      <c r="C113">
        <v>2</v>
      </c>
      <c r="D113">
        <v>21179</v>
      </c>
      <c r="E113">
        <v>69</v>
      </c>
      <c r="F113">
        <v>7868.12</v>
      </c>
      <c r="G113">
        <v>6207.69</v>
      </c>
      <c r="H113" t="str">
        <f>VLOOKUP(myynnit[[#This Row],[TuoteID]],ohjaus!$A$4:$B$20,2,FALSE)</f>
        <v>Rahi</v>
      </c>
    </row>
    <row r="114" spans="1:8" x14ac:dyDescent="0.35">
      <c r="A114" t="s">
        <v>39</v>
      </c>
      <c r="B114">
        <v>2012</v>
      </c>
      <c r="C114">
        <v>2</v>
      </c>
      <c r="D114">
        <v>21260</v>
      </c>
      <c r="E114">
        <v>48</v>
      </c>
      <c r="F114">
        <v>9371.31</v>
      </c>
      <c r="G114">
        <v>2763.09</v>
      </c>
      <c r="H114" t="str">
        <f>VLOOKUP(myynnit[[#This Row],[TuoteID]],ohjaus!$A$4:$B$20,2,FALSE)</f>
        <v>Lepotuoli</v>
      </c>
    </row>
    <row r="115" spans="1:8" x14ac:dyDescent="0.35">
      <c r="A115" t="s">
        <v>39</v>
      </c>
      <c r="B115">
        <v>2012</v>
      </c>
      <c r="C115">
        <v>2</v>
      </c>
      <c r="D115">
        <v>22317</v>
      </c>
      <c r="E115">
        <v>53</v>
      </c>
      <c r="F115">
        <v>5411.7</v>
      </c>
      <c r="G115">
        <v>2681.64</v>
      </c>
      <c r="H115" t="str">
        <f>VLOOKUP(myynnit[[#This Row],[TuoteID]],ohjaus!$A$4:$B$20,2,FALSE)</f>
        <v>Säkkituoli</v>
      </c>
    </row>
    <row r="116" spans="1:8" x14ac:dyDescent="0.35">
      <c r="A116" t="s">
        <v>39</v>
      </c>
      <c r="B116">
        <v>2012</v>
      </c>
      <c r="C116">
        <v>2</v>
      </c>
      <c r="D116">
        <v>22940</v>
      </c>
      <c r="E116">
        <v>378</v>
      </c>
      <c r="F116">
        <v>50541.46</v>
      </c>
      <c r="G116">
        <v>13066.59</v>
      </c>
      <c r="H116" t="str">
        <f>VLOOKUP(myynnit[[#This Row],[TuoteID]],ohjaus!$A$4:$B$20,2,FALSE)</f>
        <v>Pinnatuoli</v>
      </c>
    </row>
    <row r="117" spans="1:8" x14ac:dyDescent="0.35">
      <c r="A117" t="s">
        <v>39</v>
      </c>
      <c r="B117">
        <v>2012</v>
      </c>
      <c r="C117">
        <v>2</v>
      </c>
      <c r="D117">
        <v>23178</v>
      </c>
      <c r="E117">
        <v>141</v>
      </c>
      <c r="F117">
        <v>26737.119999999999</v>
      </c>
      <c r="G117">
        <v>7123.06</v>
      </c>
      <c r="H117" t="str">
        <f>VLOOKUP(myynnit[[#This Row],[TuoteID]],ohjaus!$A$4:$B$20,2,FALSE)</f>
        <v>Pinnatuoli</v>
      </c>
    </row>
    <row r="118" spans="1:8" x14ac:dyDescent="0.35">
      <c r="A118" t="s">
        <v>39</v>
      </c>
      <c r="B118">
        <v>2012</v>
      </c>
      <c r="C118">
        <v>2</v>
      </c>
      <c r="D118">
        <v>23600</v>
      </c>
      <c r="E118">
        <v>1173</v>
      </c>
      <c r="F118">
        <v>125109.41</v>
      </c>
      <c r="G118">
        <v>35389.33</v>
      </c>
      <c r="H118" t="str">
        <f>VLOOKUP(myynnit[[#This Row],[TuoteID]],ohjaus!$A$4:$B$20,2,FALSE)</f>
        <v>Pinnatuoli</v>
      </c>
    </row>
    <row r="119" spans="1:8" x14ac:dyDescent="0.35">
      <c r="A119" t="s">
        <v>39</v>
      </c>
      <c r="B119">
        <v>2012</v>
      </c>
      <c r="C119">
        <v>2</v>
      </c>
      <c r="D119">
        <v>23756</v>
      </c>
      <c r="E119">
        <v>131</v>
      </c>
      <c r="F119">
        <v>22759.23</v>
      </c>
      <c r="G119">
        <v>11430.09</v>
      </c>
      <c r="H119" t="str">
        <f>VLOOKUP(myynnit[[#This Row],[TuoteID]],ohjaus!$A$4:$B$20,2,FALSE)</f>
        <v>Pianotuoli</v>
      </c>
    </row>
    <row r="120" spans="1:8" x14ac:dyDescent="0.35">
      <c r="A120" t="s">
        <v>39</v>
      </c>
      <c r="B120">
        <v>2012</v>
      </c>
      <c r="C120">
        <v>2</v>
      </c>
      <c r="D120">
        <v>24326</v>
      </c>
      <c r="E120">
        <v>154</v>
      </c>
      <c r="F120">
        <v>20304.009999999998</v>
      </c>
      <c r="G120">
        <v>6774.22</v>
      </c>
      <c r="H120" t="str">
        <f>VLOOKUP(myynnit[[#This Row],[TuoteID]],ohjaus!$A$4:$B$20,2,FALSE)</f>
        <v>Lepotuoli</v>
      </c>
    </row>
    <row r="121" spans="1:8" x14ac:dyDescent="0.35">
      <c r="A121" t="s">
        <v>38</v>
      </c>
      <c r="B121">
        <v>2012</v>
      </c>
      <c r="C121">
        <v>2</v>
      </c>
      <c r="D121">
        <v>12184</v>
      </c>
      <c r="E121">
        <v>83</v>
      </c>
      <c r="F121">
        <v>8449.4</v>
      </c>
      <c r="G121">
        <v>4340.07</v>
      </c>
      <c r="H121" t="str">
        <f>VLOOKUP(myynnit[[#This Row],[TuoteID]],ohjaus!$A$4:$B$20,2,FALSE)</f>
        <v>Rahi</v>
      </c>
    </row>
    <row r="122" spans="1:8" x14ac:dyDescent="0.35">
      <c r="A122" t="s">
        <v>38</v>
      </c>
      <c r="B122">
        <v>2012</v>
      </c>
      <c r="C122">
        <v>2</v>
      </c>
      <c r="D122">
        <v>12622</v>
      </c>
      <c r="E122">
        <v>50</v>
      </c>
      <c r="F122">
        <v>13497.92</v>
      </c>
      <c r="G122">
        <v>5567.89</v>
      </c>
      <c r="H122" t="str">
        <f>VLOOKUP(myynnit[[#This Row],[TuoteID]],ohjaus!$A$4:$B$20,2,FALSE)</f>
        <v>Pianotuoli</v>
      </c>
    </row>
    <row r="123" spans="1:8" x14ac:dyDescent="0.35">
      <c r="A123" t="s">
        <v>38</v>
      </c>
      <c r="B123">
        <v>2012</v>
      </c>
      <c r="C123">
        <v>2</v>
      </c>
      <c r="D123">
        <v>13527</v>
      </c>
      <c r="E123">
        <v>645</v>
      </c>
      <c r="F123">
        <v>105282.29</v>
      </c>
      <c r="G123">
        <v>24914.97</v>
      </c>
      <c r="H123" t="str">
        <f>VLOOKUP(myynnit[[#This Row],[TuoteID]],ohjaus!$A$4:$B$20,2,FALSE)</f>
        <v>Pinnatuoli</v>
      </c>
    </row>
    <row r="124" spans="1:8" x14ac:dyDescent="0.35">
      <c r="A124" t="s">
        <v>38</v>
      </c>
      <c r="B124">
        <v>2012</v>
      </c>
      <c r="C124">
        <v>2</v>
      </c>
      <c r="D124">
        <v>13618</v>
      </c>
      <c r="E124">
        <v>15</v>
      </c>
      <c r="F124">
        <v>6042.48</v>
      </c>
      <c r="G124">
        <v>2789.59</v>
      </c>
      <c r="H124" t="str">
        <f>VLOOKUP(myynnit[[#This Row],[TuoteID]],ohjaus!$A$4:$B$20,2,FALSE)</f>
        <v>Pianotuoli</v>
      </c>
    </row>
    <row r="125" spans="1:8" x14ac:dyDescent="0.35">
      <c r="A125" t="s">
        <v>38</v>
      </c>
      <c r="B125">
        <v>2012</v>
      </c>
      <c r="C125">
        <v>2</v>
      </c>
      <c r="D125">
        <v>16024</v>
      </c>
      <c r="E125">
        <v>230</v>
      </c>
      <c r="F125">
        <v>103486.17</v>
      </c>
      <c r="G125">
        <v>29195.360000000001</v>
      </c>
      <c r="H125" t="str">
        <f>VLOOKUP(myynnit[[#This Row],[TuoteID]],ohjaus!$A$4:$B$20,2,FALSE)</f>
        <v>Työtuoli</v>
      </c>
    </row>
    <row r="126" spans="1:8" x14ac:dyDescent="0.35">
      <c r="A126" t="s">
        <v>38</v>
      </c>
      <c r="B126">
        <v>2012</v>
      </c>
      <c r="C126">
        <v>2</v>
      </c>
      <c r="D126">
        <v>16650</v>
      </c>
      <c r="E126">
        <v>40</v>
      </c>
      <c r="F126">
        <v>5914.24</v>
      </c>
      <c r="G126">
        <v>3210.73</v>
      </c>
      <c r="H126" t="str">
        <f>VLOOKUP(myynnit[[#This Row],[TuoteID]],ohjaus!$A$4:$B$20,2,FALSE)</f>
        <v>Rahi</v>
      </c>
    </row>
    <row r="127" spans="1:8" x14ac:dyDescent="0.35">
      <c r="A127" t="s">
        <v>38</v>
      </c>
      <c r="B127">
        <v>2012</v>
      </c>
      <c r="C127">
        <v>2</v>
      </c>
      <c r="D127">
        <v>17892</v>
      </c>
      <c r="E127">
        <v>83</v>
      </c>
      <c r="F127">
        <v>10669.11</v>
      </c>
      <c r="G127">
        <v>2953.59</v>
      </c>
      <c r="H127" t="str">
        <f>VLOOKUP(myynnit[[#This Row],[TuoteID]],ohjaus!$A$4:$B$20,2,FALSE)</f>
        <v>Lepotuoli</v>
      </c>
    </row>
    <row r="128" spans="1:8" x14ac:dyDescent="0.35">
      <c r="A128" t="s">
        <v>38</v>
      </c>
      <c r="B128">
        <v>2012</v>
      </c>
      <c r="C128">
        <v>2</v>
      </c>
      <c r="D128">
        <v>18342</v>
      </c>
      <c r="E128">
        <v>127</v>
      </c>
      <c r="F128">
        <v>106511.35</v>
      </c>
      <c r="G128">
        <v>24388.77</v>
      </c>
      <c r="H128" t="str">
        <f>VLOOKUP(myynnit[[#This Row],[TuoteID]],ohjaus!$A$4:$B$20,2,FALSE)</f>
        <v>Työtuoli</v>
      </c>
    </row>
    <row r="129" spans="1:8" x14ac:dyDescent="0.35">
      <c r="A129" t="s">
        <v>38</v>
      </c>
      <c r="B129">
        <v>2012</v>
      </c>
      <c r="C129">
        <v>2</v>
      </c>
      <c r="D129">
        <v>20177</v>
      </c>
      <c r="E129">
        <v>46</v>
      </c>
      <c r="F129">
        <v>4492.99</v>
      </c>
      <c r="G129">
        <v>1702.53</v>
      </c>
      <c r="H129" t="str">
        <f>VLOOKUP(myynnit[[#This Row],[TuoteID]],ohjaus!$A$4:$B$20,2,FALSE)</f>
        <v>Säkkituoli</v>
      </c>
    </row>
    <row r="130" spans="1:8" x14ac:dyDescent="0.35">
      <c r="A130" t="s">
        <v>38</v>
      </c>
      <c r="B130">
        <v>2012</v>
      </c>
      <c r="C130">
        <v>2</v>
      </c>
      <c r="D130">
        <v>21179</v>
      </c>
      <c r="E130">
        <v>37</v>
      </c>
      <c r="F130">
        <v>4682.16</v>
      </c>
      <c r="G130">
        <v>2271.6799999999998</v>
      </c>
      <c r="H130" t="str">
        <f>VLOOKUP(myynnit[[#This Row],[TuoteID]],ohjaus!$A$4:$B$20,2,FALSE)</f>
        <v>Rahi</v>
      </c>
    </row>
    <row r="131" spans="1:8" x14ac:dyDescent="0.35">
      <c r="A131" t="s">
        <v>38</v>
      </c>
      <c r="B131">
        <v>2012</v>
      </c>
      <c r="C131">
        <v>2</v>
      </c>
      <c r="D131">
        <v>21260</v>
      </c>
      <c r="E131">
        <v>66</v>
      </c>
      <c r="F131">
        <v>13887.52</v>
      </c>
      <c r="G131">
        <v>3296.09</v>
      </c>
      <c r="H131" t="str">
        <f>VLOOKUP(myynnit[[#This Row],[TuoteID]],ohjaus!$A$4:$B$20,2,FALSE)</f>
        <v>Lepotuoli</v>
      </c>
    </row>
    <row r="132" spans="1:8" x14ac:dyDescent="0.35">
      <c r="A132" t="s">
        <v>38</v>
      </c>
      <c r="B132">
        <v>2012</v>
      </c>
      <c r="C132">
        <v>2</v>
      </c>
      <c r="D132">
        <v>22317</v>
      </c>
      <c r="E132">
        <v>80</v>
      </c>
      <c r="F132">
        <v>6895.06</v>
      </c>
      <c r="G132">
        <v>2840.71</v>
      </c>
      <c r="H132" t="str">
        <f>VLOOKUP(myynnit[[#This Row],[TuoteID]],ohjaus!$A$4:$B$20,2,FALSE)</f>
        <v>Säkkituoli</v>
      </c>
    </row>
    <row r="133" spans="1:8" x14ac:dyDescent="0.35">
      <c r="A133" t="s">
        <v>38</v>
      </c>
      <c r="B133">
        <v>2012</v>
      </c>
      <c r="C133">
        <v>2</v>
      </c>
      <c r="D133">
        <v>22940</v>
      </c>
      <c r="E133">
        <v>420</v>
      </c>
      <c r="F133">
        <v>51832.06</v>
      </c>
      <c r="G133">
        <v>11687.93</v>
      </c>
      <c r="H133" t="str">
        <f>VLOOKUP(myynnit[[#This Row],[TuoteID]],ohjaus!$A$4:$B$20,2,FALSE)</f>
        <v>Pinnatuoli</v>
      </c>
    </row>
    <row r="134" spans="1:8" x14ac:dyDescent="0.35">
      <c r="A134" t="s">
        <v>38</v>
      </c>
      <c r="B134">
        <v>2012</v>
      </c>
      <c r="C134">
        <v>2</v>
      </c>
      <c r="D134">
        <v>23178</v>
      </c>
      <c r="E134">
        <v>231</v>
      </c>
      <c r="F134">
        <v>41464.06</v>
      </c>
      <c r="G134">
        <v>8672.4</v>
      </c>
      <c r="H134" t="str">
        <f>VLOOKUP(myynnit[[#This Row],[TuoteID]],ohjaus!$A$4:$B$20,2,FALSE)</f>
        <v>Pinnatuoli</v>
      </c>
    </row>
    <row r="135" spans="1:8" x14ac:dyDescent="0.35">
      <c r="A135" t="s">
        <v>38</v>
      </c>
      <c r="B135">
        <v>2012</v>
      </c>
      <c r="C135">
        <v>2</v>
      </c>
      <c r="D135">
        <v>23600</v>
      </c>
      <c r="E135">
        <v>1292</v>
      </c>
      <c r="F135">
        <v>150288.32999999999</v>
      </c>
      <c r="G135">
        <v>40426.120000000003</v>
      </c>
      <c r="H135" t="str">
        <f>VLOOKUP(myynnit[[#This Row],[TuoteID]],ohjaus!$A$4:$B$20,2,FALSE)</f>
        <v>Pinnatuoli</v>
      </c>
    </row>
    <row r="136" spans="1:8" x14ac:dyDescent="0.35">
      <c r="A136" t="s">
        <v>38</v>
      </c>
      <c r="B136">
        <v>2012</v>
      </c>
      <c r="C136">
        <v>2</v>
      </c>
      <c r="D136">
        <v>23756</v>
      </c>
      <c r="E136">
        <v>77</v>
      </c>
      <c r="F136">
        <v>12883.7</v>
      </c>
      <c r="G136">
        <v>6397.95</v>
      </c>
      <c r="H136" t="str">
        <f>VLOOKUP(myynnit[[#This Row],[TuoteID]],ohjaus!$A$4:$B$20,2,FALSE)</f>
        <v>Pianotuoli</v>
      </c>
    </row>
    <row r="137" spans="1:8" x14ac:dyDescent="0.35">
      <c r="A137" t="s">
        <v>38</v>
      </c>
      <c r="B137">
        <v>2012</v>
      </c>
      <c r="C137">
        <v>2</v>
      </c>
      <c r="D137">
        <v>24326</v>
      </c>
      <c r="E137">
        <v>125</v>
      </c>
      <c r="F137">
        <v>18118.7</v>
      </c>
      <c r="G137">
        <v>5360.75</v>
      </c>
      <c r="H137" t="str">
        <f>VLOOKUP(myynnit[[#This Row],[TuoteID]],ohjaus!$A$4:$B$20,2,FALSE)</f>
        <v>Lepotuoli</v>
      </c>
    </row>
    <row r="138" spans="1:8" x14ac:dyDescent="0.35">
      <c r="A138" t="s">
        <v>37</v>
      </c>
      <c r="B138">
        <v>2012</v>
      </c>
      <c r="C138">
        <v>3</v>
      </c>
      <c r="D138">
        <v>12184</v>
      </c>
      <c r="E138">
        <v>104</v>
      </c>
      <c r="F138">
        <v>12618.14</v>
      </c>
      <c r="G138">
        <v>5116.82</v>
      </c>
      <c r="H138" t="str">
        <f>VLOOKUP(myynnit[[#This Row],[TuoteID]],ohjaus!$A$4:$B$20,2,FALSE)</f>
        <v>Rahi</v>
      </c>
    </row>
    <row r="139" spans="1:8" x14ac:dyDescent="0.35">
      <c r="A139" t="s">
        <v>37</v>
      </c>
      <c r="B139">
        <v>2012</v>
      </c>
      <c r="C139">
        <v>3</v>
      </c>
      <c r="D139">
        <v>12622</v>
      </c>
      <c r="E139">
        <v>45</v>
      </c>
      <c r="F139">
        <v>13311.99</v>
      </c>
      <c r="G139">
        <v>5550.33</v>
      </c>
      <c r="H139" t="str">
        <f>VLOOKUP(myynnit[[#This Row],[TuoteID]],ohjaus!$A$4:$B$20,2,FALSE)</f>
        <v>Pianotuoli</v>
      </c>
    </row>
    <row r="140" spans="1:8" x14ac:dyDescent="0.35">
      <c r="A140" t="s">
        <v>37</v>
      </c>
      <c r="B140">
        <v>2012</v>
      </c>
      <c r="C140">
        <v>3</v>
      </c>
      <c r="D140">
        <v>13527</v>
      </c>
      <c r="E140">
        <v>725</v>
      </c>
      <c r="F140">
        <v>120979.16</v>
      </c>
      <c r="G140">
        <v>26082.68</v>
      </c>
      <c r="H140" t="str">
        <f>VLOOKUP(myynnit[[#This Row],[TuoteID]],ohjaus!$A$4:$B$20,2,FALSE)</f>
        <v>Pinnatuoli</v>
      </c>
    </row>
    <row r="141" spans="1:8" x14ac:dyDescent="0.35">
      <c r="A141" t="s">
        <v>37</v>
      </c>
      <c r="B141">
        <v>2012</v>
      </c>
      <c r="C141">
        <v>3</v>
      </c>
      <c r="D141">
        <v>13618</v>
      </c>
      <c r="E141">
        <v>30</v>
      </c>
      <c r="F141">
        <v>10906.43</v>
      </c>
      <c r="G141">
        <v>4504.53</v>
      </c>
      <c r="H141" t="str">
        <f>VLOOKUP(myynnit[[#This Row],[TuoteID]],ohjaus!$A$4:$B$20,2,FALSE)</f>
        <v>Pianotuoli</v>
      </c>
    </row>
    <row r="142" spans="1:8" x14ac:dyDescent="0.35">
      <c r="A142" t="s">
        <v>37</v>
      </c>
      <c r="B142">
        <v>2012</v>
      </c>
      <c r="C142">
        <v>3</v>
      </c>
      <c r="D142">
        <v>16024</v>
      </c>
      <c r="E142">
        <v>274</v>
      </c>
      <c r="F142">
        <v>129243.19</v>
      </c>
      <c r="G142">
        <v>41607.31</v>
      </c>
      <c r="H142" t="str">
        <f>VLOOKUP(myynnit[[#This Row],[TuoteID]],ohjaus!$A$4:$B$20,2,FALSE)</f>
        <v>Työtuoli</v>
      </c>
    </row>
    <row r="143" spans="1:8" x14ac:dyDescent="0.35">
      <c r="A143" t="s">
        <v>37</v>
      </c>
      <c r="B143">
        <v>2012</v>
      </c>
      <c r="C143">
        <v>3</v>
      </c>
      <c r="D143">
        <v>16650</v>
      </c>
      <c r="E143">
        <v>67</v>
      </c>
      <c r="F143">
        <v>8187.9</v>
      </c>
      <c r="G143">
        <v>4424.72</v>
      </c>
      <c r="H143" t="str">
        <f>VLOOKUP(myynnit[[#This Row],[TuoteID]],ohjaus!$A$4:$B$20,2,FALSE)</f>
        <v>Rahi</v>
      </c>
    </row>
    <row r="144" spans="1:8" x14ac:dyDescent="0.35">
      <c r="A144" t="s">
        <v>37</v>
      </c>
      <c r="B144">
        <v>2012</v>
      </c>
      <c r="C144">
        <v>3</v>
      </c>
      <c r="D144">
        <v>17892</v>
      </c>
      <c r="E144">
        <v>169</v>
      </c>
      <c r="F144">
        <v>24436.28</v>
      </c>
      <c r="G144">
        <v>6625.02</v>
      </c>
      <c r="H144" t="str">
        <f>VLOOKUP(myynnit[[#This Row],[TuoteID]],ohjaus!$A$4:$B$20,2,FALSE)</f>
        <v>Lepotuoli</v>
      </c>
    </row>
    <row r="145" spans="1:8" x14ac:dyDescent="0.35">
      <c r="A145" t="s">
        <v>37</v>
      </c>
      <c r="B145">
        <v>2012</v>
      </c>
      <c r="C145">
        <v>3</v>
      </c>
      <c r="D145">
        <v>18342</v>
      </c>
      <c r="E145">
        <v>141</v>
      </c>
      <c r="F145">
        <v>112988.91</v>
      </c>
      <c r="G145">
        <v>30266.81</v>
      </c>
      <c r="H145" t="str">
        <f>VLOOKUP(myynnit[[#This Row],[TuoteID]],ohjaus!$A$4:$B$20,2,FALSE)</f>
        <v>Työtuoli</v>
      </c>
    </row>
    <row r="146" spans="1:8" x14ac:dyDescent="0.35">
      <c r="A146" t="s">
        <v>37</v>
      </c>
      <c r="B146">
        <v>2012</v>
      </c>
      <c r="C146">
        <v>3</v>
      </c>
      <c r="D146">
        <v>20177</v>
      </c>
      <c r="E146">
        <v>95</v>
      </c>
      <c r="F146">
        <v>10086.02</v>
      </c>
      <c r="G146">
        <v>4281.97</v>
      </c>
      <c r="H146" t="str">
        <f>VLOOKUP(myynnit[[#This Row],[TuoteID]],ohjaus!$A$4:$B$20,2,FALSE)</f>
        <v>Säkkituoli</v>
      </c>
    </row>
    <row r="147" spans="1:8" x14ac:dyDescent="0.35">
      <c r="A147" t="s">
        <v>37</v>
      </c>
      <c r="B147">
        <v>2012</v>
      </c>
      <c r="C147">
        <v>3</v>
      </c>
      <c r="D147">
        <v>21179</v>
      </c>
      <c r="E147">
        <v>59</v>
      </c>
      <c r="F147">
        <v>8469.08</v>
      </c>
      <c r="G147">
        <v>4475.4799999999996</v>
      </c>
      <c r="H147" t="str">
        <f>VLOOKUP(myynnit[[#This Row],[TuoteID]],ohjaus!$A$4:$B$20,2,FALSE)</f>
        <v>Rahi</v>
      </c>
    </row>
    <row r="148" spans="1:8" x14ac:dyDescent="0.35">
      <c r="A148" t="s">
        <v>37</v>
      </c>
      <c r="B148">
        <v>2012</v>
      </c>
      <c r="C148">
        <v>3</v>
      </c>
      <c r="D148">
        <v>21260</v>
      </c>
      <c r="E148">
        <v>107</v>
      </c>
      <c r="F148">
        <v>19173.330000000002</v>
      </c>
      <c r="G148">
        <v>4692.96</v>
      </c>
      <c r="H148" t="str">
        <f>VLOOKUP(myynnit[[#This Row],[TuoteID]],ohjaus!$A$4:$B$20,2,FALSE)</f>
        <v>Lepotuoli</v>
      </c>
    </row>
    <row r="149" spans="1:8" x14ac:dyDescent="0.35">
      <c r="A149" t="s">
        <v>37</v>
      </c>
      <c r="B149">
        <v>2012</v>
      </c>
      <c r="C149">
        <v>3</v>
      </c>
      <c r="D149">
        <v>22317</v>
      </c>
      <c r="E149">
        <v>123</v>
      </c>
      <c r="F149">
        <v>11540.24</v>
      </c>
      <c r="G149">
        <v>4584.46</v>
      </c>
      <c r="H149" t="str">
        <f>VLOOKUP(myynnit[[#This Row],[TuoteID]],ohjaus!$A$4:$B$20,2,FALSE)</f>
        <v>Säkkituoli</v>
      </c>
    </row>
    <row r="150" spans="1:8" x14ac:dyDescent="0.35">
      <c r="A150" t="s">
        <v>37</v>
      </c>
      <c r="B150">
        <v>2012</v>
      </c>
      <c r="C150">
        <v>3</v>
      </c>
      <c r="D150">
        <v>22940</v>
      </c>
      <c r="E150">
        <v>431</v>
      </c>
      <c r="F150">
        <v>55914.85</v>
      </c>
      <c r="G150">
        <v>9643.84</v>
      </c>
      <c r="H150" t="str">
        <f>VLOOKUP(myynnit[[#This Row],[TuoteID]],ohjaus!$A$4:$B$20,2,FALSE)</f>
        <v>Pinnatuoli</v>
      </c>
    </row>
    <row r="151" spans="1:8" x14ac:dyDescent="0.35">
      <c r="A151" t="s">
        <v>37</v>
      </c>
      <c r="B151">
        <v>2012</v>
      </c>
      <c r="C151">
        <v>3</v>
      </c>
      <c r="D151">
        <v>23178</v>
      </c>
      <c r="E151">
        <v>415</v>
      </c>
      <c r="F151">
        <v>66835.14</v>
      </c>
      <c r="G151">
        <v>13223.47</v>
      </c>
      <c r="H151" t="str">
        <f>VLOOKUP(myynnit[[#This Row],[TuoteID]],ohjaus!$A$4:$B$20,2,FALSE)</f>
        <v>Pinnatuoli</v>
      </c>
    </row>
    <row r="152" spans="1:8" x14ac:dyDescent="0.35">
      <c r="A152" t="s">
        <v>37</v>
      </c>
      <c r="B152">
        <v>2012</v>
      </c>
      <c r="C152">
        <v>3</v>
      </c>
      <c r="D152">
        <v>23600</v>
      </c>
      <c r="E152">
        <v>1198</v>
      </c>
      <c r="F152">
        <v>118957.75999999999</v>
      </c>
      <c r="G152">
        <v>31642.6</v>
      </c>
      <c r="H152" t="str">
        <f>VLOOKUP(myynnit[[#This Row],[TuoteID]],ohjaus!$A$4:$B$20,2,FALSE)</f>
        <v>Pinnatuoli</v>
      </c>
    </row>
    <row r="153" spans="1:8" x14ac:dyDescent="0.35">
      <c r="A153" t="s">
        <v>37</v>
      </c>
      <c r="B153">
        <v>2012</v>
      </c>
      <c r="C153">
        <v>3</v>
      </c>
      <c r="D153">
        <v>23756</v>
      </c>
      <c r="E153">
        <v>81</v>
      </c>
      <c r="F153">
        <v>14892.85</v>
      </c>
      <c r="G153">
        <v>6888.16</v>
      </c>
      <c r="H153" t="str">
        <f>VLOOKUP(myynnit[[#This Row],[TuoteID]],ohjaus!$A$4:$B$20,2,FALSE)</f>
        <v>Pianotuoli</v>
      </c>
    </row>
    <row r="154" spans="1:8" x14ac:dyDescent="0.35">
      <c r="A154" t="s">
        <v>37</v>
      </c>
      <c r="B154">
        <v>2012</v>
      </c>
      <c r="C154">
        <v>3</v>
      </c>
      <c r="D154">
        <v>24326</v>
      </c>
      <c r="E154">
        <v>131</v>
      </c>
      <c r="F154">
        <v>19863.79</v>
      </c>
      <c r="G154">
        <v>6153.65</v>
      </c>
      <c r="H154" t="str">
        <f>VLOOKUP(myynnit[[#This Row],[TuoteID]],ohjaus!$A$4:$B$20,2,FALSE)</f>
        <v>Lepotuoli</v>
      </c>
    </row>
    <row r="155" spans="1:8" x14ac:dyDescent="0.35">
      <c r="A155" t="s">
        <v>40</v>
      </c>
      <c r="B155">
        <v>2012</v>
      </c>
      <c r="C155">
        <v>3</v>
      </c>
      <c r="D155">
        <v>12184</v>
      </c>
      <c r="E155">
        <v>19</v>
      </c>
      <c r="F155">
        <v>2125.48</v>
      </c>
      <c r="G155">
        <v>915.9</v>
      </c>
      <c r="H155" t="str">
        <f>VLOOKUP(myynnit[[#This Row],[TuoteID]],ohjaus!$A$4:$B$20,2,FALSE)</f>
        <v>Rahi</v>
      </c>
    </row>
    <row r="156" spans="1:8" x14ac:dyDescent="0.35">
      <c r="A156" t="s">
        <v>40</v>
      </c>
      <c r="B156">
        <v>2012</v>
      </c>
      <c r="C156">
        <v>3</v>
      </c>
      <c r="D156">
        <v>12622</v>
      </c>
      <c r="E156">
        <v>19</v>
      </c>
      <c r="F156">
        <v>5462.8</v>
      </c>
      <c r="G156">
        <v>2374.4699999999998</v>
      </c>
      <c r="H156" t="str">
        <f>VLOOKUP(myynnit[[#This Row],[TuoteID]],ohjaus!$A$4:$B$20,2,FALSE)</f>
        <v>Pianotuoli</v>
      </c>
    </row>
    <row r="157" spans="1:8" x14ac:dyDescent="0.35">
      <c r="A157" t="s">
        <v>40</v>
      </c>
      <c r="B157">
        <v>2012</v>
      </c>
      <c r="C157">
        <v>3</v>
      </c>
      <c r="D157">
        <v>13527</v>
      </c>
      <c r="E157">
        <v>193</v>
      </c>
      <c r="F157">
        <v>32161.8</v>
      </c>
      <c r="G157">
        <v>4822.66</v>
      </c>
      <c r="H157" t="str">
        <f>VLOOKUP(myynnit[[#This Row],[TuoteID]],ohjaus!$A$4:$B$20,2,FALSE)</f>
        <v>Pinnatuoli</v>
      </c>
    </row>
    <row r="158" spans="1:8" x14ac:dyDescent="0.35">
      <c r="A158" t="s">
        <v>40</v>
      </c>
      <c r="B158">
        <v>2012</v>
      </c>
      <c r="C158">
        <v>3</v>
      </c>
      <c r="D158">
        <v>13618</v>
      </c>
      <c r="E158">
        <v>6</v>
      </c>
      <c r="F158">
        <v>2142.46</v>
      </c>
      <c r="G158">
        <v>874.73</v>
      </c>
      <c r="H158" t="str">
        <f>VLOOKUP(myynnit[[#This Row],[TuoteID]],ohjaus!$A$4:$B$20,2,FALSE)</f>
        <v>Pianotuoli</v>
      </c>
    </row>
    <row r="159" spans="1:8" x14ac:dyDescent="0.35">
      <c r="A159" t="s">
        <v>40</v>
      </c>
      <c r="B159">
        <v>2012</v>
      </c>
      <c r="C159">
        <v>3</v>
      </c>
      <c r="D159">
        <v>16024</v>
      </c>
      <c r="E159">
        <v>173</v>
      </c>
      <c r="F159">
        <v>80225.8</v>
      </c>
      <c r="G159">
        <v>27955.61</v>
      </c>
      <c r="H159" t="str">
        <f>VLOOKUP(myynnit[[#This Row],[TuoteID]],ohjaus!$A$4:$B$20,2,FALSE)</f>
        <v>Työtuoli</v>
      </c>
    </row>
    <row r="160" spans="1:8" x14ac:dyDescent="0.35">
      <c r="A160" t="s">
        <v>40</v>
      </c>
      <c r="B160">
        <v>2012</v>
      </c>
      <c r="C160">
        <v>3</v>
      </c>
      <c r="D160">
        <v>16650</v>
      </c>
      <c r="E160">
        <v>19</v>
      </c>
      <c r="F160">
        <v>3680.22</v>
      </c>
      <c r="G160">
        <v>2058.1799999999998</v>
      </c>
      <c r="H160" t="str">
        <f>VLOOKUP(myynnit[[#This Row],[TuoteID]],ohjaus!$A$4:$B$20,2,FALSE)</f>
        <v>Rahi</v>
      </c>
    </row>
    <row r="161" spans="1:8" x14ac:dyDescent="0.35">
      <c r="A161" t="s">
        <v>40</v>
      </c>
      <c r="B161">
        <v>2012</v>
      </c>
      <c r="C161">
        <v>3</v>
      </c>
      <c r="D161">
        <v>17892</v>
      </c>
      <c r="E161">
        <v>105</v>
      </c>
      <c r="F161">
        <v>15839.95</v>
      </c>
      <c r="G161">
        <v>4384.3100000000004</v>
      </c>
      <c r="H161" t="str">
        <f>VLOOKUP(myynnit[[#This Row],[TuoteID]],ohjaus!$A$4:$B$20,2,FALSE)</f>
        <v>Lepotuoli</v>
      </c>
    </row>
    <row r="162" spans="1:8" x14ac:dyDescent="0.35">
      <c r="A162" t="s">
        <v>40</v>
      </c>
      <c r="B162">
        <v>2012</v>
      </c>
      <c r="C162">
        <v>3</v>
      </c>
      <c r="D162">
        <v>18342</v>
      </c>
      <c r="E162">
        <v>27</v>
      </c>
      <c r="F162">
        <v>25341.82</v>
      </c>
      <c r="G162">
        <v>7972.7</v>
      </c>
      <c r="H162" t="str">
        <f>VLOOKUP(myynnit[[#This Row],[TuoteID]],ohjaus!$A$4:$B$20,2,FALSE)</f>
        <v>Työtuoli</v>
      </c>
    </row>
    <row r="163" spans="1:8" x14ac:dyDescent="0.35">
      <c r="A163" t="s">
        <v>40</v>
      </c>
      <c r="B163">
        <v>2012</v>
      </c>
      <c r="C163">
        <v>3</v>
      </c>
      <c r="D163">
        <v>20177</v>
      </c>
      <c r="E163">
        <v>24</v>
      </c>
      <c r="F163">
        <v>2552.92</v>
      </c>
      <c r="G163">
        <v>1147.3399999999999</v>
      </c>
      <c r="H163" t="str">
        <f>VLOOKUP(myynnit[[#This Row],[TuoteID]],ohjaus!$A$4:$B$20,2,FALSE)</f>
        <v>Säkkituoli</v>
      </c>
    </row>
    <row r="164" spans="1:8" x14ac:dyDescent="0.35">
      <c r="A164" t="s">
        <v>40</v>
      </c>
      <c r="B164">
        <v>2012</v>
      </c>
      <c r="C164">
        <v>3</v>
      </c>
      <c r="D164">
        <v>21179</v>
      </c>
      <c r="E164">
        <v>38</v>
      </c>
      <c r="F164">
        <v>5622.64</v>
      </c>
      <c r="G164">
        <v>3228.24</v>
      </c>
      <c r="H164" t="str">
        <f>VLOOKUP(myynnit[[#This Row],[TuoteID]],ohjaus!$A$4:$B$20,2,FALSE)</f>
        <v>Rahi</v>
      </c>
    </row>
    <row r="165" spans="1:8" x14ac:dyDescent="0.35">
      <c r="A165" t="s">
        <v>40</v>
      </c>
      <c r="B165">
        <v>2012</v>
      </c>
      <c r="C165">
        <v>3</v>
      </c>
      <c r="D165">
        <v>21260</v>
      </c>
      <c r="E165">
        <v>43</v>
      </c>
      <c r="F165">
        <v>8736.35</v>
      </c>
      <c r="G165">
        <v>1904.76</v>
      </c>
      <c r="H165" t="str">
        <f>VLOOKUP(myynnit[[#This Row],[TuoteID]],ohjaus!$A$4:$B$20,2,FALSE)</f>
        <v>Lepotuoli</v>
      </c>
    </row>
    <row r="166" spans="1:8" x14ac:dyDescent="0.35">
      <c r="A166" t="s">
        <v>40</v>
      </c>
      <c r="B166">
        <v>2012</v>
      </c>
      <c r="C166">
        <v>3</v>
      </c>
      <c r="D166">
        <v>22317</v>
      </c>
      <c r="E166">
        <v>13</v>
      </c>
      <c r="F166">
        <v>1248.5</v>
      </c>
      <c r="G166">
        <v>541.14</v>
      </c>
      <c r="H166" t="str">
        <f>VLOOKUP(myynnit[[#This Row],[TuoteID]],ohjaus!$A$4:$B$20,2,FALSE)</f>
        <v>Säkkituoli</v>
      </c>
    </row>
    <row r="167" spans="1:8" x14ac:dyDescent="0.35">
      <c r="A167" t="s">
        <v>40</v>
      </c>
      <c r="B167">
        <v>2012</v>
      </c>
      <c r="C167">
        <v>3</v>
      </c>
      <c r="D167">
        <v>22940</v>
      </c>
      <c r="E167">
        <v>144</v>
      </c>
      <c r="F167">
        <v>18967.09</v>
      </c>
      <c r="G167">
        <v>5392.81</v>
      </c>
      <c r="H167" t="str">
        <f>VLOOKUP(myynnit[[#This Row],[TuoteID]],ohjaus!$A$4:$B$20,2,FALSE)</f>
        <v>Pinnatuoli</v>
      </c>
    </row>
    <row r="168" spans="1:8" x14ac:dyDescent="0.35">
      <c r="A168" t="s">
        <v>40</v>
      </c>
      <c r="B168">
        <v>2012</v>
      </c>
      <c r="C168">
        <v>3</v>
      </c>
      <c r="D168">
        <v>23178</v>
      </c>
      <c r="E168">
        <v>169</v>
      </c>
      <c r="F168">
        <v>30025.119999999999</v>
      </c>
      <c r="G168">
        <v>6757.36</v>
      </c>
      <c r="H168" t="str">
        <f>VLOOKUP(myynnit[[#This Row],[TuoteID]],ohjaus!$A$4:$B$20,2,FALSE)</f>
        <v>Pinnatuoli</v>
      </c>
    </row>
    <row r="169" spans="1:8" x14ac:dyDescent="0.35">
      <c r="A169" t="s">
        <v>40</v>
      </c>
      <c r="B169">
        <v>2012</v>
      </c>
      <c r="C169">
        <v>3</v>
      </c>
      <c r="D169">
        <v>23600</v>
      </c>
      <c r="E169">
        <v>734</v>
      </c>
      <c r="F169">
        <v>90608.51</v>
      </c>
      <c r="G169">
        <v>21790.43</v>
      </c>
      <c r="H169" t="str">
        <f>VLOOKUP(myynnit[[#This Row],[TuoteID]],ohjaus!$A$4:$B$20,2,FALSE)</f>
        <v>Pinnatuoli</v>
      </c>
    </row>
    <row r="170" spans="1:8" x14ac:dyDescent="0.35">
      <c r="A170" t="s">
        <v>40</v>
      </c>
      <c r="B170">
        <v>2012</v>
      </c>
      <c r="C170">
        <v>3</v>
      </c>
      <c r="D170">
        <v>23756</v>
      </c>
      <c r="E170">
        <v>93</v>
      </c>
      <c r="F170">
        <v>19277.439999999999</v>
      </c>
      <c r="G170">
        <v>7925.81</v>
      </c>
      <c r="H170" t="str">
        <f>VLOOKUP(myynnit[[#This Row],[TuoteID]],ohjaus!$A$4:$B$20,2,FALSE)</f>
        <v>Pianotuoli</v>
      </c>
    </row>
    <row r="171" spans="1:8" x14ac:dyDescent="0.35">
      <c r="A171" t="s">
        <v>40</v>
      </c>
      <c r="B171">
        <v>2012</v>
      </c>
      <c r="C171">
        <v>3</v>
      </c>
      <c r="D171">
        <v>24326</v>
      </c>
      <c r="E171">
        <v>26</v>
      </c>
      <c r="F171">
        <v>3525.72</v>
      </c>
      <c r="G171">
        <v>920.77</v>
      </c>
      <c r="H171" t="str">
        <f>VLOOKUP(myynnit[[#This Row],[TuoteID]],ohjaus!$A$4:$B$20,2,FALSE)</f>
        <v>Lepotuoli</v>
      </c>
    </row>
    <row r="172" spans="1:8" x14ac:dyDescent="0.35">
      <c r="A172" t="s">
        <v>39</v>
      </c>
      <c r="B172">
        <v>2012</v>
      </c>
      <c r="C172">
        <v>3</v>
      </c>
      <c r="D172">
        <v>12184</v>
      </c>
      <c r="E172">
        <v>46</v>
      </c>
      <c r="F172">
        <v>6766.23</v>
      </c>
      <c r="G172">
        <v>4404.4799999999996</v>
      </c>
      <c r="H172" t="str">
        <f>VLOOKUP(myynnit[[#This Row],[TuoteID]],ohjaus!$A$4:$B$20,2,FALSE)</f>
        <v>Rahi</v>
      </c>
    </row>
    <row r="173" spans="1:8" x14ac:dyDescent="0.35">
      <c r="A173" t="s">
        <v>39</v>
      </c>
      <c r="B173">
        <v>2012</v>
      </c>
      <c r="C173">
        <v>3</v>
      </c>
      <c r="D173">
        <v>12622</v>
      </c>
      <c r="E173">
        <v>40</v>
      </c>
      <c r="F173">
        <v>10277.629999999999</v>
      </c>
      <c r="G173">
        <v>6346.8</v>
      </c>
      <c r="H173" t="str">
        <f>VLOOKUP(myynnit[[#This Row],[TuoteID]],ohjaus!$A$4:$B$20,2,FALSE)</f>
        <v>Pianotuoli</v>
      </c>
    </row>
    <row r="174" spans="1:8" x14ac:dyDescent="0.35">
      <c r="A174" t="s">
        <v>39</v>
      </c>
      <c r="B174">
        <v>2012</v>
      </c>
      <c r="C174">
        <v>3</v>
      </c>
      <c r="D174">
        <v>13527</v>
      </c>
      <c r="E174">
        <v>315</v>
      </c>
      <c r="F174">
        <v>51343.1</v>
      </c>
      <c r="G174">
        <v>12535.95</v>
      </c>
      <c r="H174" t="str">
        <f>VLOOKUP(myynnit[[#This Row],[TuoteID]],ohjaus!$A$4:$B$20,2,FALSE)</f>
        <v>Pinnatuoli</v>
      </c>
    </row>
    <row r="175" spans="1:8" x14ac:dyDescent="0.35">
      <c r="A175" t="s">
        <v>39</v>
      </c>
      <c r="B175">
        <v>2012</v>
      </c>
      <c r="C175">
        <v>3</v>
      </c>
      <c r="D175">
        <v>13618</v>
      </c>
      <c r="E175">
        <v>27</v>
      </c>
      <c r="F175">
        <v>10672.73</v>
      </c>
      <c r="G175">
        <v>6852.49</v>
      </c>
      <c r="H175" t="str">
        <f>VLOOKUP(myynnit[[#This Row],[TuoteID]],ohjaus!$A$4:$B$20,2,FALSE)</f>
        <v>Pianotuoli</v>
      </c>
    </row>
    <row r="176" spans="1:8" x14ac:dyDescent="0.35">
      <c r="A176" t="s">
        <v>39</v>
      </c>
      <c r="B176">
        <v>2012</v>
      </c>
      <c r="C176">
        <v>3</v>
      </c>
      <c r="D176">
        <v>16024</v>
      </c>
      <c r="E176">
        <v>159</v>
      </c>
      <c r="F176">
        <v>62604.160000000003</v>
      </c>
      <c r="G176">
        <v>18463.64</v>
      </c>
      <c r="H176" t="str">
        <f>VLOOKUP(myynnit[[#This Row],[TuoteID]],ohjaus!$A$4:$B$20,2,FALSE)</f>
        <v>Työtuoli</v>
      </c>
    </row>
    <row r="177" spans="1:8" x14ac:dyDescent="0.35">
      <c r="A177" t="s">
        <v>39</v>
      </c>
      <c r="B177">
        <v>2012</v>
      </c>
      <c r="C177">
        <v>3</v>
      </c>
      <c r="D177">
        <v>16650</v>
      </c>
      <c r="E177">
        <v>47</v>
      </c>
      <c r="F177">
        <v>8267.75</v>
      </c>
      <c r="G177">
        <v>5120.3900000000003</v>
      </c>
      <c r="H177" t="str">
        <f>VLOOKUP(myynnit[[#This Row],[TuoteID]],ohjaus!$A$4:$B$20,2,FALSE)</f>
        <v>Rahi</v>
      </c>
    </row>
    <row r="178" spans="1:8" x14ac:dyDescent="0.35">
      <c r="A178" t="s">
        <v>39</v>
      </c>
      <c r="B178">
        <v>2012</v>
      </c>
      <c r="C178">
        <v>3</v>
      </c>
      <c r="D178">
        <v>17892</v>
      </c>
      <c r="E178">
        <v>115</v>
      </c>
      <c r="F178">
        <v>18173.490000000002</v>
      </c>
      <c r="G178">
        <v>6342.41</v>
      </c>
      <c r="H178" t="str">
        <f>VLOOKUP(myynnit[[#This Row],[TuoteID]],ohjaus!$A$4:$B$20,2,FALSE)</f>
        <v>Lepotuoli</v>
      </c>
    </row>
    <row r="179" spans="1:8" x14ac:dyDescent="0.35">
      <c r="A179" t="s">
        <v>39</v>
      </c>
      <c r="B179">
        <v>2012</v>
      </c>
      <c r="C179">
        <v>3</v>
      </c>
      <c r="D179">
        <v>18342</v>
      </c>
      <c r="E179">
        <v>68</v>
      </c>
      <c r="F179">
        <v>53254.93</v>
      </c>
      <c r="G179">
        <v>15018.42</v>
      </c>
      <c r="H179" t="str">
        <f>VLOOKUP(myynnit[[#This Row],[TuoteID]],ohjaus!$A$4:$B$20,2,FALSE)</f>
        <v>Työtuoli</v>
      </c>
    </row>
    <row r="180" spans="1:8" x14ac:dyDescent="0.35">
      <c r="A180" t="s">
        <v>39</v>
      </c>
      <c r="B180">
        <v>2012</v>
      </c>
      <c r="C180">
        <v>3</v>
      </c>
      <c r="D180">
        <v>20177</v>
      </c>
      <c r="E180">
        <v>61</v>
      </c>
      <c r="F180">
        <v>6226.05</v>
      </c>
      <c r="G180">
        <v>3120.88</v>
      </c>
      <c r="H180" t="str">
        <f>VLOOKUP(myynnit[[#This Row],[TuoteID]],ohjaus!$A$4:$B$20,2,FALSE)</f>
        <v>Säkkituoli</v>
      </c>
    </row>
    <row r="181" spans="1:8" x14ac:dyDescent="0.35">
      <c r="A181" t="s">
        <v>39</v>
      </c>
      <c r="B181">
        <v>2012</v>
      </c>
      <c r="C181">
        <v>3</v>
      </c>
      <c r="D181">
        <v>21179</v>
      </c>
      <c r="E181">
        <v>51</v>
      </c>
      <c r="F181">
        <v>7814.79</v>
      </c>
      <c r="G181">
        <v>5786.64</v>
      </c>
      <c r="H181" t="str">
        <f>VLOOKUP(myynnit[[#This Row],[TuoteID]],ohjaus!$A$4:$B$20,2,FALSE)</f>
        <v>Rahi</v>
      </c>
    </row>
    <row r="182" spans="1:8" x14ac:dyDescent="0.35">
      <c r="A182" t="s">
        <v>39</v>
      </c>
      <c r="B182">
        <v>2012</v>
      </c>
      <c r="C182">
        <v>3</v>
      </c>
      <c r="D182">
        <v>21260</v>
      </c>
      <c r="E182">
        <v>49</v>
      </c>
      <c r="F182">
        <v>8998.5</v>
      </c>
      <c r="G182">
        <v>2411.31</v>
      </c>
      <c r="H182" t="str">
        <f>VLOOKUP(myynnit[[#This Row],[TuoteID]],ohjaus!$A$4:$B$20,2,FALSE)</f>
        <v>Lepotuoli</v>
      </c>
    </row>
    <row r="183" spans="1:8" x14ac:dyDescent="0.35">
      <c r="A183" t="s">
        <v>39</v>
      </c>
      <c r="B183">
        <v>2012</v>
      </c>
      <c r="C183">
        <v>3</v>
      </c>
      <c r="D183">
        <v>22317</v>
      </c>
      <c r="E183">
        <v>35</v>
      </c>
      <c r="F183">
        <v>3537.91</v>
      </c>
      <c r="G183">
        <v>1695.27</v>
      </c>
      <c r="H183" t="str">
        <f>VLOOKUP(myynnit[[#This Row],[TuoteID]],ohjaus!$A$4:$B$20,2,FALSE)</f>
        <v>Säkkituoli</v>
      </c>
    </row>
    <row r="184" spans="1:8" x14ac:dyDescent="0.35">
      <c r="A184" t="s">
        <v>39</v>
      </c>
      <c r="B184">
        <v>2012</v>
      </c>
      <c r="C184">
        <v>3</v>
      </c>
      <c r="D184">
        <v>22940</v>
      </c>
      <c r="E184">
        <v>254</v>
      </c>
      <c r="F184">
        <v>33409.58</v>
      </c>
      <c r="G184">
        <v>8537.25</v>
      </c>
      <c r="H184" t="str">
        <f>VLOOKUP(myynnit[[#This Row],[TuoteID]],ohjaus!$A$4:$B$20,2,FALSE)</f>
        <v>Pinnatuoli</v>
      </c>
    </row>
    <row r="185" spans="1:8" x14ac:dyDescent="0.35">
      <c r="A185" t="s">
        <v>39</v>
      </c>
      <c r="B185">
        <v>2012</v>
      </c>
      <c r="C185">
        <v>3</v>
      </c>
      <c r="D185">
        <v>23178</v>
      </c>
      <c r="E185">
        <v>247</v>
      </c>
      <c r="F185">
        <v>43866.63</v>
      </c>
      <c r="G185">
        <v>12101.33</v>
      </c>
      <c r="H185" t="str">
        <f>VLOOKUP(myynnit[[#This Row],[TuoteID]],ohjaus!$A$4:$B$20,2,FALSE)</f>
        <v>Pinnatuoli</v>
      </c>
    </row>
    <row r="186" spans="1:8" x14ac:dyDescent="0.35">
      <c r="A186" t="s">
        <v>39</v>
      </c>
      <c r="B186">
        <v>2012</v>
      </c>
      <c r="C186">
        <v>3</v>
      </c>
      <c r="D186">
        <v>23600</v>
      </c>
      <c r="E186">
        <v>601</v>
      </c>
      <c r="F186">
        <v>64059.05</v>
      </c>
      <c r="G186">
        <v>20281.099999999999</v>
      </c>
      <c r="H186" t="str">
        <f>VLOOKUP(myynnit[[#This Row],[TuoteID]],ohjaus!$A$4:$B$20,2,FALSE)</f>
        <v>Pinnatuoli</v>
      </c>
    </row>
    <row r="187" spans="1:8" x14ac:dyDescent="0.35">
      <c r="A187" t="s">
        <v>39</v>
      </c>
      <c r="B187">
        <v>2012</v>
      </c>
      <c r="C187">
        <v>3</v>
      </c>
      <c r="D187">
        <v>23756</v>
      </c>
      <c r="E187">
        <v>134</v>
      </c>
      <c r="F187">
        <v>25864.65</v>
      </c>
      <c r="G187">
        <v>14246.78</v>
      </c>
      <c r="H187" t="str">
        <f>VLOOKUP(myynnit[[#This Row],[TuoteID]],ohjaus!$A$4:$B$20,2,FALSE)</f>
        <v>Pianotuoli</v>
      </c>
    </row>
    <row r="188" spans="1:8" x14ac:dyDescent="0.35">
      <c r="A188" t="s">
        <v>39</v>
      </c>
      <c r="B188">
        <v>2012</v>
      </c>
      <c r="C188">
        <v>3</v>
      </c>
      <c r="D188">
        <v>24326</v>
      </c>
      <c r="E188">
        <v>124</v>
      </c>
      <c r="F188">
        <v>16873.900000000001</v>
      </c>
      <c r="G188">
        <v>5639.86</v>
      </c>
      <c r="H188" t="str">
        <f>VLOOKUP(myynnit[[#This Row],[TuoteID]],ohjaus!$A$4:$B$20,2,FALSE)</f>
        <v>Lepotuoli</v>
      </c>
    </row>
    <row r="189" spans="1:8" x14ac:dyDescent="0.35">
      <c r="A189" t="s">
        <v>38</v>
      </c>
      <c r="B189">
        <v>2012</v>
      </c>
      <c r="C189">
        <v>3</v>
      </c>
      <c r="D189">
        <v>12184</v>
      </c>
      <c r="E189">
        <v>64</v>
      </c>
      <c r="F189">
        <v>8388.5</v>
      </c>
      <c r="G189">
        <v>4040.04</v>
      </c>
      <c r="H189" t="str">
        <f>VLOOKUP(myynnit[[#This Row],[TuoteID]],ohjaus!$A$4:$B$20,2,FALSE)</f>
        <v>Rahi</v>
      </c>
    </row>
    <row r="190" spans="1:8" x14ac:dyDescent="0.35">
      <c r="A190" t="s">
        <v>38</v>
      </c>
      <c r="B190">
        <v>2012</v>
      </c>
      <c r="C190">
        <v>3</v>
      </c>
      <c r="D190">
        <v>12622</v>
      </c>
      <c r="E190">
        <v>26</v>
      </c>
      <c r="F190">
        <v>7296.98</v>
      </c>
      <c r="G190">
        <v>3424.03</v>
      </c>
      <c r="H190" t="str">
        <f>VLOOKUP(myynnit[[#This Row],[TuoteID]],ohjaus!$A$4:$B$20,2,FALSE)</f>
        <v>Pianotuoli</v>
      </c>
    </row>
    <row r="191" spans="1:8" x14ac:dyDescent="0.35">
      <c r="A191" t="s">
        <v>38</v>
      </c>
      <c r="B191">
        <v>2012</v>
      </c>
      <c r="C191">
        <v>3</v>
      </c>
      <c r="D191">
        <v>13527</v>
      </c>
      <c r="E191">
        <v>457</v>
      </c>
      <c r="F191">
        <v>70437.919999999998</v>
      </c>
      <c r="G191">
        <v>13252.88</v>
      </c>
      <c r="H191" t="str">
        <f>VLOOKUP(myynnit[[#This Row],[TuoteID]],ohjaus!$A$4:$B$20,2,FALSE)</f>
        <v>Pinnatuoli</v>
      </c>
    </row>
    <row r="192" spans="1:8" x14ac:dyDescent="0.35">
      <c r="A192" t="s">
        <v>38</v>
      </c>
      <c r="B192">
        <v>2012</v>
      </c>
      <c r="C192">
        <v>3</v>
      </c>
      <c r="D192">
        <v>13618</v>
      </c>
      <c r="E192">
        <v>11</v>
      </c>
      <c r="F192">
        <v>5041.1000000000004</v>
      </c>
      <c r="G192">
        <v>2191.2199999999998</v>
      </c>
      <c r="H192" t="str">
        <f>VLOOKUP(myynnit[[#This Row],[TuoteID]],ohjaus!$A$4:$B$20,2,FALSE)</f>
        <v>Pianotuoli</v>
      </c>
    </row>
    <row r="193" spans="1:8" x14ac:dyDescent="0.35">
      <c r="A193" t="s">
        <v>38</v>
      </c>
      <c r="B193">
        <v>2012</v>
      </c>
      <c r="C193">
        <v>3</v>
      </c>
      <c r="D193">
        <v>16024</v>
      </c>
      <c r="E193">
        <v>87</v>
      </c>
      <c r="F193">
        <v>35117.129999999997</v>
      </c>
      <c r="G193">
        <v>7858.11</v>
      </c>
      <c r="H193" t="str">
        <f>VLOOKUP(myynnit[[#This Row],[TuoteID]],ohjaus!$A$4:$B$20,2,FALSE)</f>
        <v>Työtuoli</v>
      </c>
    </row>
    <row r="194" spans="1:8" x14ac:dyDescent="0.35">
      <c r="A194" t="s">
        <v>38</v>
      </c>
      <c r="B194">
        <v>2012</v>
      </c>
      <c r="C194">
        <v>3</v>
      </c>
      <c r="D194">
        <v>16650</v>
      </c>
      <c r="E194">
        <v>45</v>
      </c>
      <c r="F194">
        <v>6377.32</v>
      </c>
      <c r="G194">
        <v>4000.47</v>
      </c>
      <c r="H194" t="str">
        <f>VLOOKUP(myynnit[[#This Row],[TuoteID]],ohjaus!$A$4:$B$20,2,FALSE)</f>
        <v>Rahi</v>
      </c>
    </row>
    <row r="195" spans="1:8" x14ac:dyDescent="0.35">
      <c r="A195" t="s">
        <v>38</v>
      </c>
      <c r="B195">
        <v>2012</v>
      </c>
      <c r="C195">
        <v>3</v>
      </c>
      <c r="D195">
        <v>17892</v>
      </c>
      <c r="E195">
        <v>57</v>
      </c>
      <c r="F195">
        <v>7108.26</v>
      </c>
      <c r="G195">
        <v>1946.87</v>
      </c>
      <c r="H195" t="str">
        <f>VLOOKUP(myynnit[[#This Row],[TuoteID]],ohjaus!$A$4:$B$20,2,FALSE)</f>
        <v>Lepotuoli</v>
      </c>
    </row>
    <row r="196" spans="1:8" x14ac:dyDescent="0.35">
      <c r="A196" t="s">
        <v>38</v>
      </c>
      <c r="B196">
        <v>2012</v>
      </c>
      <c r="C196">
        <v>3</v>
      </c>
      <c r="D196">
        <v>18342</v>
      </c>
      <c r="E196">
        <v>145</v>
      </c>
      <c r="F196">
        <v>128109.49</v>
      </c>
      <c r="G196">
        <v>26927.94</v>
      </c>
      <c r="H196" t="str">
        <f>VLOOKUP(myynnit[[#This Row],[TuoteID]],ohjaus!$A$4:$B$20,2,FALSE)</f>
        <v>Työtuoli</v>
      </c>
    </row>
    <row r="197" spans="1:8" x14ac:dyDescent="0.35">
      <c r="A197" t="s">
        <v>38</v>
      </c>
      <c r="B197">
        <v>2012</v>
      </c>
      <c r="C197">
        <v>3</v>
      </c>
      <c r="D197">
        <v>20177</v>
      </c>
      <c r="E197">
        <v>91</v>
      </c>
      <c r="F197">
        <v>9665.43</v>
      </c>
      <c r="G197">
        <v>3574.16</v>
      </c>
      <c r="H197" t="str">
        <f>VLOOKUP(myynnit[[#This Row],[TuoteID]],ohjaus!$A$4:$B$20,2,FALSE)</f>
        <v>Säkkituoli</v>
      </c>
    </row>
    <row r="198" spans="1:8" x14ac:dyDescent="0.35">
      <c r="A198" t="s">
        <v>38</v>
      </c>
      <c r="B198">
        <v>2012</v>
      </c>
      <c r="C198">
        <v>3</v>
      </c>
      <c r="D198">
        <v>21179</v>
      </c>
      <c r="E198">
        <v>29</v>
      </c>
      <c r="F198">
        <v>4146.9399999999996</v>
      </c>
      <c r="G198">
        <v>2401.19</v>
      </c>
      <c r="H198" t="str">
        <f>VLOOKUP(myynnit[[#This Row],[TuoteID]],ohjaus!$A$4:$B$20,2,FALSE)</f>
        <v>Rahi</v>
      </c>
    </row>
    <row r="199" spans="1:8" x14ac:dyDescent="0.35">
      <c r="A199" t="s">
        <v>38</v>
      </c>
      <c r="B199">
        <v>2012</v>
      </c>
      <c r="C199">
        <v>3</v>
      </c>
      <c r="D199">
        <v>21260</v>
      </c>
      <c r="E199">
        <v>72</v>
      </c>
      <c r="F199">
        <v>12681.49</v>
      </c>
      <c r="G199">
        <v>2940.51</v>
      </c>
      <c r="H199" t="str">
        <f>VLOOKUP(myynnit[[#This Row],[TuoteID]],ohjaus!$A$4:$B$20,2,FALSE)</f>
        <v>Lepotuoli</v>
      </c>
    </row>
    <row r="200" spans="1:8" x14ac:dyDescent="0.35">
      <c r="A200" t="s">
        <v>38</v>
      </c>
      <c r="B200">
        <v>2012</v>
      </c>
      <c r="C200">
        <v>3</v>
      </c>
      <c r="D200">
        <v>22317</v>
      </c>
      <c r="E200">
        <v>53</v>
      </c>
      <c r="F200">
        <v>4298.3599999999997</v>
      </c>
      <c r="G200">
        <v>1521.38</v>
      </c>
      <c r="H200" t="str">
        <f>VLOOKUP(myynnit[[#This Row],[TuoteID]],ohjaus!$A$4:$B$20,2,FALSE)</f>
        <v>Säkkituoli</v>
      </c>
    </row>
    <row r="201" spans="1:8" x14ac:dyDescent="0.35">
      <c r="A201" t="s">
        <v>38</v>
      </c>
      <c r="B201">
        <v>2012</v>
      </c>
      <c r="C201">
        <v>3</v>
      </c>
      <c r="D201">
        <v>22940</v>
      </c>
      <c r="E201">
        <v>353</v>
      </c>
      <c r="F201">
        <v>44236.56</v>
      </c>
      <c r="G201">
        <v>7863.28</v>
      </c>
      <c r="H201" t="str">
        <f>VLOOKUP(myynnit[[#This Row],[TuoteID]],ohjaus!$A$4:$B$20,2,FALSE)</f>
        <v>Pinnatuoli</v>
      </c>
    </row>
    <row r="202" spans="1:8" x14ac:dyDescent="0.35">
      <c r="A202" t="s">
        <v>38</v>
      </c>
      <c r="B202">
        <v>2012</v>
      </c>
      <c r="C202">
        <v>3</v>
      </c>
      <c r="D202">
        <v>23178</v>
      </c>
      <c r="E202">
        <v>312</v>
      </c>
      <c r="F202">
        <v>57980.49</v>
      </c>
      <c r="G202">
        <v>12113.38</v>
      </c>
      <c r="H202" t="str">
        <f>VLOOKUP(myynnit[[#This Row],[TuoteID]],ohjaus!$A$4:$B$20,2,FALSE)</f>
        <v>Pinnatuoli</v>
      </c>
    </row>
    <row r="203" spans="1:8" x14ac:dyDescent="0.35">
      <c r="A203" t="s">
        <v>38</v>
      </c>
      <c r="B203">
        <v>2012</v>
      </c>
      <c r="C203">
        <v>3</v>
      </c>
      <c r="D203">
        <v>23600</v>
      </c>
      <c r="E203">
        <v>893</v>
      </c>
      <c r="F203">
        <v>91536.01</v>
      </c>
      <c r="G203">
        <v>24912.9</v>
      </c>
      <c r="H203" t="str">
        <f>VLOOKUP(myynnit[[#This Row],[TuoteID]],ohjaus!$A$4:$B$20,2,FALSE)</f>
        <v>Pinnatuoli</v>
      </c>
    </row>
    <row r="204" spans="1:8" x14ac:dyDescent="0.35">
      <c r="A204" t="s">
        <v>38</v>
      </c>
      <c r="B204">
        <v>2012</v>
      </c>
      <c r="C204">
        <v>3</v>
      </c>
      <c r="D204">
        <v>23756</v>
      </c>
      <c r="E204">
        <v>133</v>
      </c>
      <c r="F204">
        <v>20838.43</v>
      </c>
      <c r="G204">
        <v>9798.18</v>
      </c>
      <c r="H204" t="str">
        <f>VLOOKUP(myynnit[[#This Row],[TuoteID]],ohjaus!$A$4:$B$20,2,FALSE)</f>
        <v>Pianotuoli</v>
      </c>
    </row>
    <row r="205" spans="1:8" x14ac:dyDescent="0.35">
      <c r="A205" t="s">
        <v>38</v>
      </c>
      <c r="B205">
        <v>2012</v>
      </c>
      <c r="C205">
        <v>3</v>
      </c>
      <c r="D205">
        <v>24326</v>
      </c>
      <c r="E205">
        <v>150</v>
      </c>
      <c r="F205">
        <v>22766.53</v>
      </c>
      <c r="G205">
        <v>5100.26</v>
      </c>
      <c r="H205" t="str">
        <f>VLOOKUP(myynnit[[#This Row],[TuoteID]],ohjaus!$A$4:$B$20,2,FALSE)</f>
        <v>Lepotuoli</v>
      </c>
    </row>
    <row r="206" spans="1:8" x14ac:dyDescent="0.35">
      <c r="A206" t="s">
        <v>37</v>
      </c>
      <c r="B206">
        <v>2012</v>
      </c>
      <c r="C206">
        <v>4</v>
      </c>
      <c r="D206">
        <v>12184</v>
      </c>
      <c r="E206">
        <v>60</v>
      </c>
      <c r="F206">
        <v>6124.52</v>
      </c>
      <c r="G206">
        <v>3128.32</v>
      </c>
      <c r="H206" t="str">
        <f>VLOOKUP(myynnit[[#This Row],[TuoteID]],ohjaus!$A$4:$B$20,2,FALSE)</f>
        <v>Rahi</v>
      </c>
    </row>
    <row r="207" spans="1:8" x14ac:dyDescent="0.35">
      <c r="A207" t="s">
        <v>37</v>
      </c>
      <c r="B207">
        <v>2012</v>
      </c>
      <c r="C207">
        <v>4</v>
      </c>
      <c r="D207">
        <v>12622</v>
      </c>
      <c r="E207">
        <v>65</v>
      </c>
      <c r="F207">
        <v>19949.27</v>
      </c>
      <c r="G207">
        <v>10758.02</v>
      </c>
      <c r="H207" t="str">
        <f>VLOOKUP(myynnit[[#This Row],[TuoteID]],ohjaus!$A$4:$B$20,2,FALSE)</f>
        <v>Pianotuoli</v>
      </c>
    </row>
    <row r="208" spans="1:8" x14ac:dyDescent="0.35">
      <c r="A208" t="s">
        <v>37</v>
      </c>
      <c r="B208">
        <v>2012</v>
      </c>
      <c r="C208">
        <v>4</v>
      </c>
      <c r="D208">
        <v>13527</v>
      </c>
      <c r="E208">
        <v>742</v>
      </c>
      <c r="F208">
        <v>111391.55</v>
      </c>
      <c r="G208">
        <v>21318.34</v>
      </c>
      <c r="H208" t="str">
        <f>VLOOKUP(myynnit[[#This Row],[TuoteID]],ohjaus!$A$4:$B$20,2,FALSE)</f>
        <v>Pinnatuoli</v>
      </c>
    </row>
    <row r="209" spans="1:8" x14ac:dyDescent="0.35">
      <c r="A209" t="s">
        <v>37</v>
      </c>
      <c r="B209">
        <v>2012</v>
      </c>
      <c r="C209">
        <v>4</v>
      </c>
      <c r="D209">
        <v>13618</v>
      </c>
      <c r="E209">
        <v>19</v>
      </c>
      <c r="F209">
        <v>6745.03</v>
      </c>
      <c r="G209">
        <v>3546.6</v>
      </c>
      <c r="H209" t="str">
        <f>VLOOKUP(myynnit[[#This Row],[TuoteID]],ohjaus!$A$4:$B$20,2,FALSE)</f>
        <v>Pianotuoli</v>
      </c>
    </row>
    <row r="210" spans="1:8" x14ac:dyDescent="0.35">
      <c r="A210" t="s">
        <v>37</v>
      </c>
      <c r="B210">
        <v>2012</v>
      </c>
      <c r="C210">
        <v>4</v>
      </c>
      <c r="D210">
        <v>16024</v>
      </c>
      <c r="E210">
        <v>349</v>
      </c>
      <c r="F210">
        <v>133560.43</v>
      </c>
      <c r="G210">
        <v>34173.31</v>
      </c>
      <c r="H210" t="str">
        <f>VLOOKUP(myynnit[[#This Row],[TuoteID]],ohjaus!$A$4:$B$20,2,FALSE)</f>
        <v>Työtuoli</v>
      </c>
    </row>
    <row r="211" spans="1:8" x14ac:dyDescent="0.35">
      <c r="A211" t="s">
        <v>37</v>
      </c>
      <c r="B211">
        <v>2012</v>
      </c>
      <c r="C211">
        <v>4</v>
      </c>
      <c r="D211">
        <v>16650</v>
      </c>
      <c r="E211">
        <v>63</v>
      </c>
      <c r="F211">
        <v>11124.56</v>
      </c>
      <c r="G211">
        <v>6080.9</v>
      </c>
      <c r="H211" t="str">
        <f>VLOOKUP(myynnit[[#This Row],[TuoteID]],ohjaus!$A$4:$B$20,2,FALSE)</f>
        <v>Rahi</v>
      </c>
    </row>
    <row r="212" spans="1:8" x14ac:dyDescent="0.35">
      <c r="A212" t="s">
        <v>37</v>
      </c>
      <c r="B212">
        <v>2012</v>
      </c>
      <c r="C212">
        <v>4</v>
      </c>
      <c r="D212">
        <v>17892</v>
      </c>
      <c r="E212">
        <v>111</v>
      </c>
      <c r="F212">
        <v>15210.57</v>
      </c>
      <c r="G212">
        <v>4851.84</v>
      </c>
      <c r="H212" t="str">
        <f>VLOOKUP(myynnit[[#This Row],[TuoteID]],ohjaus!$A$4:$B$20,2,FALSE)</f>
        <v>Lepotuoli</v>
      </c>
    </row>
    <row r="213" spans="1:8" x14ac:dyDescent="0.35">
      <c r="A213" t="s">
        <v>37</v>
      </c>
      <c r="B213">
        <v>2012</v>
      </c>
      <c r="C213">
        <v>4</v>
      </c>
      <c r="D213">
        <v>18342</v>
      </c>
      <c r="E213">
        <v>107</v>
      </c>
      <c r="F213">
        <v>97410.62</v>
      </c>
      <c r="G213">
        <v>28666.86</v>
      </c>
      <c r="H213" t="str">
        <f>VLOOKUP(myynnit[[#This Row],[TuoteID]],ohjaus!$A$4:$B$20,2,FALSE)</f>
        <v>Työtuoli</v>
      </c>
    </row>
    <row r="214" spans="1:8" x14ac:dyDescent="0.35">
      <c r="A214" t="s">
        <v>37</v>
      </c>
      <c r="B214">
        <v>2012</v>
      </c>
      <c r="C214">
        <v>4</v>
      </c>
      <c r="D214">
        <v>20177</v>
      </c>
      <c r="E214">
        <v>72</v>
      </c>
      <c r="F214">
        <v>6358.85</v>
      </c>
      <c r="G214">
        <v>2728.59</v>
      </c>
      <c r="H214" t="str">
        <f>VLOOKUP(myynnit[[#This Row],[TuoteID]],ohjaus!$A$4:$B$20,2,FALSE)</f>
        <v>Säkkituoli</v>
      </c>
    </row>
    <row r="215" spans="1:8" x14ac:dyDescent="0.35">
      <c r="A215" t="s">
        <v>37</v>
      </c>
      <c r="B215">
        <v>2012</v>
      </c>
      <c r="C215">
        <v>4</v>
      </c>
      <c r="D215">
        <v>21179</v>
      </c>
      <c r="E215">
        <v>53</v>
      </c>
      <c r="F215">
        <v>6782.62</v>
      </c>
      <c r="G215">
        <v>2861.86</v>
      </c>
      <c r="H215" t="str">
        <f>VLOOKUP(myynnit[[#This Row],[TuoteID]],ohjaus!$A$4:$B$20,2,FALSE)</f>
        <v>Rahi</v>
      </c>
    </row>
    <row r="216" spans="1:8" x14ac:dyDescent="0.35">
      <c r="A216" t="s">
        <v>37</v>
      </c>
      <c r="B216">
        <v>2012</v>
      </c>
      <c r="C216">
        <v>4</v>
      </c>
      <c r="D216">
        <v>21260</v>
      </c>
      <c r="E216">
        <v>50</v>
      </c>
      <c r="F216">
        <v>9947.98</v>
      </c>
      <c r="G216">
        <v>3228.75</v>
      </c>
      <c r="H216" t="str">
        <f>VLOOKUP(myynnit[[#This Row],[TuoteID]],ohjaus!$A$4:$B$20,2,FALSE)</f>
        <v>Lepotuoli</v>
      </c>
    </row>
    <row r="217" spans="1:8" x14ac:dyDescent="0.35">
      <c r="A217" t="s">
        <v>37</v>
      </c>
      <c r="B217">
        <v>2012</v>
      </c>
      <c r="C217">
        <v>4</v>
      </c>
      <c r="D217">
        <v>22317</v>
      </c>
      <c r="E217">
        <v>122</v>
      </c>
      <c r="F217">
        <v>9966.51</v>
      </c>
      <c r="G217">
        <v>3917.35</v>
      </c>
      <c r="H217" t="str">
        <f>VLOOKUP(myynnit[[#This Row],[TuoteID]],ohjaus!$A$4:$B$20,2,FALSE)</f>
        <v>Säkkituoli</v>
      </c>
    </row>
    <row r="218" spans="1:8" x14ac:dyDescent="0.35">
      <c r="A218" t="s">
        <v>37</v>
      </c>
      <c r="B218">
        <v>2012</v>
      </c>
      <c r="C218">
        <v>4</v>
      </c>
      <c r="D218">
        <v>22940</v>
      </c>
      <c r="E218">
        <v>774</v>
      </c>
      <c r="F218">
        <v>94462.92</v>
      </c>
      <c r="G218">
        <v>19798.439999999999</v>
      </c>
      <c r="H218" t="str">
        <f>VLOOKUP(myynnit[[#This Row],[TuoteID]],ohjaus!$A$4:$B$20,2,FALSE)</f>
        <v>Pinnatuoli</v>
      </c>
    </row>
    <row r="219" spans="1:8" x14ac:dyDescent="0.35">
      <c r="A219" t="s">
        <v>37</v>
      </c>
      <c r="B219">
        <v>2012</v>
      </c>
      <c r="C219">
        <v>4</v>
      </c>
      <c r="D219">
        <v>23178</v>
      </c>
      <c r="E219">
        <v>335</v>
      </c>
      <c r="F219">
        <v>55563.85</v>
      </c>
      <c r="G219">
        <v>10875.09</v>
      </c>
      <c r="H219" t="str">
        <f>VLOOKUP(myynnit[[#This Row],[TuoteID]],ohjaus!$A$4:$B$20,2,FALSE)</f>
        <v>Pinnatuoli</v>
      </c>
    </row>
    <row r="220" spans="1:8" x14ac:dyDescent="0.35">
      <c r="A220" t="s">
        <v>37</v>
      </c>
      <c r="B220">
        <v>2012</v>
      </c>
      <c r="C220">
        <v>4</v>
      </c>
      <c r="D220">
        <v>23600</v>
      </c>
      <c r="E220">
        <v>605</v>
      </c>
      <c r="F220">
        <v>71860.899999999994</v>
      </c>
      <c r="G220">
        <v>16700.41</v>
      </c>
      <c r="H220" t="str">
        <f>VLOOKUP(myynnit[[#This Row],[TuoteID]],ohjaus!$A$4:$B$20,2,FALSE)</f>
        <v>Pinnatuoli</v>
      </c>
    </row>
    <row r="221" spans="1:8" x14ac:dyDescent="0.35">
      <c r="A221" t="s">
        <v>37</v>
      </c>
      <c r="B221">
        <v>2012</v>
      </c>
      <c r="C221">
        <v>4</v>
      </c>
      <c r="D221">
        <v>23756</v>
      </c>
      <c r="E221">
        <v>116</v>
      </c>
      <c r="F221">
        <v>20431.650000000001</v>
      </c>
      <c r="G221">
        <v>9612.0300000000007</v>
      </c>
      <c r="H221" t="str">
        <f>VLOOKUP(myynnit[[#This Row],[TuoteID]],ohjaus!$A$4:$B$20,2,FALSE)</f>
        <v>Pianotuoli</v>
      </c>
    </row>
    <row r="222" spans="1:8" x14ac:dyDescent="0.35">
      <c r="A222" t="s">
        <v>37</v>
      </c>
      <c r="B222">
        <v>2012</v>
      </c>
      <c r="C222">
        <v>4</v>
      </c>
      <c r="D222">
        <v>24326</v>
      </c>
      <c r="E222">
        <v>103</v>
      </c>
      <c r="F222">
        <v>14825.74</v>
      </c>
      <c r="G222">
        <v>3784.6</v>
      </c>
      <c r="H222" t="str">
        <f>VLOOKUP(myynnit[[#This Row],[TuoteID]],ohjaus!$A$4:$B$20,2,FALSE)</f>
        <v>Lepotuoli</v>
      </c>
    </row>
    <row r="223" spans="1:8" x14ac:dyDescent="0.35">
      <c r="A223" t="s">
        <v>40</v>
      </c>
      <c r="B223">
        <v>2012</v>
      </c>
      <c r="C223">
        <v>4</v>
      </c>
      <c r="D223">
        <v>12184</v>
      </c>
      <c r="E223">
        <v>39</v>
      </c>
      <c r="F223">
        <v>5657.7</v>
      </c>
      <c r="G223">
        <v>2874.68</v>
      </c>
      <c r="H223" t="str">
        <f>VLOOKUP(myynnit[[#This Row],[TuoteID]],ohjaus!$A$4:$B$20,2,FALSE)</f>
        <v>Rahi</v>
      </c>
    </row>
    <row r="224" spans="1:8" x14ac:dyDescent="0.35">
      <c r="A224" t="s">
        <v>40</v>
      </c>
      <c r="B224">
        <v>2012</v>
      </c>
      <c r="C224">
        <v>4</v>
      </c>
      <c r="D224">
        <v>12622</v>
      </c>
      <c r="E224">
        <v>9</v>
      </c>
      <c r="F224">
        <v>2441.0700000000002</v>
      </c>
      <c r="G224">
        <v>917.49</v>
      </c>
      <c r="H224" t="str">
        <f>VLOOKUP(myynnit[[#This Row],[TuoteID]],ohjaus!$A$4:$B$20,2,FALSE)</f>
        <v>Pianotuoli</v>
      </c>
    </row>
    <row r="225" spans="1:8" x14ac:dyDescent="0.35">
      <c r="A225" t="s">
        <v>40</v>
      </c>
      <c r="B225">
        <v>2012</v>
      </c>
      <c r="C225">
        <v>4</v>
      </c>
      <c r="D225">
        <v>13527</v>
      </c>
      <c r="E225">
        <v>143</v>
      </c>
      <c r="F225">
        <v>21511.67</v>
      </c>
      <c r="G225">
        <v>3720.61</v>
      </c>
      <c r="H225" t="str">
        <f>VLOOKUP(myynnit[[#This Row],[TuoteID]],ohjaus!$A$4:$B$20,2,FALSE)</f>
        <v>Pinnatuoli</v>
      </c>
    </row>
    <row r="226" spans="1:8" x14ac:dyDescent="0.35">
      <c r="A226" t="s">
        <v>40</v>
      </c>
      <c r="B226">
        <v>2012</v>
      </c>
      <c r="C226">
        <v>4</v>
      </c>
      <c r="D226">
        <v>13618</v>
      </c>
      <c r="E226">
        <v>4</v>
      </c>
      <c r="F226">
        <v>1272.71</v>
      </c>
      <c r="G226">
        <v>616.29</v>
      </c>
      <c r="H226" t="str">
        <f>VLOOKUP(myynnit[[#This Row],[TuoteID]],ohjaus!$A$4:$B$20,2,FALSE)</f>
        <v>Pianotuoli</v>
      </c>
    </row>
    <row r="227" spans="1:8" x14ac:dyDescent="0.35">
      <c r="A227" t="s">
        <v>40</v>
      </c>
      <c r="B227">
        <v>2012</v>
      </c>
      <c r="C227">
        <v>4</v>
      </c>
      <c r="D227">
        <v>16024</v>
      </c>
      <c r="E227">
        <v>100</v>
      </c>
      <c r="F227">
        <v>43917.15</v>
      </c>
      <c r="G227">
        <v>12125.94</v>
      </c>
      <c r="H227" t="str">
        <f>VLOOKUP(myynnit[[#This Row],[TuoteID]],ohjaus!$A$4:$B$20,2,FALSE)</f>
        <v>Työtuoli</v>
      </c>
    </row>
    <row r="228" spans="1:8" x14ac:dyDescent="0.35">
      <c r="A228" t="s">
        <v>40</v>
      </c>
      <c r="B228">
        <v>2012</v>
      </c>
      <c r="C228">
        <v>4</v>
      </c>
      <c r="D228">
        <v>16650</v>
      </c>
      <c r="E228">
        <v>20</v>
      </c>
      <c r="F228">
        <v>2860.08</v>
      </c>
      <c r="G228">
        <v>1678.15</v>
      </c>
      <c r="H228" t="str">
        <f>VLOOKUP(myynnit[[#This Row],[TuoteID]],ohjaus!$A$4:$B$20,2,FALSE)</f>
        <v>Rahi</v>
      </c>
    </row>
    <row r="229" spans="1:8" x14ac:dyDescent="0.35">
      <c r="A229" t="s">
        <v>40</v>
      </c>
      <c r="B229">
        <v>2012</v>
      </c>
      <c r="C229">
        <v>4</v>
      </c>
      <c r="D229">
        <v>17892</v>
      </c>
      <c r="E229">
        <v>51</v>
      </c>
      <c r="F229">
        <v>7041.2</v>
      </c>
      <c r="G229">
        <v>1481.48</v>
      </c>
      <c r="H229" t="str">
        <f>VLOOKUP(myynnit[[#This Row],[TuoteID]],ohjaus!$A$4:$B$20,2,FALSE)</f>
        <v>Lepotuoli</v>
      </c>
    </row>
    <row r="230" spans="1:8" x14ac:dyDescent="0.35">
      <c r="A230" t="s">
        <v>40</v>
      </c>
      <c r="B230">
        <v>2012</v>
      </c>
      <c r="C230">
        <v>4</v>
      </c>
      <c r="D230">
        <v>18342</v>
      </c>
      <c r="E230">
        <v>28</v>
      </c>
      <c r="F230">
        <v>22697.72</v>
      </c>
      <c r="G230">
        <v>7251.54</v>
      </c>
      <c r="H230" t="str">
        <f>VLOOKUP(myynnit[[#This Row],[TuoteID]],ohjaus!$A$4:$B$20,2,FALSE)</f>
        <v>Työtuoli</v>
      </c>
    </row>
    <row r="231" spans="1:8" x14ac:dyDescent="0.35">
      <c r="A231" t="s">
        <v>40</v>
      </c>
      <c r="B231">
        <v>2012</v>
      </c>
      <c r="C231">
        <v>4</v>
      </c>
      <c r="D231">
        <v>20177</v>
      </c>
      <c r="E231">
        <v>20</v>
      </c>
      <c r="F231">
        <v>2133.31</v>
      </c>
      <c r="G231">
        <v>889.49</v>
      </c>
      <c r="H231" t="str">
        <f>VLOOKUP(myynnit[[#This Row],[TuoteID]],ohjaus!$A$4:$B$20,2,FALSE)</f>
        <v>Säkkituoli</v>
      </c>
    </row>
    <row r="232" spans="1:8" x14ac:dyDescent="0.35">
      <c r="A232" t="s">
        <v>40</v>
      </c>
      <c r="B232">
        <v>2012</v>
      </c>
      <c r="C232">
        <v>4</v>
      </c>
      <c r="D232">
        <v>21179</v>
      </c>
      <c r="E232">
        <v>51</v>
      </c>
      <c r="F232">
        <v>5073.59</v>
      </c>
      <c r="G232">
        <v>2490.85</v>
      </c>
      <c r="H232" t="str">
        <f>VLOOKUP(myynnit[[#This Row],[TuoteID]],ohjaus!$A$4:$B$20,2,FALSE)</f>
        <v>Rahi</v>
      </c>
    </row>
    <row r="233" spans="1:8" x14ac:dyDescent="0.35">
      <c r="A233" t="s">
        <v>40</v>
      </c>
      <c r="B233">
        <v>2012</v>
      </c>
      <c r="C233">
        <v>4</v>
      </c>
      <c r="D233">
        <v>21260</v>
      </c>
      <c r="E233">
        <v>23</v>
      </c>
      <c r="F233">
        <v>4041.4</v>
      </c>
      <c r="G233">
        <v>1098.8900000000001</v>
      </c>
      <c r="H233" t="str">
        <f>VLOOKUP(myynnit[[#This Row],[TuoteID]],ohjaus!$A$4:$B$20,2,FALSE)</f>
        <v>Lepotuoli</v>
      </c>
    </row>
    <row r="234" spans="1:8" x14ac:dyDescent="0.35">
      <c r="A234" t="s">
        <v>40</v>
      </c>
      <c r="B234">
        <v>2012</v>
      </c>
      <c r="C234">
        <v>4</v>
      </c>
      <c r="D234">
        <v>22317</v>
      </c>
      <c r="E234">
        <v>11</v>
      </c>
      <c r="F234">
        <v>969.78</v>
      </c>
      <c r="G234">
        <v>515.14</v>
      </c>
      <c r="H234" t="str">
        <f>VLOOKUP(myynnit[[#This Row],[TuoteID]],ohjaus!$A$4:$B$20,2,FALSE)</f>
        <v>Säkkituoli</v>
      </c>
    </row>
    <row r="235" spans="1:8" x14ac:dyDescent="0.35">
      <c r="A235" t="s">
        <v>40</v>
      </c>
      <c r="B235">
        <v>2012</v>
      </c>
      <c r="C235">
        <v>4</v>
      </c>
      <c r="D235">
        <v>22940</v>
      </c>
      <c r="E235">
        <v>82</v>
      </c>
      <c r="F235">
        <v>9975.2199999999993</v>
      </c>
      <c r="G235">
        <v>2957.91</v>
      </c>
      <c r="H235" t="str">
        <f>VLOOKUP(myynnit[[#This Row],[TuoteID]],ohjaus!$A$4:$B$20,2,FALSE)</f>
        <v>Pinnatuoli</v>
      </c>
    </row>
    <row r="236" spans="1:8" x14ac:dyDescent="0.35">
      <c r="A236" t="s">
        <v>40</v>
      </c>
      <c r="B236">
        <v>2012</v>
      </c>
      <c r="C236">
        <v>4</v>
      </c>
      <c r="D236">
        <v>23178</v>
      </c>
      <c r="E236">
        <v>230</v>
      </c>
      <c r="F236">
        <v>37978.160000000003</v>
      </c>
      <c r="G236">
        <v>9148.6200000000008</v>
      </c>
      <c r="H236" t="str">
        <f>VLOOKUP(myynnit[[#This Row],[TuoteID]],ohjaus!$A$4:$B$20,2,FALSE)</f>
        <v>Pinnatuoli</v>
      </c>
    </row>
    <row r="237" spans="1:8" x14ac:dyDescent="0.35">
      <c r="A237" t="s">
        <v>40</v>
      </c>
      <c r="B237">
        <v>2012</v>
      </c>
      <c r="C237">
        <v>4</v>
      </c>
      <c r="D237">
        <v>23600</v>
      </c>
      <c r="E237">
        <v>525</v>
      </c>
      <c r="F237">
        <v>61223.14</v>
      </c>
      <c r="G237">
        <v>16725.84</v>
      </c>
      <c r="H237" t="str">
        <f>VLOOKUP(myynnit[[#This Row],[TuoteID]],ohjaus!$A$4:$B$20,2,FALSE)</f>
        <v>Pinnatuoli</v>
      </c>
    </row>
    <row r="238" spans="1:8" x14ac:dyDescent="0.35">
      <c r="A238" t="s">
        <v>40</v>
      </c>
      <c r="B238">
        <v>2012</v>
      </c>
      <c r="C238">
        <v>4</v>
      </c>
      <c r="D238">
        <v>23756</v>
      </c>
      <c r="E238">
        <v>42</v>
      </c>
      <c r="F238">
        <v>7275.53</v>
      </c>
      <c r="G238">
        <v>3340.96</v>
      </c>
      <c r="H238" t="str">
        <f>VLOOKUP(myynnit[[#This Row],[TuoteID]],ohjaus!$A$4:$B$20,2,FALSE)</f>
        <v>Pianotuoli</v>
      </c>
    </row>
    <row r="239" spans="1:8" x14ac:dyDescent="0.35">
      <c r="A239" t="s">
        <v>40</v>
      </c>
      <c r="B239">
        <v>2012</v>
      </c>
      <c r="C239">
        <v>4</v>
      </c>
      <c r="D239">
        <v>24326</v>
      </c>
      <c r="E239">
        <v>22</v>
      </c>
      <c r="F239">
        <v>2865.24</v>
      </c>
      <c r="G239">
        <v>838.77</v>
      </c>
      <c r="H239" t="str">
        <f>VLOOKUP(myynnit[[#This Row],[TuoteID]],ohjaus!$A$4:$B$20,2,FALSE)</f>
        <v>Lepotuoli</v>
      </c>
    </row>
    <row r="240" spans="1:8" x14ac:dyDescent="0.35">
      <c r="A240" t="s">
        <v>39</v>
      </c>
      <c r="B240">
        <v>2012</v>
      </c>
      <c r="C240">
        <v>4</v>
      </c>
      <c r="D240">
        <v>12184</v>
      </c>
      <c r="E240">
        <v>81</v>
      </c>
      <c r="F240">
        <v>10636.31</v>
      </c>
      <c r="G240">
        <v>7039.91</v>
      </c>
      <c r="H240" t="str">
        <f>VLOOKUP(myynnit[[#This Row],[TuoteID]],ohjaus!$A$4:$B$20,2,FALSE)</f>
        <v>Rahi</v>
      </c>
    </row>
    <row r="241" spans="1:8" x14ac:dyDescent="0.35">
      <c r="A241" t="s">
        <v>39</v>
      </c>
      <c r="B241">
        <v>2012</v>
      </c>
      <c r="C241">
        <v>4</v>
      </c>
      <c r="D241">
        <v>12622</v>
      </c>
      <c r="E241">
        <v>24</v>
      </c>
      <c r="F241">
        <v>7383.52</v>
      </c>
      <c r="G241">
        <v>3568.5</v>
      </c>
      <c r="H241" t="str">
        <f>VLOOKUP(myynnit[[#This Row],[TuoteID]],ohjaus!$A$4:$B$20,2,FALSE)</f>
        <v>Pianotuoli</v>
      </c>
    </row>
    <row r="242" spans="1:8" x14ac:dyDescent="0.35">
      <c r="A242" t="s">
        <v>39</v>
      </c>
      <c r="B242">
        <v>2012</v>
      </c>
      <c r="C242">
        <v>4</v>
      </c>
      <c r="D242">
        <v>13527</v>
      </c>
      <c r="E242">
        <v>504</v>
      </c>
      <c r="F242">
        <v>78903.87</v>
      </c>
      <c r="G242">
        <v>20380.62</v>
      </c>
      <c r="H242" t="str">
        <f>VLOOKUP(myynnit[[#This Row],[TuoteID]],ohjaus!$A$4:$B$20,2,FALSE)</f>
        <v>Pinnatuoli</v>
      </c>
    </row>
    <row r="243" spans="1:8" x14ac:dyDescent="0.35">
      <c r="A243" t="s">
        <v>39</v>
      </c>
      <c r="B243">
        <v>2012</v>
      </c>
      <c r="C243">
        <v>4</v>
      </c>
      <c r="D243">
        <v>13618</v>
      </c>
      <c r="E243">
        <v>23</v>
      </c>
      <c r="F243">
        <v>9237.89</v>
      </c>
      <c r="G243">
        <v>5720.99</v>
      </c>
      <c r="H243" t="str">
        <f>VLOOKUP(myynnit[[#This Row],[TuoteID]],ohjaus!$A$4:$B$20,2,FALSE)</f>
        <v>Pianotuoli</v>
      </c>
    </row>
    <row r="244" spans="1:8" x14ac:dyDescent="0.35">
      <c r="A244" t="s">
        <v>39</v>
      </c>
      <c r="B244">
        <v>2012</v>
      </c>
      <c r="C244">
        <v>4</v>
      </c>
      <c r="D244">
        <v>16024</v>
      </c>
      <c r="E244">
        <v>273</v>
      </c>
      <c r="F244">
        <v>111875.96</v>
      </c>
      <c r="G244">
        <v>36849.910000000003</v>
      </c>
      <c r="H244" t="str">
        <f>VLOOKUP(myynnit[[#This Row],[TuoteID]],ohjaus!$A$4:$B$20,2,FALSE)</f>
        <v>Työtuoli</v>
      </c>
    </row>
    <row r="245" spans="1:8" x14ac:dyDescent="0.35">
      <c r="A245" t="s">
        <v>39</v>
      </c>
      <c r="B245">
        <v>2012</v>
      </c>
      <c r="C245">
        <v>4</v>
      </c>
      <c r="D245">
        <v>16650</v>
      </c>
      <c r="E245">
        <v>44</v>
      </c>
      <c r="F245">
        <v>5484.74</v>
      </c>
      <c r="G245">
        <v>3334.7</v>
      </c>
      <c r="H245" t="str">
        <f>VLOOKUP(myynnit[[#This Row],[TuoteID]],ohjaus!$A$4:$B$20,2,FALSE)</f>
        <v>Rahi</v>
      </c>
    </row>
    <row r="246" spans="1:8" x14ac:dyDescent="0.35">
      <c r="A246" t="s">
        <v>39</v>
      </c>
      <c r="B246">
        <v>2012</v>
      </c>
      <c r="C246">
        <v>4</v>
      </c>
      <c r="D246">
        <v>17892</v>
      </c>
      <c r="E246">
        <v>52</v>
      </c>
      <c r="F246">
        <v>6960.75</v>
      </c>
      <c r="G246">
        <v>1845.33</v>
      </c>
      <c r="H246" t="str">
        <f>VLOOKUP(myynnit[[#This Row],[TuoteID]],ohjaus!$A$4:$B$20,2,FALSE)</f>
        <v>Lepotuoli</v>
      </c>
    </row>
    <row r="247" spans="1:8" x14ac:dyDescent="0.35">
      <c r="A247" t="s">
        <v>39</v>
      </c>
      <c r="B247">
        <v>2012</v>
      </c>
      <c r="C247">
        <v>4</v>
      </c>
      <c r="D247">
        <v>18342</v>
      </c>
      <c r="E247">
        <v>90</v>
      </c>
      <c r="F247">
        <v>84599.72</v>
      </c>
      <c r="G247">
        <v>24578.81</v>
      </c>
      <c r="H247" t="str">
        <f>VLOOKUP(myynnit[[#This Row],[TuoteID]],ohjaus!$A$4:$B$20,2,FALSE)</f>
        <v>Työtuoli</v>
      </c>
    </row>
    <row r="248" spans="1:8" x14ac:dyDescent="0.35">
      <c r="A248" t="s">
        <v>39</v>
      </c>
      <c r="B248">
        <v>2012</v>
      </c>
      <c r="C248">
        <v>4</v>
      </c>
      <c r="D248">
        <v>20177</v>
      </c>
      <c r="E248">
        <v>73</v>
      </c>
      <c r="F248">
        <v>7722.36</v>
      </c>
      <c r="G248">
        <v>3163.05</v>
      </c>
      <c r="H248" t="str">
        <f>VLOOKUP(myynnit[[#This Row],[TuoteID]],ohjaus!$A$4:$B$20,2,FALSE)</f>
        <v>Säkkituoli</v>
      </c>
    </row>
    <row r="249" spans="1:8" x14ac:dyDescent="0.35">
      <c r="A249" t="s">
        <v>39</v>
      </c>
      <c r="B249">
        <v>2012</v>
      </c>
      <c r="C249">
        <v>4</v>
      </c>
      <c r="D249">
        <v>21179</v>
      </c>
      <c r="E249">
        <v>45</v>
      </c>
      <c r="F249">
        <v>5339.33</v>
      </c>
      <c r="G249">
        <v>3601.37</v>
      </c>
      <c r="H249" t="str">
        <f>VLOOKUP(myynnit[[#This Row],[TuoteID]],ohjaus!$A$4:$B$20,2,FALSE)</f>
        <v>Rahi</v>
      </c>
    </row>
    <row r="250" spans="1:8" x14ac:dyDescent="0.35">
      <c r="A250" t="s">
        <v>39</v>
      </c>
      <c r="B250">
        <v>2012</v>
      </c>
      <c r="C250">
        <v>4</v>
      </c>
      <c r="D250">
        <v>21260</v>
      </c>
      <c r="E250">
        <v>32</v>
      </c>
      <c r="F250">
        <v>6971.99</v>
      </c>
      <c r="G250">
        <v>2019.7</v>
      </c>
      <c r="H250" t="str">
        <f>VLOOKUP(myynnit[[#This Row],[TuoteID]],ohjaus!$A$4:$B$20,2,FALSE)</f>
        <v>Lepotuoli</v>
      </c>
    </row>
    <row r="251" spans="1:8" x14ac:dyDescent="0.35">
      <c r="A251" t="s">
        <v>39</v>
      </c>
      <c r="B251">
        <v>2012</v>
      </c>
      <c r="C251">
        <v>4</v>
      </c>
      <c r="D251">
        <v>22317</v>
      </c>
      <c r="E251">
        <v>52</v>
      </c>
      <c r="F251">
        <v>3833.54</v>
      </c>
      <c r="G251">
        <v>1754.19</v>
      </c>
      <c r="H251" t="str">
        <f>VLOOKUP(myynnit[[#This Row],[TuoteID]],ohjaus!$A$4:$B$20,2,FALSE)</f>
        <v>Säkkituoli</v>
      </c>
    </row>
    <row r="252" spans="1:8" x14ac:dyDescent="0.35">
      <c r="A252" t="s">
        <v>39</v>
      </c>
      <c r="B252">
        <v>2012</v>
      </c>
      <c r="C252">
        <v>4</v>
      </c>
      <c r="D252">
        <v>22940</v>
      </c>
      <c r="E252">
        <v>611</v>
      </c>
      <c r="F252">
        <v>80841.94</v>
      </c>
      <c r="G252">
        <v>19858.53</v>
      </c>
      <c r="H252" t="str">
        <f>VLOOKUP(myynnit[[#This Row],[TuoteID]],ohjaus!$A$4:$B$20,2,FALSE)</f>
        <v>Pinnatuoli</v>
      </c>
    </row>
    <row r="253" spans="1:8" x14ac:dyDescent="0.35">
      <c r="A253" t="s">
        <v>39</v>
      </c>
      <c r="B253">
        <v>2012</v>
      </c>
      <c r="C253">
        <v>4</v>
      </c>
      <c r="D253">
        <v>23178</v>
      </c>
      <c r="E253">
        <v>241</v>
      </c>
      <c r="F253">
        <v>41824.25</v>
      </c>
      <c r="G253">
        <v>11179.51</v>
      </c>
      <c r="H253" t="str">
        <f>VLOOKUP(myynnit[[#This Row],[TuoteID]],ohjaus!$A$4:$B$20,2,FALSE)</f>
        <v>Pinnatuoli</v>
      </c>
    </row>
    <row r="254" spans="1:8" x14ac:dyDescent="0.35">
      <c r="A254" t="s">
        <v>39</v>
      </c>
      <c r="B254">
        <v>2012</v>
      </c>
      <c r="C254">
        <v>4</v>
      </c>
      <c r="D254">
        <v>23600</v>
      </c>
      <c r="E254">
        <v>812</v>
      </c>
      <c r="F254">
        <v>95123.6</v>
      </c>
      <c r="G254">
        <v>22989.73</v>
      </c>
      <c r="H254" t="str">
        <f>VLOOKUP(myynnit[[#This Row],[TuoteID]],ohjaus!$A$4:$B$20,2,FALSE)</f>
        <v>Pinnatuoli</v>
      </c>
    </row>
    <row r="255" spans="1:8" x14ac:dyDescent="0.35">
      <c r="A255" t="s">
        <v>39</v>
      </c>
      <c r="B255">
        <v>2012</v>
      </c>
      <c r="C255">
        <v>4</v>
      </c>
      <c r="D255">
        <v>23756</v>
      </c>
      <c r="E255">
        <v>50</v>
      </c>
      <c r="F255">
        <v>9653.6200000000008</v>
      </c>
      <c r="G255">
        <v>6259.73</v>
      </c>
      <c r="H255" t="str">
        <f>VLOOKUP(myynnit[[#This Row],[TuoteID]],ohjaus!$A$4:$B$20,2,FALSE)</f>
        <v>Pianotuoli</v>
      </c>
    </row>
    <row r="256" spans="1:8" x14ac:dyDescent="0.35">
      <c r="A256" t="s">
        <v>39</v>
      </c>
      <c r="B256">
        <v>2012</v>
      </c>
      <c r="C256">
        <v>4</v>
      </c>
      <c r="D256">
        <v>24326</v>
      </c>
      <c r="E256">
        <v>95</v>
      </c>
      <c r="F256">
        <v>13816.35</v>
      </c>
      <c r="G256">
        <v>3855.05</v>
      </c>
      <c r="H256" t="str">
        <f>VLOOKUP(myynnit[[#This Row],[TuoteID]],ohjaus!$A$4:$B$20,2,FALSE)</f>
        <v>Lepotuoli</v>
      </c>
    </row>
    <row r="257" spans="1:8" x14ac:dyDescent="0.35">
      <c r="A257" t="s">
        <v>38</v>
      </c>
      <c r="B257">
        <v>2012</v>
      </c>
      <c r="C257">
        <v>4</v>
      </c>
      <c r="D257">
        <v>12184</v>
      </c>
      <c r="E257">
        <v>63</v>
      </c>
      <c r="F257">
        <v>8727.27</v>
      </c>
      <c r="G257">
        <v>5595.72</v>
      </c>
      <c r="H257" t="str">
        <f>VLOOKUP(myynnit[[#This Row],[TuoteID]],ohjaus!$A$4:$B$20,2,FALSE)</f>
        <v>Rahi</v>
      </c>
    </row>
    <row r="258" spans="1:8" x14ac:dyDescent="0.35">
      <c r="A258" t="s">
        <v>38</v>
      </c>
      <c r="B258">
        <v>2012</v>
      </c>
      <c r="C258">
        <v>4</v>
      </c>
      <c r="D258">
        <v>12622</v>
      </c>
      <c r="E258">
        <v>55</v>
      </c>
      <c r="F258">
        <v>12430.63</v>
      </c>
      <c r="G258">
        <v>5254.77</v>
      </c>
      <c r="H258" t="str">
        <f>VLOOKUP(myynnit[[#This Row],[TuoteID]],ohjaus!$A$4:$B$20,2,FALSE)</f>
        <v>Pianotuoli</v>
      </c>
    </row>
    <row r="259" spans="1:8" x14ac:dyDescent="0.35">
      <c r="A259" t="s">
        <v>38</v>
      </c>
      <c r="B259">
        <v>2012</v>
      </c>
      <c r="C259">
        <v>4</v>
      </c>
      <c r="D259">
        <v>13527</v>
      </c>
      <c r="E259">
        <v>443</v>
      </c>
      <c r="F259">
        <v>66250.78</v>
      </c>
      <c r="G259">
        <v>12771.02</v>
      </c>
      <c r="H259" t="str">
        <f>VLOOKUP(myynnit[[#This Row],[TuoteID]],ohjaus!$A$4:$B$20,2,FALSE)</f>
        <v>Pinnatuoli</v>
      </c>
    </row>
    <row r="260" spans="1:8" x14ac:dyDescent="0.35">
      <c r="A260" t="s">
        <v>38</v>
      </c>
      <c r="B260">
        <v>2012</v>
      </c>
      <c r="C260">
        <v>4</v>
      </c>
      <c r="D260">
        <v>13618</v>
      </c>
      <c r="E260">
        <v>7</v>
      </c>
      <c r="F260">
        <v>2363.4299999999998</v>
      </c>
      <c r="G260">
        <v>1284.53</v>
      </c>
      <c r="H260" t="str">
        <f>VLOOKUP(myynnit[[#This Row],[TuoteID]],ohjaus!$A$4:$B$20,2,FALSE)</f>
        <v>Pianotuoli</v>
      </c>
    </row>
    <row r="261" spans="1:8" x14ac:dyDescent="0.35">
      <c r="A261" t="s">
        <v>38</v>
      </c>
      <c r="B261">
        <v>2012</v>
      </c>
      <c r="C261">
        <v>4</v>
      </c>
      <c r="D261">
        <v>16024</v>
      </c>
      <c r="E261">
        <v>179</v>
      </c>
      <c r="F261">
        <v>72505.48</v>
      </c>
      <c r="G261">
        <v>16348.71</v>
      </c>
      <c r="H261" t="str">
        <f>VLOOKUP(myynnit[[#This Row],[TuoteID]],ohjaus!$A$4:$B$20,2,FALSE)</f>
        <v>Työtuoli</v>
      </c>
    </row>
    <row r="262" spans="1:8" x14ac:dyDescent="0.35">
      <c r="A262" t="s">
        <v>38</v>
      </c>
      <c r="B262">
        <v>2012</v>
      </c>
      <c r="C262">
        <v>4</v>
      </c>
      <c r="D262">
        <v>16650</v>
      </c>
      <c r="E262">
        <v>22</v>
      </c>
      <c r="F262">
        <v>3997.99</v>
      </c>
      <c r="G262">
        <v>1943.28</v>
      </c>
      <c r="H262" t="str">
        <f>VLOOKUP(myynnit[[#This Row],[TuoteID]],ohjaus!$A$4:$B$20,2,FALSE)</f>
        <v>Rahi</v>
      </c>
    </row>
    <row r="263" spans="1:8" x14ac:dyDescent="0.35">
      <c r="A263" t="s">
        <v>38</v>
      </c>
      <c r="B263">
        <v>2012</v>
      </c>
      <c r="C263">
        <v>4</v>
      </c>
      <c r="D263">
        <v>17892</v>
      </c>
      <c r="E263">
        <v>109</v>
      </c>
      <c r="F263">
        <v>16404.990000000002</v>
      </c>
      <c r="G263">
        <v>4322.1000000000004</v>
      </c>
      <c r="H263" t="str">
        <f>VLOOKUP(myynnit[[#This Row],[TuoteID]],ohjaus!$A$4:$B$20,2,FALSE)</f>
        <v>Lepotuoli</v>
      </c>
    </row>
    <row r="264" spans="1:8" x14ac:dyDescent="0.35">
      <c r="A264" t="s">
        <v>38</v>
      </c>
      <c r="B264">
        <v>2012</v>
      </c>
      <c r="C264">
        <v>4</v>
      </c>
      <c r="D264">
        <v>18342</v>
      </c>
      <c r="E264">
        <v>188</v>
      </c>
      <c r="F264">
        <v>160262.59</v>
      </c>
      <c r="G264">
        <v>35519.699999999997</v>
      </c>
      <c r="H264" t="str">
        <f>VLOOKUP(myynnit[[#This Row],[TuoteID]],ohjaus!$A$4:$B$20,2,FALSE)</f>
        <v>Työtuoli</v>
      </c>
    </row>
    <row r="265" spans="1:8" x14ac:dyDescent="0.35">
      <c r="A265" t="s">
        <v>38</v>
      </c>
      <c r="B265">
        <v>2012</v>
      </c>
      <c r="C265">
        <v>4</v>
      </c>
      <c r="D265">
        <v>20177</v>
      </c>
      <c r="E265">
        <v>87</v>
      </c>
      <c r="F265">
        <v>8501.98</v>
      </c>
      <c r="G265">
        <v>3710.97</v>
      </c>
      <c r="H265" t="str">
        <f>VLOOKUP(myynnit[[#This Row],[TuoteID]],ohjaus!$A$4:$B$20,2,FALSE)</f>
        <v>Säkkituoli</v>
      </c>
    </row>
    <row r="266" spans="1:8" x14ac:dyDescent="0.35">
      <c r="A266" t="s">
        <v>38</v>
      </c>
      <c r="B266">
        <v>2012</v>
      </c>
      <c r="C266">
        <v>4</v>
      </c>
      <c r="D266">
        <v>21179</v>
      </c>
      <c r="E266">
        <v>33</v>
      </c>
      <c r="F266">
        <v>4713.37</v>
      </c>
      <c r="G266">
        <v>2846.92</v>
      </c>
      <c r="H266" t="str">
        <f>VLOOKUP(myynnit[[#This Row],[TuoteID]],ohjaus!$A$4:$B$20,2,FALSE)</f>
        <v>Rahi</v>
      </c>
    </row>
    <row r="267" spans="1:8" x14ac:dyDescent="0.35">
      <c r="A267" t="s">
        <v>38</v>
      </c>
      <c r="B267">
        <v>2012</v>
      </c>
      <c r="C267">
        <v>4</v>
      </c>
      <c r="D267">
        <v>21260</v>
      </c>
      <c r="E267">
        <v>84</v>
      </c>
      <c r="F267">
        <v>17778.849999999999</v>
      </c>
      <c r="G267">
        <v>3863.69</v>
      </c>
      <c r="H267" t="str">
        <f>VLOOKUP(myynnit[[#This Row],[TuoteID]],ohjaus!$A$4:$B$20,2,FALSE)</f>
        <v>Lepotuoli</v>
      </c>
    </row>
    <row r="268" spans="1:8" x14ac:dyDescent="0.35">
      <c r="A268" t="s">
        <v>38</v>
      </c>
      <c r="B268">
        <v>2012</v>
      </c>
      <c r="C268">
        <v>4</v>
      </c>
      <c r="D268">
        <v>22317</v>
      </c>
      <c r="E268">
        <v>67</v>
      </c>
      <c r="F268">
        <v>6321.5</v>
      </c>
      <c r="G268">
        <v>2101.84</v>
      </c>
      <c r="H268" t="str">
        <f>VLOOKUP(myynnit[[#This Row],[TuoteID]],ohjaus!$A$4:$B$20,2,FALSE)</f>
        <v>Säkkituoli</v>
      </c>
    </row>
    <row r="269" spans="1:8" x14ac:dyDescent="0.35">
      <c r="A269" t="s">
        <v>38</v>
      </c>
      <c r="B269">
        <v>2012</v>
      </c>
      <c r="C269">
        <v>4</v>
      </c>
      <c r="D269">
        <v>22940</v>
      </c>
      <c r="E269">
        <v>698</v>
      </c>
      <c r="F269">
        <v>85413.47</v>
      </c>
      <c r="G269">
        <v>19115.96</v>
      </c>
      <c r="H269" t="str">
        <f>VLOOKUP(myynnit[[#This Row],[TuoteID]],ohjaus!$A$4:$B$20,2,FALSE)</f>
        <v>Pinnatuoli</v>
      </c>
    </row>
    <row r="270" spans="1:8" x14ac:dyDescent="0.35">
      <c r="A270" t="s">
        <v>38</v>
      </c>
      <c r="B270">
        <v>2012</v>
      </c>
      <c r="C270">
        <v>4</v>
      </c>
      <c r="D270">
        <v>23178</v>
      </c>
      <c r="E270">
        <v>302</v>
      </c>
      <c r="F270">
        <v>56895.76</v>
      </c>
      <c r="G270">
        <v>13751.31</v>
      </c>
      <c r="H270" t="str">
        <f>VLOOKUP(myynnit[[#This Row],[TuoteID]],ohjaus!$A$4:$B$20,2,FALSE)</f>
        <v>Pinnatuoli</v>
      </c>
    </row>
    <row r="271" spans="1:8" x14ac:dyDescent="0.35">
      <c r="A271" t="s">
        <v>38</v>
      </c>
      <c r="B271">
        <v>2012</v>
      </c>
      <c r="C271">
        <v>4</v>
      </c>
      <c r="D271">
        <v>23600</v>
      </c>
      <c r="E271">
        <v>1123</v>
      </c>
      <c r="F271">
        <v>122957.87</v>
      </c>
      <c r="G271">
        <v>28270.3</v>
      </c>
      <c r="H271" t="str">
        <f>VLOOKUP(myynnit[[#This Row],[TuoteID]],ohjaus!$A$4:$B$20,2,FALSE)</f>
        <v>Pinnatuoli</v>
      </c>
    </row>
    <row r="272" spans="1:8" x14ac:dyDescent="0.35">
      <c r="A272" t="s">
        <v>38</v>
      </c>
      <c r="B272">
        <v>2012</v>
      </c>
      <c r="C272">
        <v>4</v>
      </c>
      <c r="D272">
        <v>23756</v>
      </c>
      <c r="E272">
        <v>138</v>
      </c>
      <c r="F272">
        <v>21935.45</v>
      </c>
      <c r="G272">
        <v>10700.71</v>
      </c>
      <c r="H272" t="str">
        <f>VLOOKUP(myynnit[[#This Row],[TuoteID]],ohjaus!$A$4:$B$20,2,FALSE)</f>
        <v>Pianotuoli</v>
      </c>
    </row>
    <row r="273" spans="1:8" x14ac:dyDescent="0.35">
      <c r="A273" t="s">
        <v>38</v>
      </c>
      <c r="B273">
        <v>2012</v>
      </c>
      <c r="C273">
        <v>4</v>
      </c>
      <c r="D273">
        <v>24326</v>
      </c>
      <c r="E273">
        <v>123</v>
      </c>
      <c r="F273">
        <v>16275.89</v>
      </c>
      <c r="G273">
        <v>4058.17</v>
      </c>
      <c r="H273" t="str">
        <f>VLOOKUP(myynnit[[#This Row],[TuoteID]],ohjaus!$A$4:$B$20,2,FALSE)</f>
        <v>Lepotuoli</v>
      </c>
    </row>
    <row r="274" spans="1:8" x14ac:dyDescent="0.35">
      <c r="A274" t="s">
        <v>37</v>
      </c>
      <c r="B274">
        <v>2012</v>
      </c>
      <c r="C274">
        <v>5</v>
      </c>
      <c r="D274">
        <v>12184</v>
      </c>
      <c r="E274">
        <v>74</v>
      </c>
      <c r="F274">
        <v>10138.19</v>
      </c>
      <c r="G274">
        <v>4194.75</v>
      </c>
      <c r="H274" t="str">
        <f>VLOOKUP(myynnit[[#This Row],[TuoteID]],ohjaus!$A$4:$B$20,2,FALSE)</f>
        <v>Rahi</v>
      </c>
    </row>
    <row r="275" spans="1:8" x14ac:dyDescent="0.35">
      <c r="A275" t="s">
        <v>37</v>
      </c>
      <c r="B275">
        <v>2012</v>
      </c>
      <c r="C275">
        <v>5</v>
      </c>
      <c r="D275">
        <v>12622</v>
      </c>
      <c r="E275">
        <v>30</v>
      </c>
      <c r="F275">
        <v>9489.41</v>
      </c>
      <c r="G275">
        <v>4456.22</v>
      </c>
      <c r="H275" t="str">
        <f>VLOOKUP(myynnit[[#This Row],[TuoteID]],ohjaus!$A$4:$B$20,2,FALSE)</f>
        <v>Pianotuoli</v>
      </c>
    </row>
    <row r="276" spans="1:8" x14ac:dyDescent="0.35">
      <c r="A276" t="s">
        <v>37</v>
      </c>
      <c r="B276">
        <v>2012</v>
      </c>
      <c r="C276">
        <v>5</v>
      </c>
      <c r="D276">
        <v>13527</v>
      </c>
      <c r="E276">
        <v>361</v>
      </c>
      <c r="F276">
        <v>59369.67</v>
      </c>
      <c r="G276">
        <v>12075.94</v>
      </c>
      <c r="H276" t="str">
        <f>VLOOKUP(myynnit[[#This Row],[TuoteID]],ohjaus!$A$4:$B$20,2,FALSE)</f>
        <v>Pinnatuoli</v>
      </c>
    </row>
    <row r="277" spans="1:8" x14ac:dyDescent="0.35">
      <c r="A277" t="s">
        <v>37</v>
      </c>
      <c r="B277">
        <v>2012</v>
      </c>
      <c r="C277">
        <v>5</v>
      </c>
      <c r="D277">
        <v>13618</v>
      </c>
      <c r="E277">
        <v>18</v>
      </c>
      <c r="F277">
        <v>6786.84</v>
      </c>
      <c r="G277">
        <v>3044.9</v>
      </c>
      <c r="H277" t="str">
        <f>VLOOKUP(myynnit[[#This Row],[TuoteID]],ohjaus!$A$4:$B$20,2,FALSE)</f>
        <v>Pianotuoli</v>
      </c>
    </row>
    <row r="278" spans="1:8" x14ac:dyDescent="0.35">
      <c r="A278" t="s">
        <v>37</v>
      </c>
      <c r="B278">
        <v>2012</v>
      </c>
      <c r="C278">
        <v>5</v>
      </c>
      <c r="D278">
        <v>16024</v>
      </c>
      <c r="E278">
        <v>267</v>
      </c>
      <c r="F278">
        <v>126884.15</v>
      </c>
      <c r="G278">
        <v>39348.47</v>
      </c>
      <c r="H278" t="str">
        <f>VLOOKUP(myynnit[[#This Row],[TuoteID]],ohjaus!$A$4:$B$20,2,FALSE)</f>
        <v>Työtuoli</v>
      </c>
    </row>
    <row r="279" spans="1:8" x14ac:dyDescent="0.35">
      <c r="A279" t="s">
        <v>37</v>
      </c>
      <c r="B279">
        <v>2012</v>
      </c>
      <c r="C279">
        <v>5</v>
      </c>
      <c r="D279">
        <v>16650</v>
      </c>
      <c r="E279">
        <v>43</v>
      </c>
      <c r="F279">
        <v>7311.06</v>
      </c>
      <c r="G279">
        <v>3292.67</v>
      </c>
      <c r="H279" t="str">
        <f>VLOOKUP(myynnit[[#This Row],[TuoteID]],ohjaus!$A$4:$B$20,2,FALSE)</f>
        <v>Rahi</v>
      </c>
    </row>
    <row r="280" spans="1:8" x14ac:dyDescent="0.35">
      <c r="A280" t="s">
        <v>37</v>
      </c>
      <c r="B280">
        <v>2012</v>
      </c>
      <c r="C280">
        <v>5</v>
      </c>
      <c r="D280">
        <v>17892</v>
      </c>
      <c r="E280">
        <v>143</v>
      </c>
      <c r="F280">
        <v>19696.759999999998</v>
      </c>
      <c r="G280">
        <v>5757.69</v>
      </c>
      <c r="H280" t="str">
        <f>VLOOKUP(myynnit[[#This Row],[TuoteID]],ohjaus!$A$4:$B$20,2,FALSE)</f>
        <v>Lepotuoli</v>
      </c>
    </row>
    <row r="281" spans="1:8" x14ac:dyDescent="0.35">
      <c r="A281" t="s">
        <v>37</v>
      </c>
      <c r="B281">
        <v>2012</v>
      </c>
      <c r="C281">
        <v>5</v>
      </c>
      <c r="D281">
        <v>18342</v>
      </c>
      <c r="E281">
        <v>220</v>
      </c>
      <c r="F281">
        <v>170820.92</v>
      </c>
      <c r="G281">
        <v>51239.48</v>
      </c>
      <c r="H281" t="str">
        <f>VLOOKUP(myynnit[[#This Row],[TuoteID]],ohjaus!$A$4:$B$20,2,FALSE)</f>
        <v>Työtuoli</v>
      </c>
    </row>
    <row r="282" spans="1:8" x14ac:dyDescent="0.35">
      <c r="A282" t="s">
        <v>37</v>
      </c>
      <c r="B282">
        <v>2012</v>
      </c>
      <c r="C282">
        <v>5</v>
      </c>
      <c r="D282">
        <v>20177</v>
      </c>
      <c r="E282">
        <v>104</v>
      </c>
      <c r="F282">
        <v>9462.01</v>
      </c>
      <c r="G282">
        <v>3370.64</v>
      </c>
      <c r="H282" t="str">
        <f>VLOOKUP(myynnit[[#This Row],[TuoteID]],ohjaus!$A$4:$B$20,2,FALSE)</f>
        <v>Säkkituoli</v>
      </c>
    </row>
    <row r="283" spans="1:8" x14ac:dyDescent="0.35">
      <c r="A283" t="s">
        <v>37</v>
      </c>
      <c r="B283">
        <v>2012</v>
      </c>
      <c r="C283">
        <v>5</v>
      </c>
      <c r="D283">
        <v>21179</v>
      </c>
      <c r="E283">
        <v>50</v>
      </c>
      <c r="F283">
        <v>6303.14</v>
      </c>
      <c r="G283">
        <v>3179.31</v>
      </c>
      <c r="H283" t="str">
        <f>VLOOKUP(myynnit[[#This Row],[TuoteID]],ohjaus!$A$4:$B$20,2,FALSE)</f>
        <v>Rahi</v>
      </c>
    </row>
    <row r="284" spans="1:8" x14ac:dyDescent="0.35">
      <c r="A284" t="s">
        <v>37</v>
      </c>
      <c r="B284">
        <v>2012</v>
      </c>
      <c r="C284">
        <v>5</v>
      </c>
      <c r="D284">
        <v>21260</v>
      </c>
      <c r="E284">
        <v>50</v>
      </c>
      <c r="F284">
        <v>8906.74</v>
      </c>
      <c r="G284">
        <v>2355.13</v>
      </c>
      <c r="H284" t="str">
        <f>VLOOKUP(myynnit[[#This Row],[TuoteID]],ohjaus!$A$4:$B$20,2,FALSE)</f>
        <v>Lepotuoli</v>
      </c>
    </row>
    <row r="285" spans="1:8" x14ac:dyDescent="0.35">
      <c r="A285" t="s">
        <v>37</v>
      </c>
      <c r="B285">
        <v>2012</v>
      </c>
      <c r="C285">
        <v>5</v>
      </c>
      <c r="D285">
        <v>22317</v>
      </c>
      <c r="E285">
        <v>116</v>
      </c>
      <c r="F285">
        <v>11327.39</v>
      </c>
      <c r="G285">
        <v>4633.6099999999997</v>
      </c>
      <c r="H285" t="str">
        <f>VLOOKUP(myynnit[[#This Row],[TuoteID]],ohjaus!$A$4:$B$20,2,FALSE)</f>
        <v>Säkkituoli</v>
      </c>
    </row>
    <row r="286" spans="1:8" x14ac:dyDescent="0.35">
      <c r="A286" t="s">
        <v>37</v>
      </c>
      <c r="B286">
        <v>2012</v>
      </c>
      <c r="C286">
        <v>5</v>
      </c>
      <c r="D286">
        <v>22940</v>
      </c>
      <c r="E286">
        <v>1006</v>
      </c>
      <c r="F286">
        <v>137802.54</v>
      </c>
      <c r="G286">
        <v>24211.64</v>
      </c>
      <c r="H286" t="str">
        <f>VLOOKUP(myynnit[[#This Row],[TuoteID]],ohjaus!$A$4:$B$20,2,FALSE)</f>
        <v>Pinnatuoli</v>
      </c>
    </row>
    <row r="287" spans="1:8" x14ac:dyDescent="0.35">
      <c r="A287" t="s">
        <v>37</v>
      </c>
      <c r="B287">
        <v>2012</v>
      </c>
      <c r="C287">
        <v>5</v>
      </c>
      <c r="D287">
        <v>23178</v>
      </c>
      <c r="E287">
        <v>391</v>
      </c>
      <c r="F287">
        <v>68258.990000000005</v>
      </c>
      <c r="G287">
        <v>11214.32</v>
      </c>
      <c r="H287" t="str">
        <f>VLOOKUP(myynnit[[#This Row],[TuoteID]],ohjaus!$A$4:$B$20,2,FALSE)</f>
        <v>Pinnatuoli</v>
      </c>
    </row>
    <row r="288" spans="1:8" x14ac:dyDescent="0.35">
      <c r="A288" t="s">
        <v>37</v>
      </c>
      <c r="B288">
        <v>2012</v>
      </c>
      <c r="C288">
        <v>5</v>
      </c>
      <c r="D288">
        <v>23600</v>
      </c>
      <c r="E288">
        <v>657</v>
      </c>
      <c r="F288">
        <v>67624.149999999994</v>
      </c>
      <c r="G288">
        <v>17994.61</v>
      </c>
      <c r="H288" t="str">
        <f>VLOOKUP(myynnit[[#This Row],[TuoteID]],ohjaus!$A$4:$B$20,2,FALSE)</f>
        <v>Pinnatuoli</v>
      </c>
    </row>
    <row r="289" spans="1:8" x14ac:dyDescent="0.35">
      <c r="A289" t="s">
        <v>37</v>
      </c>
      <c r="B289">
        <v>2012</v>
      </c>
      <c r="C289">
        <v>5</v>
      </c>
      <c r="D289">
        <v>23756</v>
      </c>
      <c r="E289">
        <v>59</v>
      </c>
      <c r="F289">
        <v>11624.09</v>
      </c>
      <c r="G289">
        <v>5795.1</v>
      </c>
      <c r="H289" t="str">
        <f>VLOOKUP(myynnit[[#This Row],[TuoteID]],ohjaus!$A$4:$B$20,2,FALSE)</f>
        <v>Pianotuoli</v>
      </c>
    </row>
    <row r="290" spans="1:8" x14ac:dyDescent="0.35">
      <c r="A290" t="s">
        <v>37</v>
      </c>
      <c r="B290">
        <v>2012</v>
      </c>
      <c r="C290">
        <v>5</v>
      </c>
      <c r="D290">
        <v>24326</v>
      </c>
      <c r="E290">
        <v>112</v>
      </c>
      <c r="F290">
        <v>15048.33</v>
      </c>
      <c r="G290">
        <v>3652.95</v>
      </c>
      <c r="H290" t="str">
        <f>VLOOKUP(myynnit[[#This Row],[TuoteID]],ohjaus!$A$4:$B$20,2,FALSE)</f>
        <v>Lepotuoli</v>
      </c>
    </row>
    <row r="291" spans="1:8" x14ac:dyDescent="0.35">
      <c r="A291" t="s">
        <v>40</v>
      </c>
      <c r="B291">
        <v>2012</v>
      </c>
      <c r="C291">
        <v>5</v>
      </c>
      <c r="D291">
        <v>12184</v>
      </c>
      <c r="E291">
        <v>22</v>
      </c>
      <c r="F291">
        <v>3143.91</v>
      </c>
      <c r="G291">
        <v>1785.89</v>
      </c>
      <c r="H291" t="str">
        <f>VLOOKUP(myynnit[[#This Row],[TuoteID]],ohjaus!$A$4:$B$20,2,FALSE)</f>
        <v>Rahi</v>
      </c>
    </row>
    <row r="292" spans="1:8" x14ac:dyDescent="0.35">
      <c r="A292" t="s">
        <v>40</v>
      </c>
      <c r="B292">
        <v>2012</v>
      </c>
      <c r="C292">
        <v>5</v>
      </c>
      <c r="D292">
        <v>12622</v>
      </c>
      <c r="E292">
        <v>18</v>
      </c>
      <c r="F292">
        <v>4794.07</v>
      </c>
      <c r="G292">
        <v>2117.5100000000002</v>
      </c>
      <c r="H292" t="str">
        <f>VLOOKUP(myynnit[[#This Row],[TuoteID]],ohjaus!$A$4:$B$20,2,FALSE)</f>
        <v>Pianotuoli</v>
      </c>
    </row>
    <row r="293" spans="1:8" x14ac:dyDescent="0.35">
      <c r="A293" t="s">
        <v>40</v>
      </c>
      <c r="B293">
        <v>2012</v>
      </c>
      <c r="C293">
        <v>5</v>
      </c>
      <c r="D293">
        <v>13527</v>
      </c>
      <c r="E293">
        <v>193</v>
      </c>
      <c r="F293">
        <v>30536.87</v>
      </c>
      <c r="G293">
        <v>4892.17</v>
      </c>
      <c r="H293" t="str">
        <f>VLOOKUP(myynnit[[#This Row],[TuoteID]],ohjaus!$A$4:$B$20,2,FALSE)</f>
        <v>Pinnatuoli</v>
      </c>
    </row>
    <row r="294" spans="1:8" x14ac:dyDescent="0.35">
      <c r="A294" t="s">
        <v>40</v>
      </c>
      <c r="B294">
        <v>2012</v>
      </c>
      <c r="C294">
        <v>5</v>
      </c>
      <c r="D294">
        <v>13618</v>
      </c>
      <c r="E294">
        <v>4</v>
      </c>
      <c r="F294">
        <v>1587.01</v>
      </c>
      <c r="G294">
        <v>719.59</v>
      </c>
      <c r="H294" t="str">
        <f>VLOOKUP(myynnit[[#This Row],[TuoteID]],ohjaus!$A$4:$B$20,2,FALSE)</f>
        <v>Pianotuoli</v>
      </c>
    </row>
    <row r="295" spans="1:8" x14ac:dyDescent="0.35">
      <c r="A295" t="s">
        <v>40</v>
      </c>
      <c r="B295">
        <v>2012</v>
      </c>
      <c r="C295">
        <v>5</v>
      </c>
      <c r="D295">
        <v>16024</v>
      </c>
      <c r="E295">
        <v>135</v>
      </c>
      <c r="F295">
        <v>64369.83</v>
      </c>
      <c r="G295">
        <v>18807.2</v>
      </c>
      <c r="H295" t="str">
        <f>VLOOKUP(myynnit[[#This Row],[TuoteID]],ohjaus!$A$4:$B$20,2,FALSE)</f>
        <v>Työtuoli</v>
      </c>
    </row>
    <row r="296" spans="1:8" x14ac:dyDescent="0.35">
      <c r="A296" t="s">
        <v>40</v>
      </c>
      <c r="B296">
        <v>2012</v>
      </c>
      <c r="C296">
        <v>5</v>
      </c>
      <c r="D296">
        <v>16650</v>
      </c>
      <c r="E296">
        <v>26</v>
      </c>
      <c r="F296">
        <v>3602.36</v>
      </c>
      <c r="G296">
        <v>2226.2199999999998</v>
      </c>
      <c r="H296" t="str">
        <f>VLOOKUP(myynnit[[#This Row],[TuoteID]],ohjaus!$A$4:$B$20,2,FALSE)</f>
        <v>Rahi</v>
      </c>
    </row>
    <row r="297" spans="1:8" x14ac:dyDescent="0.35">
      <c r="A297" t="s">
        <v>40</v>
      </c>
      <c r="B297">
        <v>2012</v>
      </c>
      <c r="C297">
        <v>5</v>
      </c>
      <c r="D297">
        <v>17892</v>
      </c>
      <c r="E297">
        <v>49</v>
      </c>
      <c r="F297">
        <v>6881.58</v>
      </c>
      <c r="G297">
        <v>1694.88</v>
      </c>
      <c r="H297" t="str">
        <f>VLOOKUP(myynnit[[#This Row],[TuoteID]],ohjaus!$A$4:$B$20,2,FALSE)</f>
        <v>Lepotuoli</v>
      </c>
    </row>
    <row r="298" spans="1:8" x14ac:dyDescent="0.35">
      <c r="A298" t="s">
        <v>40</v>
      </c>
      <c r="B298">
        <v>2012</v>
      </c>
      <c r="C298">
        <v>5</v>
      </c>
      <c r="D298">
        <v>18342</v>
      </c>
      <c r="E298">
        <v>31</v>
      </c>
      <c r="F298">
        <v>23047.85</v>
      </c>
      <c r="G298">
        <v>7836.39</v>
      </c>
      <c r="H298" t="str">
        <f>VLOOKUP(myynnit[[#This Row],[TuoteID]],ohjaus!$A$4:$B$20,2,FALSE)</f>
        <v>Työtuoli</v>
      </c>
    </row>
    <row r="299" spans="1:8" x14ac:dyDescent="0.35">
      <c r="A299" t="s">
        <v>40</v>
      </c>
      <c r="B299">
        <v>2012</v>
      </c>
      <c r="C299">
        <v>5</v>
      </c>
      <c r="D299">
        <v>20177</v>
      </c>
      <c r="E299">
        <v>12</v>
      </c>
      <c r="F299">
        <v>1090.26</v>
      </c>
      <c r="G299">
        <v>484.68</v>
      </c>
      <c r="H299" t="str">
        <f>VLOOKUP(myynnit[[#This Row],[TuoteID]],ohjaus!$A$4:$B$20,2,FALSE)</f>
        <v>Säkkituoli</v>
      </c>
    </row>
    <row r="300" spans="1:8" x14ac:dyDescent="0.35">
      <c r="A300" t="s">
        <v>40</v>
      </c>
      <c r="B300">
        <v>2012</v>
      </c>
      <c r="C300">
        <v>5</v>
      </c>
      <c r="D300">
        <v>21179</v>
      </c>
      <c r="E300">
        <v>43</v>
      </c>
      <c r="F300">
        <v>4917.4399999999996</v>
      </c>
      <c r="G300">
        <v>2602.67</v>
      </c>
      <c r="H300" t="str">
        <f>VLOOKUP(myynnit[[#This Row],[TuoteID]],ohjaus!$A$4:$B$20,2,FALSE)</f>
        <v>Rahi</v>
      </c>
    </row>
    <row r="301" spans="1:8" x14ac:dyDescent="0.35">
      <c r="A301" t="s">
        <v>40</v>
      </c>
      <c r="B301">
        <v>2012</v>
      </c>
      <c r="C301">
        <v>5</v>
      </c>
      <c r="D301">
        <v>21260</v>
      </c>
      <c r="E301">
        <v>32</v>
      </c>
      <c r="F301">
        <v>5791.46</v>
      </c>
      <c r="G301">
        <v>1287.83</v>
      </c>
      <c r="H301" t="str">
        <f>VLOOKUP(myynnit[[#This Row],[TuoteID]],ohjaus!$A$4:$B$20,2,FALSE)</f>
        <v>Lepotuoli</v>
      </c>
    </row>
    <row r="302" spans="1:8" x14ac:dyDescent="0.35">
      <c r="A302" t="s">
        <v>40</v>
      </c>
      <c r="B302">
        <v>2012</v>
      </c>
      <c r="C302">
        <v>5</v>
      </c>
      <c r="D302">
        <v>22317</v>
      </c>
      <c r="E302">
        <v>12</v>
      </c>
      <c r="F302">
        <v>1188.31</v>
      </c>
      <c r="G302">
        <v>547.91</v>
      </c>
      <c r="H302" t="str">
        <f>VLOOKUP(myynnit[[#This Row],[TuoteID]],ohjaus!$A$4:$B$20,2,FALSE)</f>
        <v>Säkkituoli</v>
      </c>
    </row>
    <row r="303" spans="1:8" x14ac:dyDescent="0.35">
      <c r="A303" t="s">
        <v>40</v>
      </c>
      <c r="B303">
        <v>2012</v>
      </c>
      <c r="C303">
        <v>5</v>
      </c>
      <c r="D303">
        <v>22940</v>
      </c>
      <c r="E303">
        <v>119</v>
      </c>
      <c r="F303">
        <v>14134.35</v>
      </c>
      <c r="G303">
        <v>3307.06</v>
      </c>
      <c r="H303" t="str">
        <f>VLOOKUP(myynnit[[#This Row],[TuoteID]],ohjaus!$A$4:$B$20,2,FALSE)</f>
        <v>Pinnatuoli</v>
      </c>
    </row>
    <row r="304" spans="1:8" x14ac:dyDescent="0.35">
      <c r="A304" t="s">
        <v>40</v>
      </c>
      <c r="B304">
        <v>2012</v>
      </c>
      <c r="C304">
        <v>5</v>
      </c>
      <c r="D304">
        <v>23178</v>
      </c>
      <c r="E304">
        <v>137</v>
      </c>
      <c r="F304">
        <v>24547.47</v>
      </c>
      <c r="G304">
        <v>5906.1</v>
      </c>
      <c r="H304" t="str">
        <f>VLOOKUP(myynnit[[#This Row],[TuoteID]],ohjaus!$A$4:$B$20,2,FALSE)</f>
        <v>Pinnatuoli</v>
      </c>
    </row>
    <row r="305" spans="1:8" x14ac:dyDescent="0.35">
      <c r="A305" t="s">
        <v>40</v>
      </c>
      <c r="B305">
        <v>2012</v>
      </c>
      <c r="C305">
        <v>5</v>
      </c>
      <c r="D305">
        <v>23600</v>
      </c>
      <c r="E305">
        <v>625</v>
      </c>
      <c r="F305">
        <v>64517.42</v>
      </c>
      <c r="G305">
        <v>20069.22</v>
      </c>
      <c r="H305" t="str">
        <f>VLOOKUP(myynnit[[#This Row],[TuoteID]],ohjaus!$A$4:$B$20,2,FALSE)</f>
        <v>Pinnatuoli</v>
      </c>
    </row>
    <row r="306" spans="1:8" x14ac:dyDescent="0.35">
      <c r="A306" t="s">
        <v>40</v>
      </c>
      <c r="B306">
        <v>2012</v>
      </c>
      <c r="C306">
        <v>5</v>
      </c>
      <c r="D306">
        <v>23756</v>
      </c>
      <c r="E306">
        <v>98</v>
      </c>
      <c r="F306">
        <v>15711.49</v>
      </c>
      <c r="G306">
        <v>6151.75</v>
      </c>
      <c r="H306" t="str">
        <f>VLOOKUP(myynnit[[#This Row],[TuoteID]],ohjaus!$A$4:$B$20,2,FALSE)</f>
        <v>Pianotuoli</v>
      </c>
    </row>
    <row r="307" spans="1:8" x14ac:dyDescent="0.35">
      <c r="A307" t="s">
        <v>40</v>
      </c>
      <c r="B307">
        <v>2012</v>
      </c>
      <c r="C307">
        <v>5</v>
      </c>
      <c r="D307">
        <v>24326</v>
      </c>
      <c r="E307">
        <v>27</v>
      </c>
      <c r="F307">
        <v>3701.23</v>
      </c>
      <c r="G307">
        <v>1230.79</v>
      </c>
      <c r="H307" t="str">
        <f>VLOOKUP(myynnit[[#This Row],[TuoteID]],ohjaus!$A$4:$B$20,2,FALSE)</f>
        <v>Lepotuoli</v>
      </c>
    </row>
    <row r="308" spans="1:8" x14ac:dyDescent="0.35">
      <c r="A308" t="s">
        <v>39</v>
      </c>
      <c r="B308">
        <v>2012</v>
      </c>
      <c r="C308">
        <v>5</v>
      </c>
      <c r="D308">
        <v>12184</v>
      </c>
      <c r="E308">
        <v>121</v>
      </c>
      <c r="F308">
        <v>19533.77</v>
      </c>
      <c r="G308">
        <v>11572.38</v>
      </c>
      <c r="H308" t="str">
        <f>VLOOKUP(myynnit[[#This Row],[TuoteID]],ohjaus!$A$4:$B$20,2,FALSE)</f>
        <v>Rahi</v>
      </c>
    </row>
    <row r="309" spans="1:8" x14ac:dyDescent="0.35">
      <c r="A309" t="s">
        <v>39</v>
      </c>
      <c r="B309">
        <v>2012</v>
      </c>
      <c r="C309">
        <v>5</v>
      </c>
      <c r="D309">
        <v>12622</v>
      </c>
      <c r="E309">
        <v>47</v>
      </c>
      <c r="F309">
        <v>13047.17</v>
      </c>
      <c r="G309">
        <v>8555.69</v>
      </c>
      <c r="H309" t="str">
        <f>VLOOKUP(myynnit[[#This Row],[TuoteID]],ohjaus!$A$4:$B$20,2,FALSE)</f>
        <v>Pianotuoli</v>
      </c>
    </row>
    <row r="310" spans="1:8" x14ac:dyDescent="0.35">
      <c r="A310" t="s">
        <v>39</v>
      </c>
      <c r="B310">
        <v>2012</v>
      </c>
      <c r="C310">
        <v>5</v>
      </c>
      <c r="D310">
        <v>13527</v>
      </c>
      <c r="E310">
        <v>298</v>
      </c>
      <c r="F310">
        <v>45520.26</v>
      </c>
      <c r="G310">
        <v>11351.65</v>
      </c>
      <c r="H310" t="str">
        <f>VLOOKUP(myynnit[[#This Row],[TuoteID]],ohjaus!$A$4:$B$20,2,FALSE)</f>
        <v>Pinnatuoli</v>
      </c>
    </row>
    <row r="311" spans="1:8" x14ac:dyDescent="0.35">
      <c r="A311" t="s">
        <v>39</v>
      </c>
      <c r="B311">
        <v>2012</v>
      </c>
      <c r="C311">
        <v>5</v>
      </c>
      <c r="D311">
        <v>13618</v>
      </c>
      <c r="E311">
        <v>20</v>
      </c>
      <c r="F311">
        <v>7906.19</v>
      </c>
      <c r="G311">
        <v>4105.37</v>
      </c>
      <c r="H311" t="str">
        <f>VLOOKUP(myynnit[[#This Row],[TuoteID]],ohjaus!$A$4:$B$20,2,FALSE)</f>
        <v>Pianotuoli</v>
      </c>
    </row>
    <row r="312" spans="1:8" x14ac:dyDescent="0.35">
      <c r="A312" t="s">
        <v>39</v>
      </c>
      <c r="B312">
        <v>2012</v>
      </c>
      <c r="C312">
        <v>5</v>
      </c>
      <c r="D312">
        <v>16024</v>
      </c>
      <c r="E312">
        <v>146</v>
      </c>
      <c r="F312">
        <v>67121.429999999993</v>
      </c>
      <c r="G312">
        <v>18321.37</v>
      </c>
      <c r="H312" t="str">
        <f>VLOOKUP(myynnit[[#This Row],[TuoteID]],ohjaus!$A$4:$B$20,2,FALSE)</f>
        <v>Työtuoli</v>
      </c>
    </row>
    <row r="313" spans="1:8" x14ac:dyDescent="0.35">
      <c r="A313" t="s">
        <v>39</v>
      </c>
      <c r="B313">
        <v>2012</v>
      </c>
      <c r="C313">
        <v>5</v>
      </c>
      <c r="D313">
        <v>16650</v>
      </c>
      <c r="E313">
        <v>17</v>
      </c>
      <c r="F313">
        <v>3068.78</v>
      </c>
      <c r="G313">
        <v>1913.36</v>
      </c>
      <c r="H313" t="str">
        <f>VLOOKUP(myynnit[[#This Row],[TuoteID]],ohjaus!$A$4:$B$20,2,FALSE)</f>
        <v>Rahi</v>
      </c>
    </row>
    <row r="314" spans="1:8" x14ac:dyDescent="0.35">
      <c r="A314" t="s">
        <v>39</v>
      </c>
      <c r="B314">
        <v>2012</v>
      </c>
      <c r="C314">
        <v>5</v>
      </c>
      <c r="D314">
        <v>17892</v>
      </c>
      <c r="E314">
        <v>82</v>
      </c>
      <c r="F314">
        <v>10870.3</v>
      </c>
      <c r="G314">
        <v>3763.83</v>
      </c>
      <c r="H314" t="str">
        <f>VLOOKUP(myynnit[[#This Row],[TuoteID]],ohjaus!$A$4:$B$20,2,FALSE)</f>
        <v>Lepotuoli</v>
      </c>
    </row>
    <row r="315" spans="1:8" x14ac:dyDescent="0.35">
      <c r="A315" t="s">
        <v>39</v>
      </c>
      <c r="B315">
        <v>2012</v>
      </c>
      <c r="C315">
        <v>5</v>
      </c>
      <c r="D315">
        <v>18342</v>
      </c>
      <c r="E315">
        <v>190</v>
      </c>
      <c r="F315">
        <v>162530.71</v>
      </c>
      <c r="G315">
        <v>48220.83</v>
      </c>
      <c r="H315" t="str">
        <f>VLOOKUP(myynnit[[#This Row],[TuoteID]],ohjaus!$A$4:$B$20,2,FALSE)</f>
        <v>Työtuoli</v>
      </c>
    </row>
    <row r="316" spans="1:8" x14ac:dyDescent="0.35">
      <c r="A316" t="s">
        <v>39</v>
      </c>
      <c r="B316">
        <v>2012</v>
      </c>
      <c r="C316">
        <v>5</v>
      </c>
      <c r="D316">
        <v>20177</v>
      </c>
      <c r="E316">
        <v>78</v>
      </c>
      <c r="F316">
        <v>8604.7199999999993</v>
      </c>
      <c r="G316">
        <v>4214.6899999999996</v>
      </c>
      <c r="H316" t="str">
        <f>VLOOKUP(myynnit[[#This Row],[TuoteID]],ohjaus!$A$4:$B$20,2,FALSE)</f>
        <v>Säkkituoli</v>
      </c>
    </row>
    <row r="317" spans="1:8" x14ac:dyDescent="0.35">
      <c r="A317" t="s">
        <v>39</v>
      </c>
      <c r="B317">
        <v>2012</v>
      </c>
      <c r="C317">
        <v>5</v>
      </c>
      <c r="D317">
        <v>21179</v>
      </c>
      <c r="E317">
        <v>72</v>
      </c>
      <c r="F317">
        <v>10549.02</v>
      </c>
      <c r="G317">
        <v>7451.84</v>
      </c>
      <c r="H317" t="str">
        <f>VLOOKUP(myynnit[[#This Row],[TuoteID]],ohjaus!$A$4:$B$20,2,FALSE)</f>
        <v>Rahi</v>
      </c>
    </row>
    <row r="318" spans="1:8" x14ac:dyDescent="0.35">
      <c r="A318" t="s">
        <v>39</v>
      </c>
      <c r="B318">
        <v>2012</v>
      </c>
      <c r="C318">
        <v>5</v>
      </c>
      <c r="D318">
        <v>21260</v>
      </c>
      <c r="E318">
        <v>47</v>
      </c>
      <c r="F318">
        <v>8722.2999999999993</v>
      </c>
      <c r="G318">
        <v>3005.27</v>
      </c>
      <c r="H318" t="str">
        <f>VLOOKUP(myynnit[[#This Row],[TuoteID]],ohjaus!$A$4:$B$20,2,FALSE)</f>
        <v>Lepotuoli</v>
      </c>
    </row>
    <row r="319" spans="1:8" x14ac:dyDescent="0.35">
      <c r="A319" t="s">
        <v>39</v>
      </c>
      <c r="B319">
        <v>2012</v>
      </c>
      <c r="C319">
        <v>5</v>
      </c>
      <c r="D319">
        <v>22317</v>
      </c>
      <c r="E319">
        <v>32</v>
      </c>
      <c r="F319">
        <v>3368.03</v>
      </c>
      <c r="G319">
        <v>1743.93</v>
      </c>
      <c r="H319" t="str">
        <f>VLOOKUP(myynnit[[#This Row],[TuoteID]],ohjaus!$A$4:$B$20,2,FALSE)</f>
        <v>Säkkituoli</v>
      </c>
    </row>
    <row r="320" spans="1:8" x14ac:dyDescent="0.35">
      <c r="A320" t="s">
        <v>39</v>
      </c>
      <c r="B320">
        <v>2012</v>
      </c>
      <c r="C320">
        <v>5</v>
      </c>
      <c r="D320">
        <v>22940</v>
      </c>
      <c r="E320">
        <v>391</v>
      </c>
      <c r="F320">
        <v>46730.44</v>
      </c>
      <c r="G320">
        <v>11076.52</v>
      </c>
      <c r="H320" t="str">
        <f>VLOOKUP(myynnit[[#This Row],[TuoteID]],ohjaus!$A$4:$B$20,2,FALSE)</f>
        <v>Pinnatuoli</v>
      </c>
    </row>
    <row r="321" spans="1:8" x14ac:dyDescent="0.35">
      <c r="A321" t="s">
        <v>39</v>
      </c>
      <c r="B321">
        <v>2012</v>
      </c>
      <c r="C321">
        <v>5</v>
      </c>
      <c r="D321">
        <v>23178</v>
      </c>
      <c r="E321">
        <v>109</v>
      </c>
      <c r="F321">
        <v>17919.72</v>
      </c>
      <c r="G321">
        <v>4129.75</v>
      </c>
      <c r="H321" t="str">
        <f>VLOOKUP(myynnit[[#This Row],[TuoteID]],ohjaus!$A$4:$B$20,2,FALSE)</f>
        <v>Pinnatuoli</v>
      </c>
    </row>
    <row r="322" spans="1:8" x14ac:dyDescent="0.35">
      <c r="A322" t="s">
        <v>39</v>
      </c>
      <c r="B322">
        <v>2012</v>
      </c>
      <c r="C322">
        <v>5</v>
      </c>
      <c r="D322">
        <v>23600</v>
      </c>
      <c r="E322">
        <v>926</v>
      </c>
      <c r="F322">
        <v>100458.2</v>
      </c>
      <c r="G322">
        <v>28715.11</v>
      </c>
      <c r="H322" t="str">
        <f>VLOOKUP(myynnit[[#This Row],[TuoteID]],ohjaus!$A$4:$B$20,2,FALSE)</f>
        <v>Pinnatuoli</v>
      </c>
    </row>
    <row r="323" spans="1:8" x14ac:dyDescent="0.35">
      <c r="A323" t="s">
        <v>39</v>
      </c>
      <c r="B323">
        <v>2012</v>
      </c>
      <c r="C323">
        <v>5</v>
      </c>
      <c r="D323">
        <v>23756</v>
      </c>
      <c r="E323">
        <v>133</v>
      </c>
      <c r="F323">
        <v>19724.7</v>
      </c>
      <c r="G323">
        <v>11814.31</v>
      </c>
      <c r="H323" t="str">
        <f>VLOOKUP(myynnit[[#This Row],[TuoteID]],ohjaus!$A$4:$B$20,2,FALSE)</f>
        <v>Pianotuoli</v>
      </c>
    </row>
    <row r="324" spans="1:8" x14ac:dyDescent="0.35">
      <c r="A324" t="s">
        <v>39</v>
      </c>
      <c r="B324">
        <v>2012</v>
      </c>
      <c r="C324">
        <v>5</v>
      </c>
      <c r="D324">
        <v>24326</v>
      </c>
      <c r="E324">
        <v>105</v>
      </c>
      <c r="F324">
        <v>14246.33</v>
      </c>
      <c r="G324">
        <v>4852.4799999999996</v>
      </c>
      <c r="H324" t="str">
        <f>VLOOKUP(myynnit[[#This Row],[TuoteID]],ohjaus!$A$4:$B$20,2,FALSE)</f>
        <v>Lepotuoli</v>
      </c>
    </row>
    <row r="325" spans="1:8" x14ac:dyDescent="0.35">
      <c r="A325" t="s">
        <v>38</v>
      </c>
      <c r="B325">
        <v>2012</v>
      </c>
      <c r="C325">
        <v>5</v>
      </c>
      <c r="D325">
        <v>12184</v>
      </c>
      <c r="E325">
        <v>89</v>
      </c>
      <c r="F325">
        <v>12508.28</v>
      </c>
      <c r="G325">
        <v>7965.56</v>
      </c>
      <c r="H325" t="str">
        <f>VLOOKUP(myynnit[[#This Row],[TuoteID]],ohjaus!$A$4:$B$20,2,FALSE)</f>
        <v>Rahi</v>
      </c>
    </row>
    <row r="326" spans="1:8" x14ac:dyDescent="0.35">
      <c r="A326" t="s">
        <v>38</v>
      </c>
      <c r="B326">
        <v>2012</v>
      </c>
      <c r="C326">
        <v>5</v>
      </c>
      <c r="D326">
        <v>12622</v>
      </c>
      <c r="E326">
        <v>25</v>
      </c>
      <c r="F326">
        <v>5467.06</v>
      </c>
      <c r="G326">
        <v>2655.66</v>
      </c>
      <c r="H326" t="str">
        <f>VLOOKUP(myynnit[[#This Row],[TuoteID]],ohjaus!$A$4:$B$20,2,FALSE)</f>
        <v>Pianotuoli</v>
      </c>
    </row>
    <row r="327" spans="1:8" x14ac:dyDescent="0.35">
      <c r="A327" t="s">
        <v>38</v>
      </c>
      <c r="B327">
        <v>2012</v>
      </c>
      <c r="C327">
        <v>5</v>
      </c>
      <c r="D327">
        <v>13527</v>
      </c>
      <c r="E327">
        <v>606</v>
      </c>
      <c r="F327">
        <v>90360.2</v>
      </c>
      <c r="G327">
        <v>17775.849999999999</v>
      </c>
      <c r="H327" t="str">
        <f>VLOOKUP(myynnit[[#This Row],[TuoteID]],ohjaus!$A$4:$B$20,2,FALSE)</f>
        <v>Pinnatuoli</v>
      </c>
    </row>
    <row r="328" spans="1:8" x14ac:dyDescent="0.35">
      <c r="A328" t="s">
        <v>38</v>
      </c>
      <c r="B328">
        <v>2012</v>
      </c>
      <c r="C328">
        <v>5</v>
      </c>
      <c r="D328">
        <v>13618</v>
      </c>
      <c r="E328">
        <v>10</v>
      </c>
      <c r="F328">
        <v>4365.5600000000004</v>
      </c>
      <c r="G328">
        <v>2243.87</v>
      </c>
      <c r="H328" t="str">
        <f>VLOOKUP(myynnit[[#This Row],[TuoteID]],ohjaus!$A$4:$B$20,2,FALSE)</f>
        <v>Pianotuoli</v>
      </c>
    </row>
    <row r="329" spans="1:8" x14ac:dyDescent="0.35">
      <c r="A329" t="s">
        <v>38</v>
      </c>
      <c r="B329">
        <v>2012</v>
      </c>
      <c r="C329">
        <v>5</v>
      </c>
      <c r="D329">
        <v>16024</v>
      </c>
      <c r="E329">
        <v>205</v>
      </c>
      <c r="F329">
        <v>80046.98</v>
      </c>
      <c r="G329">
        <v>21287.51</v>
      </c>
      <c r="H329" t="str">
        <f>VLOOKUP(myynnit[[#This Row],[TuoteID]],ohjaus!$A$4:$B$20,2,FALSE)</f>
        <v>Työtuoli</v>
      </c>
    </row>
    <row r="330" spans="1:8" x14ac:dyDescent="0.35">
      <c r="A330" t="s">
        <v>38</v>
      </c>
      <c r="B330">
        <v>2012</v>
      </c>
      <c r="C330">
        <v>5</v>
      </c>
      <c r="D330">
        <v>16650</v>
      </c>
      <c r="E330">
        <v>59</v>
      </c>
      <c r="F330">
        <v>8531.69</v>
      </c>
      <c r="G330">
        <v>4908.22</v>
      </c>
      <c r="H330" t="str">
        <f>VLOOKUP(myynnit[[#This Row],[TuoteID]],ohjaus!$A$4:$B$20,2,FALSE)</f>
        <v>Rahi</v>
      </c>
    </row>
    <row r="331" spans="1:8" x14ac:dyDescent="0.35">
      <c r="A331" t="s">
        <v>38</v>
      </c>
      <c r="B331">
        <v>2012</v>
      </c>
      <c r="C331">
        <v>5</v>
      </c>
      <c r="D331">
        <v>17892</v>
      </c>
      <c r="E331">
        <v>87</v>
      </c>
      <c r="F331">
        <v>13192.71</v>
      </c>
      <c r="G331">
        <v>3137.78</v>
      </c>
      <c r="H331" t="str">
        <f>VLOOKUP(myynnit[[#This Row],[TuoteID]],ohjaus!$A$4:$B$20,2,FALSE)</f>
        <v>Lepotuoli</v>
      </c>
    </row>
    <row r="332" spans="1:8" x14ac:dyDescent="0.35">
      <c r="A332" t="s">
        <v>38</v>
      </c>
      <c r="B332">
        <v>2012</v>
      </c>
      <c r="C332">
        <v>5</v>
      </c>
      <c r="D332">
        <v>18342</v>
      </c>
      <c r="E332">
        <v>213</v>
      </c>
      <c r="F332">
        <v>182933.2</v>
      </c>
      <c r="G332">
        <v>51005.57</v>
      </c>
      <c r="H332" t="str">
        <f>VLOOKUP(myynnit[[#This Row],[TuoteID]],ohjaus!$A$4:$B$20,2,FALSE)</f>
        <v>Työtuoli</v>
      </c>
    </row>
    <row r="333" spans="1:8" x14ac:dyDescent="0.35">
      <c r="A333" t="s">
        <v>38</v>
      </c>
      <c r="B333">
        <v>2012</v>
      </c>
      <c r="C333">
        <v>5</v>
      </c>
      <c r="D333">
        <v>20177</v>
      </c>
      <c r="E333">
        <v>41</v>
      </c>
      <c r="F333">
        <v>4716.6400000000003</v>
      </c>
      <c r="G333">
        <v>1541.42</v>
      </c>
      <c r="H333" t="str">
        <f>VLOOKUP(myynnit[[#This Row],[TuoteID]],ohjaus!$A$4:$B$20,2,FALSE)</f>
        <v>Säkkituoli</v>
      </c>
    </row>
    <row r="334" spans="1:8" x14ac:dyDescent="0.35">
      <c r="A334" t="s">
        <v>38</v>
      </c>
      <c r="B334">
        <v>2012</v>
      </c>
      <c r="C334">
        <v>5</v>
      </c>
      <c r="D334">
        <v>21179</v>
      </c>
      <c r="E334">
        <v>59</v>
      </c>
      <c r="F334">
        <v>8601.64</v>
      </c>
      <c r="G334">
        <v>5529.98</v>
      </c>
      <c r="H334" t="str">
        <f>VLOOKUP(myynnit[[#This Row],[TuoteID]],ohjaus!$A$4:$B$20,2,FALSE)</f>
        <v>Rahi</v>
      </c>
    </row>
    <row r="335" spans="1:8" x14ac:dyDescent="0.35">
      <c r="A335" t="s">
        <v>38</v>
      </c>
      <c r="B335">
        <v>2012</v>
      </c>
      <c r="C335">
        <v>5</v>
      </c>
      <c r="D335">
        <v>21260</v>
      </c>
      <c r="E335">
        <v>72</v>
      </c>
      <c r="F335">
        <v>13684.94</v>
      </c>
      <c r="G335">
        <v>3968.8</v>
      </c>
      <c r="H335" t="str">
        <f>VLOOKUP(myynnit[[#This Row],[TuoteID]],ohjaus!$A$4:$B$20,2,FALSE)</f>
        <v>Lepotuoli</v>
      </c>
    </row>
    <row r="336" spans="1:8" x14ac:dyDescent="0.35">
      <c r="A336" t="s">
        <v>38</v>
      </c>
      <c r="B336">
        <v>2012</v>
      </c>
      <c r="C336">
        <v>5</v>
      </c>
      <c r="D336">
        <v>22317</v>
      </c>
      <c r="E336">
        <v>66</v>
      </c>
      <c r="F336">
        <v>6398.36</v>
      </c>
      <c r="G336">
        <v>2760.16</v>
      </c>
      <c r="H336" t="str">
        <f>VLOOKUP(myynnit[[#This Row],[TuoteID]],ohjaus!$A$4:$B$20,2,FALSE)</f>
        <v>Säkkituoli</v>
      </c>
    </row>
    <row r="337" spans="1:8" x14ac:dyDescent="0.35">
      <c r="A337" t="s">
        <v>38</v>
      </c>
      <c r="B337">
        <v>2012</v>
      </c>
      <c r="C337">
        <v>5</v>
      </c>
      <c r="D337">
        <v>22940</v>
      </c>
      <c r="E337">
        <v>288</v>
      </c>
      <c r="F337">
        <v>34621.01</v>
      </c>
      <c r="G337">
        <v>8009</v>
      </c>
      <c r="H337" t="str">
        <f>VLOOKUP(myynnit[[#This Row],[TuoteID]],ohjaus!$A$4:$B$20,2,FALSE)</f>
        <v>Pinnatuoli</v>
      </c>
    </row>
    <row r="338" spans="1:8" x14ac:dyDescent="0.35">
      <c r="A338" t="s">
        <v>38</v>
      </c>
      <c r="B338">
        <v>2012</v>
      </c>
      <c r="C338">
        <v>5</v>
      </c>
      <c r="D338">
        <v>23178</v>
      </c>
      <c r="E338">
        <v>119</v>
      </c>
      <c r="F338">
        <v>21661.22</v>
      </c>
      <c r="G338">
        <v>4504.97</v>
      </c>
      <c r="H338" t="str">
        <f>VLOOKUP(myynnit[[#This Row],[TuoteID]],ohjaus!$A$4:$B$20,2,FALSE)</f>
        <v>Pinnatuoli</v>
      </c>
    </row>
    <row r="339" spans="1:8" x14ac:dyDescent="0.35">
      <c r="A339" t="s">
        <v>38</v>
      </c>
      <c r="B339">
        <v>2012</v>
      </c>
      <c r="C339">
        <v>5</v>
      </c>
      <c r="D339">
        <v>23600</v>
      </c>
      <c r="E339">
        <v>1003</v>
      </c>
      <c r="F339">
        <v>111146.29</v>
      </c>
      <c r="G339">
        <v>23229.65</v>
      </c>
      <c r="H339" t="str">
        <f>VLOOKUP(myynnit[[#This Row],[TuoteID]],ohjaus!$A$4:$B$20,2,FALSE)</f>
        <v>Pinnatuoli</v>
      </c>
    </row>
    <row r="340" spans="1:8" x14ac:dyDescent="0.35">
      <c r="A340" t="s">
        <v>38</v>
      </c>
      <c r="B340">
        <v>2012</v>
      </c>
      <c r="C340">
        <v>5</v>
      </c>
      <c r="D340">
        <v>23756</v>
      </c>
      <c r="E340">
        <v>129</v>
      </c>
      <c r="F340">
        <v>20135.740000000002</v>
      </c>
      <c r="G340">
        <v>9010.39</v>
      </c>
      <c r="H340" t="str">
        <f>VLOOKUP(myynnit[[#This Row],[TuoteID]],ohjaus!$A$4:$B$20,2,FALSE)</f>
        <v>Pianotuoli</v>
      </c>
    </row>
    <row r="341" spans="1:8" x14ac:dyDescent="0.35">
      <c r="A341" t="s">
        <v>38</v>
      </c>
      <c r="B341">
        <v>2012</v>
      </c>
      <c r="C341">
        <v>5</v>
      </c>
      <c r="D341">
        <v>24326</v>
      </c>
      <c r="E341">
        <v>66</v>
      </c>
      <c r="F341">
        <v>8445.2199999999993</v>
      </c>
      <c r="G341">
        <v>1824.98</v>
      </c>
      <c r="H341" t="str">
        <f>VLOOKUP(myynnit[[#This Row],[TuoteID]],ohjaus!$A$4:$B$20,2,FALSE)</f>
        <v>Lepotuoli</v>
      </c>
    </row>
    <row r="342" spans="1:8" x14ac:dyDescent="0.35">
      <c r="A342" t="s">
        <v>37</v>
      </c>
      <c r="B342">
        <v>2012</v>
      </c>
      <c r="C342">
        <v>6</v>
      </c>
      <c r="D342">
        <v>12184</v>
      </c>
      <c r="E342">
        <v>85</v>
      </c>
      <c r="F342">
        <v>8921.76</v>
      </c>
      <c r="G342">
        <v>4457.29</v>
      </c>
      <c r="H342" t="str">
        <f>VLOOKUP(myynnit[[#This Row],[TuoteID]],ohjaus!$A$4:$B$20,2,FALSE)</f>
        <v>Rahi</v>
      </c>
    </row>
    <row r="343" spans="1:8" x14ac:dyDescent="0.35">
      <c r="A343" t="s">
        <v>37</v>
      </c>
      <c r="B343">
        <v>2012</v>
      </c>
      <c r="C343">
        <v>6</v>
      </c>
      <c r="D343">
        <v>12622</v>
      </c>
      <c r="E343">
        <v>55</v>
      </c>
      <c r="F343">
        <v>13039.95</v>
      </c>
      <c r="G343">
        <v>5749.38</v>
      </c>
      <c r="H343" t="str">
        <f>VLOOKUP(myynnit[[#This Row],[TuoteID]],ohjaus!$A$4:$B$20,2,FALSE)</f>
        <v>Pianotuoli</v>
      </c>
    </row>
    <row r="344" spans="1:8" x14ac:dyDescent="0.35">
      <c r="A344" t="s">
        <v>37</v>
      </c>
      <c r="B344">
        <v>2012</v>
      </c>
      <c r="C344">
        <v>6</v>
      </c>
      <c r="D344">
        <v>13527</v>
      </c>
      <c r="E344">
        <v>623</v>
      </c>
      <c r="F344">
        <v>91888.66</v>
      </c>
      <c r="G344">
        <v>19875.57</v>
      </c>
      <c r="H344" t="str">
        <f>VLOOKUP(myynnit[[#This Row],[TuoteID]],ohjaus!$A$4:$B$20,2,FALSE)</f>
        <v>Pinnatuoli</v>
      </c>
    </row>
    <row r="345" spans="1:8" x14ac:dyDescent="0.35">
      <c r="A345" t="s">
        <v>37</v>
      </c>
      <c r="B345">
        <v>2012</v>
      </c>
      <c r="C345">
        <v>6</v>
      </c>
      <c r="D345">
        <v>13618</v>
      </c>
      <c r="E345">
        <v>27</v>
      </c>
      <c r="F345">
        <v>11710.54</v>
      </c>
      <c r="G345">
        <v>6228.91</v>
      </c>
      <c r="H345" t="str">
        <f>VLOOKUP(myynnit[[#This Row],[TuoteID]],ohjaus!$A$4:$B$20,2,FALSE)</f>
        <v>Pianotuoli</v>
      </c>
    </row>
    <row r="346" spans="1:8" x14ac:dyDescent="0.35">
      <c r="A346" t="s">
        <v>37</v>
      </c>
      <c r="B346">
        <v>2012</v>
      </c>
      <c r="C346">
        <v>6</v>
      </c>
      <c r="D346">
        <v>16024</v>
      </c>
      <c r="E346">
        <v>210</v>
      </c>
      <c r="F346">
        <v>81039.98</v>
      </c>
      <c r="G346">
        <v>19506.38</v>
      </c>
      <c r="H346" t="str">
        <f>VLOOKUP(myynnit[[#This Row],[TuoteID]],ohjaus!$A$4:$B$20,2,FALSE)</f>
        <v>Työtuoli</v>
      </c>
    </row>
    <row r="347" spans="1:8" x14ac:dyDescent="0.35">
      <c r="A347" t="s">
        <v>37</v>
      </c>
      <c r="B347">
        <v>2012</v>
      </c>
      <c r="C347">
        <v>6</v>
      </c>
      <c r="D347">
        <v>16650</v>
      </c>
      <c r="E347">
        <v>31</v>
      </c>
      <c r="F347">
        <v>4606.67</v>
      </c>
      <c r="G347">
        <v>2007.2</v>
      </c>
      <c r="H347" t="str">
        <f>VLOOKUP(myynnit[[#This Row],[TuoteID]],ohjaus!$A$4:$B$20,2,FALSE)</f>
        <v>Rahi</v>
      </c>
    </row>
    <row r="348" spans="1:8" x14ac:dyDescent="0.35">
      <c r="A348" t="s">
        <v>37</v>
      </c>
      <c r="B348">
        <v>2012</v>
      </c>
      <c r="C348">
        <v>6</v>
      </c>
      <c r="D348">
        <v>17892</v>
      </c>
      <c r="E348">
        <v>161</v>
      </c>
      <c r="F348">
        <v>24284.71</v>
      </c>
      <c r="G348">
        <v>7050.8</v>
      </c>
      <c r="H348" t="str">
        <f>VLOOKUP(myynnit[[#This Row],[TuoteID]],ohjaus!$A$4:$B$20,2,FALSE)</f>
        <v>Lepotuoli</v>
      </c>
    </row>
    <row r="349" spans="1:8" x14ac:dyDescent="0.35">
      <c r="A349" t="s">
        <v>37</v>
      </c>
      <c r="B349">
        <v>2012</v>
      </c>
      <c r="C349">
        <v>6</v>
      </c>
      <c r="D349">
        <v>18342</v>
      </c>
      <c r="E349">
        <v>219</v>
      </c>
      <c r="F349">
        <v>181275.45</v>
      </c>
      <c r="G349">
        <v>52912.25</v>
      </c>
      <c r="H349" t="str">
        <f>VLOOKUP(myynnit[[#This Row],[TuoteID]],ohjaus!$A$4:$B$20,2,FALSE)</f>
        <v>Työtuoli</v>
      </c>
    </row>
    <row r="350" spans="1:8" x14ac:dyDescent="0.35">
      <c r="A350" t="s">
        <v>37</v>
      </c>
      <c r="B350">
        <v>2012</v>
      </c>
      <c r="C350">
        <v>6</v>
      </c>
      <c r="D350">
        <v>20177</v>
      </c>
      <c r="E350">
        <v>124</v>
      </c>
      <c r="F350">
        <v>11676.7</v>
      </c>
      <c r="G350">
        <v>4933.33</v>
      </c>
      <c r="H350" t="str">
        <f>VLOOKUP(myynnit[[#This Row],[TuoteID]],ohjaus!$A$4:$B$20,2,FALSE)</f>
        <v>Säkkituoli</v>
      </c>
    </row>
    <row r="351" spans="1:8" x14ac:dyDescent="0.35">
      <c r="A351" t="s">
        <v>37</v>
      </c>
      <c r="B351">
        <v>2012</v>
      </c>
      <c r="C351">
        <v>6</v>
      </c>
      <c r="D351">
        <v>21179</v>
      </c>
      <c r="E351">
        <v>74</v>
      </c>
      <c r="F351">
        <v>10286.83</v>
      </c>
      <c r="G351">
        <v>4837.8599999999997</v>
      </c>
      <c r="H351" t="str">
        <f>VLOOKUP(myynnit[[#This Row],[TuoteID]],ohjaus!$A$4:$B$20,2,FALSE)</f>
        <v>Rahi</v>
      </c>
    </row>
    <row r="352" spans="1:8" x14ac:dyDescent="0.35">
      <c r="A352" t="s">
        <v>37</v>
      </c>
      <c r="B352">
        <v>2012</v>
      </c>
      <c r="C352">
        <v>6</v>
      </c>
      <c r="D352">
        <v>21260</v>
      </c>
      <c r="E352">
        <v>88</v>
      </c>
      <c r="F352">
        <v>16603.14</v>
      </c>
      <c r="G352">
        <v>4306.78</v>
      </c>
      <c r="H352" t="str">
        <f>VLOOKUP(myynnit[[#This Row],[TuoteID]],ohjaus!$A$4:$B$20,2,FALSE)</f>
        <v>Lepotuoli</v>
      </c>
    </row>
    <row r="353" spans="1:8" x14ac:dyDescent="0.35">
      <c r="A353" t="s">
        <v>37</v>
      </c>
      <c r="B353">
        <v>2012</v>
      </c>
      <c r="C353">
        <v>6</v>
      </c>
      <c r="D353">
        <v>22317</v>
      </c>
      <c r="E353">
        <v>75</v>
      </c>
      <c r="F353">
        <v>6199.91</v>
      </c>
      <c r="G353">
        <v>2055.44</v>
      </c>
      <c r="H353" t="str">
        <f>VLOOKUP(myynnit[[#This Row],[TuoteID]],ohjaus!$A$4:$B$20,2,FALSE)</f>
        <v>Säkkituoli</v>
      </c>
    </row>
    <row r="354" spans="1:8" x14ac:dyDescent="0.35">
      <c r="A354" t="s">
        <v>37</v>
      </c>
      <c r="B354">
        <v>2012</v>
      </c>
      <c r="C354">
        <v>6</v>
      </c>
      <c r="D354">
        <v>22940</v>
      </c>
      <c r="E354">
        <v>741</v>
      </c>
      <c r="F354">
        <v>89324.75</v>
      </c>
      <c r="G354">
        <v>18710.21</v>
      </c>
      <c r="H354" t="str">
        <f>VLOOKUP(myynnit[[#This Row],[TuoteID]],ohjaus!$A$4:$B$20,2,FALSE)</f>
        <v>Pinnatuoli</v>
      </c>
    </row>
    <row r="355" spans="1:8" x14ac:dyDescent="0.35">
      <c r="A355" t="s">
        <v>37</v>
      </c>
      <c r="B355">
        <v>2012</v>
      </c>
      <c r="C355">
        <v>6</v>
      </c>
      <c r="D355">
        <v>23178</v>
      </c>
      <c r="E355">
        <v>269</v>
      </c>
      <c r="F355">
        <v>43323.8</v>
      </c>
      <c r="G355">
        <v>7529.46</v>
      </c>
      <c r="H355" t="str">
        <f>VLOOKUP(myynnit[[#This Row],[TuoteID]],ohjaus!$A$4:$B$20,2,FALSE)</f>
        <v>Pinnatuoli</v>
      </c>
    </row>
    <row r="356" spans="1:8" x14ac:dyDescent="0.35">
      <c r="A356" t="s">
        <v>37</v>
      </c>
      <c r="B356">
        <v>2012</v>
      </c>
      <c r="C356">
        <v>6</v>
      </c>
      <c r="D356">
        <v>23600</v>
      </c>
      <c r="E356">
        <v>1416</v>
      </c>
      <c r="F356">
        <v>149280.34</v>
      </c>
      <c r="G356">
        <v>36782.980000000003</v>
      </c>
      <c r="H356" t="str">
        <f>VLOOKUP(myynnit[[#This Row],[TuoteID]],ohjaus!$A$4:$B$20,2,FALSE)</f>
        <v>Pinnatuoli</v>
      </c>
    </row>
    <row r="357" spans="1:8" x14ac:dyDescent="0.35">
      <c r="A357" t="s">
        <v>37</v>
      </c>
      <c r="B357">
        <v>2012</v>
      </c>
      <c r="C357">
        <v>6</v>
      </c>
      <c r="D357">
        <v>23756</v>
      </c>
      <c r="E357">
        <v>54</v>
      </c>
      <c r="F357">
        <v>10279.56</v>
      </c>
      <c r="G357">
        <v>5286.87</v>
      </c>
      <c r="H357" t="str">
        <f>VLOOKUP(myynnit[[#This Row],[TuoteID]],ohjaus!$A$4:$B$20,2,FALSE)</f>
        <v>Pianotuoli</v>
      </c>
    </row>
    <row r="358" spans="1:8" x14ac:dyDescent="0.35">
      <c r="A358" t="s">
        <v>37</v>
      </c>
      <c r="B358">
        <v>2012</v>
      </c>
      <c r="C358">
        <v>6</v>
      </c>
      <c r="D358">
        <v>24326</v>
      </c>
      <c r="E358">
        <v>136</v>
      </c>
      <c r="F358">
        <v>20596.55</v>
      </c>
      <c r="G358">
        <v>6034.88</v>
      </c>
      <c r="H358" t="str">
        <f>VLOOKUP(myynnit[[#This Row],[TuoteID]],ohjaus!$A$4:$B$20,2,FALSE)</f>
        <v>Lepotuoli</v>
      </c>
    </row>
    <row r="359" spans="1:8" x14ac:dyDescent="0.35">
      <c r="A359" t="s">
        <v>40</v>
      </c>
      <c r="B359">
        <v>2012</v>
      </c>
      <c r="C359">
        <v>6</v>
      </c>
      <c r="D359">
        <v>12184</v>
      </c>
      <c r="E359">
        <v>31</v>
      </c>
      <c r="F359">
        <v>3267.53</v>
      </c>
      <c r="G359">
        <v>1850.03</v>
      </c>
      <c r="H359" t="str">
        <f>VLOOKUP(myynnit[[#This Row],[TuoteID]],ohjaus!$A$4:$B$20,2,FALSE)</f>
        <v>Rahi</v>
      </c>
    </row>
    <row r="360" spans="1:8" x14ac:dyDescent="0.35">
      <c r="A360" t="s">
        <v>40</v>
      </c>
      <c r="B360">
        <v>2012</v>
      </c>
      <c r="C360">
        <v>6</v>
      </c>
      <c r="D360">
        <v>12622</v>
      </c>
      <c r="E360">
        <v>19</v>
      </c>
      <c r="F360">
        <v>4970.3999999999996</v>
      </c>
      <c r="G360">
        <v>2143.9499999999998</v>
      </c>
      <c r="H360" t="str">
        <f>VLOOKUP(myynnit[[#This Row],[TuoteID]],ohjaus!$A$4:$B$20,2,FALSE)</f>
        <v>Pianotuoli</v>
      </c>
    </row>
    <row r="361" spans="1:8" x14ac:dyDescent="0.35">
      <c r="A361" t="s">
        <v>40</v>
      </c>
      <c r="B361">
        <v>2012</v>
      </c>
      <c r="C361">
        <v>6</v>
      </c>
      <c r="D361">
        <v>13527</v>
      </c>
      <c r="E361">
        <v>359</v>
      </c>
      <c r="F361">
        <v>59121.61</v>
      </c>
      <c r="G361">
        <v>10627.81</v>
      </c>
      <c r="H361" t="str">
        <f>VLOOKUP(myynnit[[#This Row],[TuoteID]],ohjaus!$A$4:$B$20,2,FALSE)</f>
        <v>Pinnatuoli</v>
      </c>
    </row>
    <row r="362" spans="1:8" x14ac:dyDescent="0.35">
      <c r="A362" t="s">
        <v>40</v>
      </c>
      <c r="B362">
        <v>2012</v>
      </c>
      <c r="C362">
        <v>6</v>
      </c>
      <c r="D362">
        <v>13618</v>
      </c>
      <c r="E362">
        <v>5</v>
      </c>
      <c r="F362">
        <v>1798.33</v>
      </c>
      <c r="G362">
        <v>776.88</v>
      </c>
      <c r="H362" t="str">
        <f>VLOOKUP(myynnit[[#This Row],[TuoteID]],ohjaus!$A$4:$B$20,2,FALSE)</f>
        <v>Pianotuoli</v>
      </c>
    </row>
    <row r="363" spans="1:8" x14ac:dyDescent="0.35">
      <c r="A363" t="s">
        <v>40</v>
      </c>
      <c r="B363">
        <v>2012</v>
      </c>
      <c r="C363">
        <v>6</v>
      </c>
      <c r="D363">
        <v>16024</v>
      </c>
      <c r="E363">
        <v>163</v>
      </c>
      <c r="F363">
        <v>79482.89</v>
      </c>
      <c r="G363">
        <v>24819.53</v>
      </c>
      <c r="H363" t="str">
        <f>VLOOKUP(myynnit[[#This Row],[TuoteID]],ohjaus!$A$4:$B$20,2,FALSE)</f>
        <v>Työtuoli</v>
      </c>
    </row>
    <row r="364" spans="1:8" x14ac:dyDescent="0.35">
      <c r="A364" t="s">
        <v>40</v>
      </c>
      <c r="B364">
        <v>2012</v>
      </c>
      <c r="C364">
        <v>6</v>
      </c>
      <c r="D364">
        <v>16650</v>
      </c>
      <c r="E364">
        <v>15</v>
      </c>
      <c r="F364">
        <v>2765.22</v>
      </c>
      <c r="G364">
        <v>1532.17</v>
      </c>
      <c r="H364" t="str">
        <f>VLOOKUP(myynnit[[#This Row],[TuoteID]],ohjaus!$A$4:$B$20,2,FALSE)</f>
        <v>Rahi</v>
      </c>
    </row>
    <row r="365" spans="1:8" x14ac:dyDescent="0.35">
      <c r="A365" t="s">
        <v>40</v>
      </c>
      <c r="B365">
        <v>2012</v>
      </c>
      <c r="C365">
        <v>6</v>
      </c>
      <c r="D365">
        <v>17892</v>
      </c>
      <c r="E365">
        <v>89</v>
      </c>
      <c r="F365">
        <v>13643.93</v>
      </c>
      <c r="G365">
        <v>2826.71</v>
      </c>
      <c r="H365" t="str">
        <f>VLOOKUP(myynnit[[#This Row],[TuoteID]],ohjaus!$A$4:$B$20,2,FALSE)</f>
        <v>Lepotuoli</v>
      </c>
    </row>
    <row r="366" spans="1:8" x14ac:dyDescent="0.35">
      <c r="A366" t="s">
        <v>40</v>
      </c>
      <c r="B366">
        <v>2012</v>
      </c>
      <c r="C366">
        <v>6</v>
      </c>
      <c r="D366">
        <v>18342</v>
      </c>
      <c r="E366">
        <v>25</v>
      </c>
      <c r="F366">
        <v>20763.990000000002</v>
      </c>
      <c r="G366">
        <v>5523.67</v>
      </c>
      <c r="H366" t="str">
        <f>VLOOKUP(myynnit[[#This Row],[TuoteID]],ohjaus!$A$4:$B$20,2,FALSE)</f>
        <v>Työtuoli</v>
      </c>
    </row>
    <row r="367" spans="1:8" x14ac:dyDescent="0.35">
      <c r="A367" t="s">
        <v>40</v>
      </c>
      <c r="B367">
        <v>2012</v>
      </c>
      <c r="C367">
        <v>6</v>
      </c>
      <c r="D367">
        <v>20177</v>
      </c>
      <c r="E367">
        <v>30</v>
      </c>
      <c r="F367">
        <v>3477.69</v>
      </c>
      <c r="G367">
        <v>1411.2</v>
      </c>
      <c r="H367" t="str">
        <f>VLOOKUP(myynnit[[#This Row],[TuoteID]],ohjaus!$A$4:$B$20,2,FALSE)</f>
        <v>Säkkituoli</v>
      </c>
    </row>
    <row r="368" spans="1:8" x14ac:dyDescent="0.35">
      <c r="A368" t="s">
        <v>40</v>
      </c>
      <c r="B368">
        <v>2012</v>
      </c>
      <c r="C368">
        <v>6</v>
      </c>
      <c r="D368">
        <v>21179</v>
      </c>
      <c r="E368">
        <v>36</v>
      </c>
      <c r="F368">
        <v>3929.7</v>
      </c>
      <c r="G368">
        <v>2152.34</v>
      </c>
      <c r="H368" t="str">
        <f>VLOOKUP(myynnit[[#This Row],[TuoteID]],ohjaus!$A$4:$B$20,2,FALSE)</f>
        <v>Rahi</v>
      </c>
    </row>
    <row r="369" spans="1:8" x14ac:dyDescent="0.35">
      <c r="A369" t="s">
        <v>40</v>
      </c>
      <c r="B369">
        <v>2012</v>
      </c>
      <c r="C369">
        <v>6</v>
      </c>
      <c r="D369">
        <v>21260</v>
      </c>
      <c r="E369">
        <v>48</v>
      </c>
      <c r="F369">
        <v>8507.09</v>
      </c>
      <c r="G369">
        <v>2076.11</v>
      </c>
      <c r="H369" t="str">
        <f>VLOOKUP(myynnit[[#This Row],[TuoteID]],ohjaus!$A$4:$B$20,2,FALSE)</f>
        <v>Lepotuoli</v>
      </c>
    </row>
    <row r="370" spans="1:8" x14ac:dyDescent="0.35">
      <c r="A370" t="s">
        <v>40</v>
      </c>
      <c r="B370">
        <v>2012</v>
      </c>
      <c r="C370">
        <v>6</v>
      </c>
      <c r="D370">
        <v>22317</v>
      </c>
      <c r="E370">
        <v>18</v>
      </c>
      <c r="F370">
        <v>1717.12</v>
      </c>
      <c r="G370">
        <v>705.59</v>
      </c>
      <c r="H370" t="str">
        <f>VLOOKUP(myynnit[[#This Row],[TuoteID]],ohjaus!$A$4:$B$20,2,FALSE)</f>
        <v>Säkkituoli</v>
      </c>
    </row>
    <row r="371" spans="1:8" x14ac:dyDescent="0.35">
      <c r="A371" t="s">
        <v>40</v>
      </c>
      <c r="B371">
        <v>2012</v>
      </c>
      <c r="C371">
        <v>6</v>
      </c>
      <c r="D371">
        <v>22940</v>
      </c>
      <c r="E371">
        <v>131</v>
      </c>
      <c r="F371">
        <v>18787.36</v>
      </c>
      <c r="G371">
        <v>4420.3100000000004</v>
      </c>
      <c r="H371" t="str">
        <f>VLOOKUP(myynnit[[#This Row],[TuoteID]],ohjaus!$A$4:$B$20,2,FALSE)</f>
        <v>Pinnatuoli</v>
      </c>
    </row>
    <row r="372" spans="1:8" x14ac:dyDescent="0.35">
      <c r="A372" t="s">
        <v>40</v>
      </c>
      <c r="B372">
        <v>2012</v>
      </c>
      <c r="C372">
        <v>6</v>
      </c>
      <c r="D372">
        <v>23178</v>
      </c>
      <c r="E372">
        <v>302</v>
      </c>
      <c r="F372">
        <v>51851.71</v>
      </c>
      <c r="G372">
        <v>12455.8</v>
      </c>
      <c r="H372" t="str">
        <f>VLOOKUP(myynnit[[#This Row],[TuoteID]],ohjaus!$A$4:$B$20,2,FALSE)</f>
        <v>Pinnatuoli</v>
      </c>
    </row>
    <row r="373" spans="1:8" x14ac:dyDescent="0.35">
      <c r="A373" t="s">
        <v>40</v>
      </c>
      <c r="B373">
        <v>2012</v>
      </c>
      <c r="C373">
        <v>6</v>
      </c>
      <c r="D373">
        <v>23600</v>
      </c>
      <c r="E373">
        <v>592</v>
      </c>
      <c r="F373">
        <v>66513.11</v>
      </c>
      <c r="G373">
        <v>15309.5</v>
      </c>
      <c r="H373" t="str">
        <f>VLOOKUP(myynnit[[#This Row],[TuoteID]],ohjaus!$A$4:$B$20,2,FALSE)</f>
        <v>Pinnatuoli</v>
      </c>
    </row>
    <row r="374" spans="1:8" x14ac:dyDescent="0.35">
      <c r="A374" t="s">
        <v>40</v>
      </c>
      <c r="B374">
        <v>2012</v>
      </c>
      <c r="C374">
        <v>6</v>
      </c>
      <c r="D374">
        <v>23756</v>
      </c>
      <c r="E374">
        <v>76</v>
      </c>
      <c r="F374">
        <v>13198.59</v>
      </c>
      <c r="G374">
        <v>5792.05</v>
      </c>
      <c r="H374" t="str">
        <f>VLOOKUP(myynnit[[#This Row],[TuoteID]],ohjaus!$A$4:$B$20,2,FALSE)</f>
        <v>Pianotuoli</v>
      </c>
    </row>
    <row r="375" spans="1:8" x14ac:dyDescent="0.35">
      <c r="A375" t="s">
        <v>40</v>
      </c>
      <c r="B375">
        <v>2012</v>
      </c>
      <c r="C375">
        <v>6</v>
      </c>
      <c r="D375">
        <v>24326</v>
      </c>
      <c r="E375">
        <v>39</v>
      </c>
      <c r="F375">
        <v>6049.34</v>
      </c>
      <c r="G375">
        <v>1536.3</v>
      </c>
      <c r="H375" t="str">
        <f>VLOOKUP(myynnit[[#This Row],[TuoteID]],ohjaus!$A$4:$B$20,2,FALSE)</f>
        <v>Lepotuoli</v>
      </c>
    </row>
    <row r="376" spans="1:8" x14ac:dyDescent="0.35">
      <c r="A376" t="s">
        <v>39</v>
      </c>
      <c r="B376">
        <v>2012</v>
      </c>
      <c r="C376">
        <v>6</v>
      </c>
      <c r="D376">
        <v>12184</v>
      </c>
      <c r="E376">
        <v>71</v>
      </c>
      <c r="F376">
        <v>10887.63</v>
      </c>
      <c r="G376">
        <v>6874.52</v>
      </c>
      <c r="H376" t="str">
        <f>VLOOKUP(myynnit[[#This Row],[TuoteID]],ohjaus!$A$4:$B$20,2,FALSE)</f>
        <v>Rahi</v>
      </c>
    </row>
    <row r="377" spans="1:8" x14ac:dyDescent="0.35">
      <c r="A377" t="s">
        <v>39</v>
      </c>
      <c r="B377">
        <v>2012</v>
      </c>
      <c r="C377">
        <v>6</v>
      </c>
      <c r="D377">
        <v>12622</v>
      </c>
      <c r="E377">
        <v>43</v>
      </c>
      <c r="F377">
        <v>12089.72</v>
      </c>
      <c r="G377">
        <v>7684.83</v>
      </c>
      <c r="H377" t="str">
        <f>VLOOKUP(myynnit[[#This Row],[TuoteID]],ohjaus!$A$4:$B$20,2,FALSE)</f>
        <v>Pianotuoli</v>
      </c>
    </row>
    <row r="378" spans="1:8" x14ac:dyDescent="0.35">
      <c r="A378" t="s">
        <v>39</v>
      </c>
      <c r="B378">
        <v>2012</v>
      </c>
      <c r="C378">
        <v>6</v>
      </c>
      <c r="D378">
        <v>13527</v>
      </c>
      <c r="E378">
        <v>467</v>
      </c>
      <c r="F378">
        <v>82574.539999999994</v>
      </c>
      <c r="G378">
        <v>18275.02</v>
      </c>
      <c r="H378" t="str">
        <f>VLOOKUP(myynnit[[#This Row],[TuoteID]],ohjaus!$A$4:$B$20,2,FALSE)</f>
        <v>Pinnatuoli</v>
      </c>
    </row>
    <row r="379" spans="1:8" x14ac:dyDescent="0.35">
      <c r="A379" t="s">
        <v>39</v>
      </c>
      <c r="B379">
        <v>2012</v>
      </c>
      <c r="C379">
        <v>6</v>
      </c>
      <c r="D379">
        <v>13618</v>
      </c>
      <c r="E379">
        <v>29</v>
      </c>
      <c r="F379">
        <v>10965.19</v>
      </c>
      <c r="G379">
        <v>7057.68</v>
      </c>
      <c r="H379" t="str">
        <f>VLOOKUP(myynnit[[#This Row],[TuoteID]],ohjaus!$A$4:$B$20,2,FALSE)</f>
        <v>Pianotuoli</v>
      </c>
    </row>
    <row r="380" spans="1:8" x14ac:dyDescent="0.35">
      <c r="A380" t="s">
        <v>39</v>
      </c>
      <c r="B380">
        <v>2012</v>
      </c>
      <c r="C380">
        <v>6</v>
      </c>
      <c r="D380">
        <v>16024</v>
      </c>
      <c r="E380">
        <v>223</v>
      </c>
      <c r="F380">
        <v>102825.12</v>
      </c>
      <c r="G380">
        <v>32122.19</v>
      </c>
      <c r="H380" t="str">
        <f>VLOOKUP(myynnit[[#This Row],[TuoteID]],ohjaus!$A$4:$B$20,2,FALSE)</f>
        <v>Työtuoli</v>
      </c>
    </row>
    <row r="381" spans="1:8" x14ac:dyDescent="0.35">
      <c r="A381" t="s">
        <v>39</v>
      </c>
      <c r="B381">
        <v>2012</v>
      </c>
      <c r="C381">
        <v>6</v>
      </c>
      <c r="D381">
        <v>16650</v>
      </c>
      <c r="E381">
        <v>25</v>
      </c>
      <c r="F381">
        <v>3917.95</v>
      </c>
      <c r="G381">
        <v>2513.08</v>
      </c>
      <c r="H381" t="str">
        <f>VLOOKUP(myynnit[[#This Row],[TuoteID]],ohjaus!$A$4:$B$20,2,FALSE)</f>
        <v>Rahi</v>
      </c>
    </row>
    <row r="382" spans="1:8" x14ac:dyDescent="0.35">
      <c r="A382" t="s">
        <v>39</v>
      </c>
      <c r="B382">
        <v>2012</v>
      </c>
      <c r="C382">
        <v>6</v>
      </c>
      <c r="D382">
        <v>17892</v>
      </c>
      <c r="E382">
        <v>76</v>
      </c>
      <c r="F382">
        <v>11724.04</v>
      </c>
      <c r="G382">
        <v>4009.91</v>
      </c>
      <c r="H382" t="str">
        <f>VLOOKUP(myynnit[[#This Row],[TuoteID]],ohjaus!$A$4:$B$20,2,FALSE)</f>
        <v>Lepotuoli</v>
      </c>
    </row>
    <row r="383" spans="1:8" x14ac:dyDescent="0.35">
      <c r="A383" t="s">
        <v>39</v>
      </c>
      <c r="B383">
        <v>2012</v>
      </c>
      <c r="C383">
        <v>6</v>
      </c>
      <c r="D383">
        <v>18342</v>
      </c>
      <c r="E383">
        <v>72</v>
      </c>
      <c r="F383">
        <v>59249.36</v>
      </c>
      <c r="G383">
        <v>16648.669999999998</v>
      </c>
      <c r="H383" t="str">
        <f>VLOOKUP(myynnit[[#This Row],[TuoteID]],ohjaus!$A$4:$B$20,2,FALSE)</f>
        <v>Työtuoli</v>
      </c>
    </row>
    <row r="384" spans="1:8" x14ac:dyDescent="0.35">
      <c r="A384" t="s">
        <v>39</v>
      </c>
      <c r="B384">
        <v>2012</v>
      </c>
      <c r="C384">
        <v>6</v>
      </c>
      <c r="D384">
        <v>20177</v>
      </c>
      <c r="E384">
        <v>33</v>
      </c>
      <c r="F384">
        <v>3018.88</v>
      </c>
      <c r="G384">
        <v>1522.12</v>
      </c>
      <c r="H384" t="str">
        <f>VLOOKUP(myynnit[[#This Row],[TuoteID]],ohjaus!$A$4:$B$20,2,FALSE)</f>
        <v>Säkkituoli</v>
      </c>
    </row>
    <row r="385" spans="1:8" x14ac:dyDescent="0.35">
      <c r="A385" t="s">
        <v>39</v>
      </c>
      <c r="B385">
        <v>2012</v>
      </c>
      <c r="C385">
        <v>6</v>
      </c>
      <c r="D385">
        <v>21179</v>
      </c>
      <c r="E385">
        <v>36</v>
      </c>
      <c r="F385">
        <v>5384.29</v>
      </c>
      <c r="G385">
        <v>3558.69</v>
      </c>
      <c r="H385" t="str">
        <f>VLOOKUP(myynnit[[#This Row],[TuoteID]],ohjaus!$A$4:$B$20,2,FALSE)</f>
        <v>Rahi</v>
      </c>
    </row>
    <row r="386" spans="1:8" x14ac:dyDescent="0.35">
      <c r="A386" t="s">
        <v>39</v>
      </c>
      <c r="B386">
        <v>2012</v>
      </c>
      <c r="C386">
        <v>6</v>
      </c>
      <c r="D386">
        <v>21260</v>
      </c>
      <c r="E386">
        <v>49</v>
      </c>
      <c r="F386">
        <v>9377.39</v>
      </c>
      <c r="G386">
        <v>3224.32</v>
      </c>
      <c r="H386" t="str">
        <f>VLOOKUP(myynnit[[#This Row],[TuoteID]],ohjaus!$A$4:$B$20,2,FALSE)</f>
        <v>Lepotuoli</v>
      </c>
    </row>
    <row r="387" spans="1:8" x14ac:dyDescent="0.35">
      <c r="A387" t="s">
        <v>39</v>
      </c>
      <c r="B387">
        <v>2012</v>
      </c>
      <c r="C387">
        <v>6</v>
      </c>
      <c r="D387">
        <v>22317</v>
      </c>
      <c r="E387">
        <v>27</v>
      </c>
      <c r="F387">
        <v>2648.36</v>
      </c>
      <c r="G387">
        <v>1391.1</v>
      </c>
      <c r="H387" t="str">
        <f>VLOOKUP(myynnit[[#This Row],[TuoteID]],ohjaus!$A$4:$B$20,2,FALSE)</f>
        <v>Säkkituoli</v>
      </c>
    </row>
    <row r="388" spans="1:8" x14ac:dyDescent="0.35">
      <c r="A388" t="s">
        <v>39</v>
      </c>
      <c r="B388">
        <v>2012</v>
      </c>
      <c r="C388">
        <v>6</v>
      </c>
      <c r="D388">
        <v>22940</v>
      </c>
      <c r="E388">
        <v>671</v>
      </c>
      <c r="F388">
        <v>81232.03</v>
      </c>
      <c r="G388">
        <v>18865.82</v>
      </c>
      <c r="H388" t="str">
        <f>VLOOKUP(myynnit[[#This Row],[TuoteID]],ohjaus!$A$4:$B$20,2,FALSE)</f>
        <v>Pinnatuoli</v>
      </c>
    </row>
    <row r="389" spans="1:8" x14ac:dyDescent="0.35">
      <c r="A389" t="s">
        <v>39</v>
      </c>
      <c r="B389">
        <v>2012</v>
      </c>
      <c r="C389">
        <v>6</v>
      </c>
      <c r="D389">
        <v>23178</v>
      </c>
      <c r="E389">
        <v>97</v>
      </c>
      <c r="F389">
        <v>19035.849999999999</v>
      </c>
      <c r="G389">
        <v>4172.32</v>
      </c>
      <c r="H389" t="str">
        <f>VLOOKUP(myynnit[[#This Row],[TuoteID]],ohjaus!$A$4:$B$20,2,FALSE)</f>
        <v>Pinnatuoli</v>
      </c>
    </row>
    <row r="390" spans="1:8" x14ac:dyDescent="0.35">
      <c r="A390" t="s">
        <v>39</v>
      </c>
      <c r="B390">
        <v>2012</v>
      </c>
      <c r="C390">
        <v>6</v>
      </c>
      <c r="D390">
        <v>23600</v>
      </c>
      <c r="E390">
        <v>525</v>
      </c>
      <c r="F390">
        <v>52495.66</v>
      </c>
      <c r="G390">
        <v>13726.42</v>
      </c>
      <c r="H390" t="str">
        <f>VLOOKUP(myynnit[[#This Row],[TuoteID]],ohjaus!$A$4:$B$20,2,FALSE)</f>
        <v>Pinnatuoli</v>
      </c>
    </row>
    <row r="391" spans="1:8" x14ac:dyDescent="0.35">
      <c r="A391" t="s">
        <v>39</v>
      </c>
      <c r="B391">
        <v>2012</v>
      </c>
      <c r="C391">
        <v>6</v>
      </c>
      <c r="D391">
        <v>23756</v>
      </c>
      <c r="E391">
        <v>49</v>
      </c>
      <c r="F391">
        <v>9273.82</v>
      </c>
      <c r="G391">
        <v>5968.83</v>
      </c>
      <c r="H391" t="str">
        <f>VLOOKUP(myynnit[[#This Row],[TuoteID]],ohjaus!$A$4:$B$20,2,FALSE)</f>
        <v>Pianotuoli</v>
      </c>
    </row>
    <row r="392" spans="1:8" x14ac:dyDescent="0.35">
      <c r="A392" t="s">
        <v>39</v>
      </c>
      <c r="B392">
        <v>2012</v>
      </c>
      <c r="C392">
        <v>6</v>
      </c>
      <c r="D392">
        <v>24326</v>
      </c>
      <c r="E392">
        <v>135</v>
      </c>
      <c r="F392">
        <v>17308.740000000002</v>
      </c>
      <c r="G392">
        <v>4516.7700000000004</v>
      </c>
      <c r="H392" t="str">
        <f>VLOOKUP(myynnit[[#This Row],[TuoteID]],ohjaus!$A$4:$B$20,2,FALSE)</f>
        <v>Lepotuoli</v>
      </c>
    </row>
    <row r="393" spans="1:8" x14ac:dyDescent="0.35">
      <c r="A393" t="s">
        <v>38</v>
      </c>
      <c r="B393">
        <v>2012</v>
      </c>
      <c r="C393">
        <v>6</v>
      </c>
      <c r="D393">
        <v>12184</v>
      </c>
      <c r="E393">
        <v>84</v>
      </c>
      <c r="F393">
        <v>10277.41</v>
      </c>
      <c r="G393">
        <v>6306.13</v>
      </c>
      <c r="H393" t="str">
        <f>VLOOKUP(myynnit[[#This Row],[TuoteID]],ohjaus!$A$4:$B$20,2,FALSE)</f>
        <v>Rahi</v>
      </c>
    </row>
    <row r="394" spans="1:8" x14ac:dyDescent="0.35">
      <c r="A394" t="s">
        <v>38</v>
      </c>
      <c r="B394">
        <v>2012</v>
      </c>
      <c r="C394">
        <v>6</v>
      </c>
      <c r="D394">
        <v>12622</v>
      </c>
      <c r="E394">
        <v>51</v>
      </c>
      <c r="F394">
        <v>14450.1</v>
      </c>
      <c r="G394">
        <v>6999.37</v>
      </c>
      <c r="H394" t="str">
        <f>VLOOKUP(myynnit[[#This Row],[TuoteID]],ohjaus!$A$4:$B$20,2,FALSE)</f>
        <v>Pianotuoli</v>
      </c>
    </row>
    <row r="395" spans="1:8" x14ac:dyDescent="0.35">
      <c r="A395" t="s">
        <v>38</v>
      </c>
      <c r="B395">
        <v>2012</v>
      </c>
      <c r="C395">
        <v>6</v>
      </c>
      <c r="D395">
        <v>13527</v>
      </c>
      <c r="E395">
        <v>243</v>
      </c>
      <c r="F395">
        <v>39843.26</v>
      </c>
      <c r="G395">
        <v>9555.2099999999991</v>
      </c>
      <c r="H395" t="str">
        <f>VLOOKUP(myynnit[[#This Row],[TuoteID]],ohjaus!$A$4:$B$20,2,FALSE)</f>
        <v>Pinnatuoli</v>
      </c>
    </row>
    <row r="396" spans="1:8" x14ac:dyDescent="0.35">
      <c r="A396" t="s">
        <v>38</v>
      </c>
      <c r="B396">
        <v>2012</v>
      </c>
      <c r="C396">
        <v>6</v>
      </c>
      <c r="D396">
        <v>13618</v>
      </c>
      <c r="E396">
        <v>7</v>
      </c>
      <c r="F396">
        <v>3015.17</v>
      </c>
      <c r="G396">
        <v>1306.8399999999999</v>
      </c>
      <c r="H396" t="str">
        <f>VLOOKUP(myynnit[[#This Row],[TuoteID]],ohjaus!$A$4:$B$20,2,FALSE)</f>
        <v>Pianotuoli</v>
      </c>
    </row>
    <row r="397" spans="1:8" x14ac:dyDescent="0.35">
      <c r="A397" t="s">
        <v>38</v>
      </c>
      <c r="B397">
        <v>2012</v>
      </c>
      <c r="C397">
        <v>6</v>
      </c>
      <c r="D397">
        <v>16024</v>
      </c>
      <c r="E397">
        <v>118</v>
      </c>
      <c r="F397">
        <v>54430.26</v>
      </c>
      <c r="G397">
        <v>14468.1</v>
      </c>
      <c r="H397" t="str">
        <f>VLOOKUP(myynnit[[#This Row],[TuoteID]],ohjaus!$A$4:$B$20,2,FALSE)</f>
        <v>Työtuoli</v>
      </c>
    </row>
    <row r="398" spans="1:8" x14ac:dyDescent="0.35">
      <c r="A398" t="s">
        <v>38</v>
      </c>
      <c r="B398">
        <v>2012</v>
      </c>
      <c r="C398">
        <v>6</v>
      </c>
      <c r="D398">
        <v>16650</v>
      </c>
      <c r="E398">
        <v>57</v>
      </c>
      <c r="F398">
        <v>7646.61</v>
      </c>
      <c r="G398">
        <v>4846.32</v>
      </c>
      <c r="H398" t="str">
        <f>VLOOKUP(myynnit[[#This Row],[TuoteID]],ohjaus!$A$4:$B$20,2,FALSE)</f>
        <v>Rahi</v>
      </c>
    </row>
    <row r="399" spans="1:8" x14ac:dyDescent="0.35">
      <c r="A399" t="s">
        <v>38</v>
      </c>
      <c r="B399">
        <v>2012</v>
      </c>
      <c r="C399">
        <v>6</v>
      </c>
      <c r="D399">
        <v>17892</v>
      </c>
      <c r="E399">
        <v>91</v>
      </c>
      <c r="F399">
        <v>11783.04</v>
      </c>
      <c r="G399">
        <v>3064.09</v>
      </c>
      <c r="H399" t="str">
        <f>VLOOKUP(myynnit[[#This Row],[TuoteID]],ohjaus!$A$4:$B$20,2,FALSE)</f>
        <v>Lepotuoli</v>
      </c>
    </row>
    <row r="400" spans="1:8" x14ac:dyDescent="0.35">
      <c r="A400" t="s">
        <v>38</v>
      </c>
      <c r="B400">
        <v>2012</v>
      </c>
      <c r="C400">
        <v>6</v>
      </c>
      <c r="D400">
        <v>18342</v>
      </c>
      <c r="E400">
        <v>148</v>
      </c>
      <c r="F400">
        <v>120582.28</v>
      </c>
      <c r="G400">
        <v>27008.880000000001</v>
      </c>
      <c r="H400" t="str">
        <f>VLOOKUP(myynnit[[#This Row],[TuoteID]],ohjaus!$A$4:$B$20,2,FALSE)</f>
        <v>Työtuoli</v>
      </c>
    </row>
    <row r="401" spans="1:8" x14ac:dyDescent="0.35">
      <c r="A401" t="s">
        <v>38</v>
      </c>
      <c r="B401">
        <v>2012</v>
      </c>
      <c r="C401">
        <v>6</v>
      </c>
      <c r="D401">
        <v>20177</v>
      </c>
      <c r="E401">
        <v>61</v>
      </c>
      <c r="F401">
        <v>5940.1</v>
      </c>
      <c r="G401">
        <v>2039.19</v>
      </c>
      <c r="H401" t="str">
        <f>VLOOKUP(myynnit[[#This Row],[TuoteID]],ohjaus!$A$4:$B$20,2,FALSE)</f>
        <v>Säkkituoli</v>
      </c>
    </row>
    <row r="402" spans="1:8" x14ac:dyDescent="0.35">
      <c r="A402" t="s">
        <v>38</v>
      </c>
      <c r="B402">
        <v>2012</v>
      </c>
      <c r="C402">
        <v>6</v>
      </c>
      <c r="D402">
        <v>21179</v>
      </c>
      <c r="E402">
        <v>57</v>
      </c>
      <c r="F402">
        <v>6905.62</v>
      </c>
      <c r="G402">
        <v>3356.63</v>
      </c>
      <c r="H402" t="str">
        <f>VLOOKUP(myynnit[[#This Row],[TuoteID]],ohjaus!$A$4:$B$20,2,FALSE)</f>
        <v>Rahi</v>
      </c>
    </row>
    <row r="403" spans="1:8" x14ac:dyDescent="0.35">
      <c r="A403" t="s">
        <v>38</v>
      </c>
      <c r="B403">
        <v>2012</v>
      </c>
      <c r="C403">
        <v>6</v>
      </c>
      <c r="D403">
        <v>21260</v>
      </c>
      <c r="E403">
        <v>56</v>
      </c>
      <c r="F403">
        <v>10406.700000000001</v>
      </c>
      <c r="G403">
        <v>2416.5100000000002</v>
      </c>
      <c r="H403" t="str">
        <f>VLOOKUP(myynnit[[#This Row],[TuoteID]],ohjaus!$A$4:$B$20,2,FALSE)</f>
        <v>Lepotuoli</v>
      </c>
    </row>
    <row r="404" spans="1:8" x14ac:dyDescent="0.35">
      <c r="A404" t="s">
        <v>38</v>
      </c>
      <c r="B404">
        <v>2012</v>
      </c>
      <c r="C404">
        <v>6</v>
      </c>
      <c r="D404">
        <v>22317</v>
      </c>
      <c r="E404">
        <v>46</v>
      </c>
      <c r="F404">
        <v>4127.4399999999996</v>
      </c>
      <c r="G404">
        <v>1648.55</v>
      </c>
      <c r="H404" t="str">
        <f>VLOOKUP(myynnit[[#This Row],[TuoteID]],ohjaus!$A$4:$B$20,2,FALSE)</f>
        <v>Säkkituoli</v>
      </c>
    </row>
    <row r="405" spans="1:8" x14ac:dyDescent="0.35">
      <c r="A405" t="s">
        <v>38</v>
      </c>
      <c r="B405">
        <v>2012</v>
      </c>
      <c r="C405">
        <v>6</v>
      </c>
      <c r="D405">
        <v>22940</v>
      </c>
      <c r="E405">
        <v>531</v>
      </c>
      <c r="F405">
        <v>72146.960000000006</v>
      </c>
      <c r="G405">
        <v>15358.87</v>
      </c>
      <c r="H405" t="str">
        <f>VLOOKUP(myynnit[[#This Row],[TuoteID]],ohjaus!$A$4:$B$20,2,FALSE)</f>
        <v>Pinnatuoli</v>
      </c>
    </row>
    <row r="406" spans="1:8" x14ac:dyDescent="0.35">
      <c r="A406" t="s">
        <v>38</v>
      </c>
      <c r="B406">
        <v>2012</v>
      </c>
      <c r="C406">
        <v>6</v>
      </c>
      <c r="D406">
        <v>23178</v>
      </c>
      <c r="E406">
        <v>228</v>
      </c>
      <c r="F406">
        <v>41148.800000000003</v>
      </c>
      <c r="G406">
        <v>7660.18</v>
      </c>
      <c r="H406" t="str">
        <f>VLOOKUP(myynnit[[#This Row],[TuoteID]],ohjaus!$A$4:$B$20,2,FALSE)</f>
        <v>Pinnatuoli</v>
      </c>
    </row>
    <row r="407" spans="1:8" x14ac:dyDescent="0.35">
      <c r="A407" t="s">
        <v>38</v>
      </c>
      <c r="B407">
        <v>2012</v>
      </c>
      <c r="C407">
        <v>6</v>
      </c>
      <c r="D407">
        <v>23600</v>
      </c>
      <c r="E407">
        <v>1267</v>
      </c>
      <c r="F407">
        <v>141750.42000000001</v>
      </c>
      <c r="G407">
        <v>36437.85</v>
      </c>
      <c r="H407" t="str">
        <f>VLOOKUP(myynnit[[#This Row],[TuoteID]],ohjaus!$A$4:$B$20,2,FALSE)</f>
        <v>Pinnatuoli</v>
      </c>
    </row>
    <row r="408" spans="1:8" x14ac:dyDescent="0.35">
      <c r="A408" t="s">
        <v>38</v>
      </c>
      <c r="B408">
        <v>2012</v>
      </c>
      <c r="C408">
        <v>6</v>
      </c>
      <c r="D408">
        <v>23756</v>
      </c>
      <c r="E408">
        <v>67</v>
      </c>
      <c r="F408">
        <v>11772.02</v>
      </c>
      <c r="G408">
        <v>6329.45</v>
      </c>
      <c r="H408" t="str">
        <f>VLOOKUP(myynnit[[#This Row],[TuoteID]],ohjaus!$A$4:$B$20,2,FALSE)</f>
        <v>Pianotuoli</v>
      </c>
    </row>
    <row r="409" spans="1:8" x14ac:dyDescent="0.35">
      <c r="A409" t="s">
        <v>38</v>
      </c>
      <c r="B409">
        <v>2012</v>
      </c>
      <c r="C409">
        <v>6</v>
      </c>
      <c r="D409">
        <v>24326</v>
      </c>
      <c r="E409">
        <v>63</v>
      </c>
      <c r="F409">
        <v>9150.2999999999993</v>
      </c>
      <c r="G409">
        <v>2412.59</v>
      </c>
      <c r="H409" t="str">
        <f>VLOOKUP(myynnit[[#This Row],[TuoteID]],ohjaus!$A$4:$B$20,2,FALSE)</f>
        <v>Lepotuoli</v>
      </c>
    </row>
    <row r="410" spans="1:8" x14ac:dyDescent="0.35">
      <c r="A410" t="s">
        <v>37</v>
      </c>
      <c r="B410">
        <v>2012</v>
      </c>
      <c r="C410">
        <v>7</v>
      </c>
      <c r="D410">
        <v>12184</v>
      </c>
      <c r="E410">
        <v>103</v>
      </c>
      <c r="F410">
        <v>14168</v>
      </c>
      <c r="G410">
        <v>6472.17</v>
      </c>
      <c r="H410" t="str">
        <f>VLOOKUP(myynnit[[#This Row],[TuoteID]],ohjaus!$A$4:$B$20,2,FALSE)</f>
        <v>Rahi</v>
      </c>
    </row>
    <row r="411" spans="1:8" x14ac:dyDescent="0.35">
      <c r="A411" t="s">
        <v>37</v>
      </c>
      <c r="B411">
        <v>2012</v>
      </c>
      <c r="C411">
        <v>7</v>
      </c>
      <c r="D411">
        <v>12622</v>
      </c>
      <c r="E411">
        <v>43</v>
      </c>
      <c r="F411">
        <v>11722.03</v>
      </c>
      <c r="G411">
        <v>5730.52</v>
      </c>
      <c r="H411" t="str">
        <f>VLOOKUP(myynnit[[#This Row],[TuoteID]],ohjaus!$A$4:$B$20,2,FALSE)</f>
        <v>Pianotuoli</v>
      </c>
    </row>
    <row r="412" spans="1:8" x14ac:dyDescent="0.35">
      <c r="A412" t="s">
        <v>37</v>
      </c>
      <c r="B412">
        <v>2012</v>
      </c>
      <c r="C412">
        <v>7</v>
      </c>
      <c r="D412">
        <v>13527</v>
      </c>
      <c r="E412">
        <v>527</v>
      </c>
      <c r="F412">
        <v>79688.399999999994</v>
      </c>
      <c r="G412">
        <v>14099.11</v>
      </c>
      <c r="H412" t="str">
        <f>VLOOKUP(myynnit[[#This Row],[TuoteID]],ohjaus!$A$4:$B$20,2,FALSE)</f>
        <v>Pinnatuoli</v>
      </c>
    </row>
    <row r="413" spans="1:8" x14ac:dyDescent="0.35">
      <c r="A413" t="s">
        <v>37</v>
      </c>
      <c r="B413">
        <v>2012</v>
      </c>
      <c r="C413">
        <v>7</v>
      </c>
      <c r="D413">
        <v>13618</v>
      </c>
      <c r="E413">
        <v>13</v>
      </c>
      <c r="F413">
        <v>4714.6400000000003</v>
      </c>
      <c r="G413">
        <v>2103.5500000000002</v>
      </c>
      <c r="H413" t="str">
        <f>VLOOKUP(myynnit[[#This Row],[TuoteID]],ohjaus!$A$4:$B$20,2,FALSE)</f>
        <v>Pianotuoli</v>
      </c>
    </row>
    <row r="414" spans="1:8" x14ac:dyDescent="0.35">
      <c r="A414" t="s">
        <v>37</v>
      </c>
      <c r="B414">
        <v>2012</v>
      </c>
      <c r="C414">
        <v>7</v>
      </c>
      <c r="D414">
        <v>16024</v>
      </c>
      <c r="E414">
        <v>208</v>
      </c>
      <c r="F414">
        <v>85841.42</v>
      </c>
      <c r="G414">
        <v>25451.06</v>
      </c>
      <c r="H414" t="str">
        <f>VLOOKUP(myynnit[[#This Row],[TuoteID]],ohjaus!$A$4:$B$20,2,FALSE)</f>
        <v>Työtuoli</v>
      </c>
    </row>
    <row r="415" spans="1:8" x14ac:dyDescent="0.35">
      <c r="A415" t="s">
        <v>37</v>
      </c>
      <c r="B415">
        <v>2012</v>
      </c>
      <c r="C415">
        <v>7</v>
      </c>
      <c r="D415">
        <v>16650</v>
      </c>
      <c r="E415">
        <v>30</v>
      </c>
      <c r="F415">
        <v>5320.11</v>
      </c>
      <c r="G415">
        <v>2448.89</v>
      </c>
      <c r="H415" t="str">
        <f>VLOOKUP(myynnit[[#This Row],[TuoteID]],ohjaus!$A$4:$B$20,2,FALSE)</f>
        <v>Rahi</v>
      </c>
    </row>
    <row r="416" spans="1:8" x14ac:dyDescent="0.35">
      <c r="A416" t="s">
        <v>37</v>
      </c>
      <c r="B416">
        <v>2012</v>
      </c>
      <c r="C416">
        <v>7</v>
      </c>
      <c r="D416">
        <v>17892</v>
      </c>
      <c r="E416">
        <v>117</v>
      </c>
      <c r="F416">
        <v>16018.53</v>
      </c>
      <c r="G416">
        <v>5130.25</v>
      </c>
      <c r="H416" t="str">
        <f>VLOOKUP(myynnit[[#This Row],[TuoteID]],ohjaus!$A$4:$B$20,2,FALSE)</f>
        <v>Lepotuoli</v>
      </c>
    </row>
    <row r="417" spans="1:8" x14ac:dyDescent="0.35">
      <c r="A417" t="s">
        <v>37</v>
      </c>
      <c r="B417">
        <v>2012</v>
      </c>
      <c r="C417">
        <v>7</v>
      </c>
      <c r="D417">
        <v>18342</v>
      </c>
      <c r="E417">
        <v>172</v>
      </c>
      <c r="F417">
        <v>127612.25</v>
      </c>
      <c r="G417">
        <v>34988.94</v>
      </c>
      <c r="H417" t="str">
        <f>VLOOKUP(myynnit[[#This Row],[TuoteID]],ohjaus!$A$4:$B$20,2,FALSE)</f>
        <v>Työtuoli</v>
      </c>
    </row>
    <row r="418" spans="1:8" x14ac:dyDescent="0.35">
      <c r="A418" t="s">
        <v>37</v>
      </c>
      <c r="B418">
        <v>2012</v>
      </c>
      <c r="C418">
        <v>7</v>
      </c>
      <c r="D418">
        <v>20177</v>
      </c>
      <c r="E418">
        <v>147</v>
      </c>
      <c r="F418">
        <v>14677.38</v>
      </c>
      <c r="G418">
        <v>4723.79</v>
      </c>
      <c r="H418" t="str">
        <f>VLOOKUP(myynnit[[#This Row],[TuoteID]],ohjaus!$A$4:$B$20,2,FALSE)</f>
        <v>Säkkituoli</v>
      </c>
    </row>
    <row r="419" spans="1:8" x14ac:dyDescent="0.35">
      <c r="A419" t="s">
        <v>37</v>
      </c>
      <c r="B419">
        <v>2012</v>
      </c>
      <c r="C419">
        <v>7</v>
      </c>
      <c r="D419">
        <v>21179</v>
      </c>
      <c r="E419">
        <v>49</v>
      </c>
      <c r="F419">
        <v>5493.75</v>
      </c>
      <c r="G419">
        <v>3017.07</v>
      </c>
      <c r="H419" t="str">
        <f>VLOOKUP(myynnit[[#This Row],[TuoteID]],ohjaus!$A$4:$B$20,2,FALSE)</f>
        <v>Rahi</v>
      </c>
    </row>
    <row r="420" spans="1:8" x14ac:dyDescent="0.35">
      <c r="A420" t="s">
        <v>37</v>
      </c>
      <c r="B420">
        <v>2012</v>
      </c>
      <c r="C420">
        <v>7</v>
      </c>
      <c r="D420">
        <v>21260</v>
      </c>
      <c r="E420">
        <v>39</v>
      </c>
      <c r="F420">
        <v>6879.44</v>
      </c>
      <c r="G420">
        <v>2160.44</v>
      </c>
      <c r="H420" t="str">
        <f>VLOOKUP(myynnit[[#This Row],[TuoteID]],ohjaus!$A$4:$B$20,2,FALSE)</f>
        <v>Lepotuoli</v>
      </c>
    </row>
    <row r="421" spans="1:8" x14ac:dyDescent="0.35">
      <c r="A421" t="s">
        <v>37</v>
      </c>
      <c r="B421">
        <v>2012</v>
      </c>
      <c r="C421">
        <v>7</v>
      </c>
      <c r="D421">
        <v>22317</v>
      </c>
      <c r="E421">
        <v>96</v>
      </c>
      <c r="F421">
        <v>9633.44</v>
      </c>
      <c r="G421">
        <v>3329.07</v>
      </c>
      <c r="H421" t="str">
        <f>VLOOKUP(myynnit[[#This Row],[TuoteID]],ohjaus!$A$4:$B$20,2,FALSE)</f>
        <v>Säkkituoli</v>
      </c>
    </row>
    <row r="422" spans="1:8" x14ac:dyDescent="0.35">
      <c r="A422" t="s">
        <v>37</v>
      </c>
      <c r="B422">
        <v>2012</v>
      </c>
      <c r="C422">
        <v>7</v>
      </c>
      <c r="D422">
        <v>22940</v>
      </c>
      <c r="E422">
        <v>857</v>
      </c>
      <c r="F422">
        <v>111454.93</v>
      </c>
      <c r="G422">
        <v>20750.919999999998</v>
      </c>
      <c r="H422" t="str">
        <f>VLOOKUP(myynnit[[#This Row],[TuoteID]],ohjaus!$A$4:$B$20,2,FALSE)</f>
        <v>Pinnatuoli</v>
      </c>
    </row>
    <row r="423" spans="1:8" x14ac:dyDescent="0.35">
      <c r="A423" t="s">
        <v>37</v>
      </c>
      <c r="B423">
        <v>2012</v>
      </c>
      <c r="C423">
        <v>7</v>
      </c>
      <c r="D423">
        <v>23178</v>
      </c>
      <c r="E423">
        <v>274</v>
      </c>
      <c r="F423">
        <v>50738.73</v>
      </c>
      <c r="G423">
        <v>9269.68</v>
      </c>
      <c r="H423" t="str">
        <f>VLOOKUP(myynnit[[#This Row],[TuoteID]],ohjaus!$A$4:$B$20,2,FALSE)</f>
        <v>Pinnatuoli</v>
      </c>
    </row>
    <row r="424" spans="1:8" x14ac:dyDescent="0.35">
      <c r="A424" t="s">
        <v>37</v>
      </c>
      <c r="B424">
        <v>2012</v>
      </c>
      <c r="C424">
        <v>7</v>
      </c>
      <c r="D424">
        <v>23600</v>
      </c>
      <c r="E424">
        <v>1348</v>
      </c>
      <c r="F424">
        <v>140265.9</v>
      </c>
      <c r="G424">
        <v>36591.22</v>
      </c>
      <c r="H424" t="str">
        <f>VLOOKUP(myynnit[[#This Row],[TuoteID]],ohjaus!$A$4:$B$20,2,FALSE)</f>
        <v>Pinnatuoli</v>
      </c>
    </row>
    <row r="425" spans="1:8" x14ac:dyDescent="0.35">
      <c r="A425" t="s">
        <v>37</v>
      </c>
      <c r="B425">
        <v>2012</v>
      </c>
      <c r="C425">
        <v>7</v>
      </c>
      <c r="D425">
        <v>23756</v>
      </c>
      <c r="E425">
        <v>146</v>
      </c>
      <c r="F425">
        <v>24219.13</v>
      </c>
      <c r="G425">
        <v>12446.41</v>
      </c>
      <c r="H425" t="str">
        <f>VLOOKUP(myynnit[[#This Row],[TuoteID]],ohjaus!$A$4:$B$20,2,FALSE)</f>
        <v>Pianotuoli</v>
      </c>
    </row>
    <row r="426" spans="1:8" x14ac:dyDescent="0.35">
      <c r="A426" t="s">
        <v>37</v>
      </c>
      <c r="B426">
        <v>2012</v>
      </c>
      <c r="C426">
        <v>7</v>
      </c>
      <c r="D426">
        <v>24326</v>
      </c>
      <c r="E426">
        <v>74</v>
      </c>
      <c r="F426">
        <v>11075.96</v>
      </c>
      <c r="G426">
        <v>2938.43</v>
      </c>
      <c r="H426" t="str">
        <f>VLOOKUP(myynnit[[#This Row],[TuoteID]],ohjaus!$A$4:$B$20,2,FALSE)</f>
        <v>Lepotuoli</v>
      </c>
    </row>
    <row r="427" spans="1:8" x14ac:dyDescent="0.35">
      <c r="A427" t="s">
        <v>40</v>
      </c>
      <c r="B427">
        <v>2012</v>
      </c>
      <c r="C427">
        <v>7</v>
      </c>
      <c r="D427">
        <v>12184</v>
      </c>
      <c r="E427">
        <v>29</v>
      </c>
      <c r="F427">
        <v>3832.1</v>
      </c>
      <c r="G427">
        <v>1981.55</v>
      </c>
      <c r="H427" t="str">
        <f>VLOOKUP(myynnit[[#This Row],[TuoteID]],ohjaus!$A$4:$B$20,2,FALSE)</f>
        <v>Rahi</v>
      </c>
    </row>
    <row r="428" spans="1:8" x14ac:dyDescent="0.35">
      <c r="A428" t="s">
        <v>40</v>
      </c>
      <c r="B428">
        <v>2012</v>
      </c>
      <c r="C428">
        <v>7</v>
      </c>
      <c r="D428">
        <v>12622</v>
      </c>
      <c r="E428">
        <v>21</v>
      </c>
      <c r="F428">
        <v>4677.3500000000004</v>
      </c>
      <c r="G428">
        <v>2001.45</v>
      </c>
      <c r="H428" t="str">
        <f>VLOOKUP(myynnit[[#This Row],[TuoteID]],ohjaus!$A$4:$B$20,2,FALSE)</f>
        <v>Pianotuoli</v>
      </c>
    </row>
    <row r="429" spans="1:8" x14ac:dyDescent="0.35">
      <c r="A429" t="s">
        <v>40</v>
      </c>
      <c r="B429">
        <v>2012</v>
      </c>
      <c r="C429">
        <v>7</v>
      </c>
      <c r="D429">
        <v>13527</v>
      </c>
      <c r="E429">
        <v>281</v>
      </c>
      <c r="F429">
        <v>44901.69</v>
      </c>
      <c r="G429">
        <v>7418.23</v>
      </c>
      <c r="H429" t="str">
        <f>VLOOKUP(myynnit[[#This Row],[TuoteID]],ohjaus!$A$4:$B$20,2,FALSE)</f>
        <v>Pinnatuoli</v>
      </c>
    </row>
    <row r="430" spans="1:8" x14ac:dyDescent="0.35">
      <c r="A430" t="s">
        <v>40</v>
      </c>
      <c r="B430">
        <v>2012</v>
      </c>
      <c r="C430">
        <v>7</v>
      </c>
      <c r="D430">
        <v>13618</v>
      </c>
      <c r="E430">
        <v>10</v>
      </c>
      <c r="F430">
        <v>4010.16</v>
      </c>
      <c r="G430">
        <v>1708.29</v>
      </c>
      <c r="H430" t="str">
        <f>VLOOKUP(myynnit[[#This Row],[TuoteID]],ohjaus!$A$4:$B$20,2,FALSE)</f>
        <v>Pianotuoli</v>
      </c>
    </row>
    <row r="431" spans="1:8" x14ac:dyDescent="0.35">
      <c r="A431" t="s">
        <v>40</v>
      </c>
      <c r="B431">
        <v>2012</v>
      </c>
      <c r="C431">
        <v>7</v>
      </c>
      <c r="D431">
        <v>16024</v>
      </c>
      <c r="E431">
        <v>153</v>
      </c>
      <c r="F431">
        <v>73539.48</v>
      </c>
      <c r="G431">
        <v>20554.71</v>
      </c>
      <c r="H431" t="str">
        <f>VLOOKUP(myynnit[[#This Row],[TuoteID]],ohjaus!$A$4:$B$20,2,FALSE)</f>
        <v>Työtuoli</v>
      </c>
    </row>
    <row r="432" spans="1:8" x14ac:dyDescent="0.35">
      <c r="A432" t="s">
        <v>40</v>
      </c>
      <c r="B432">
        <v>2012</v>
      </c>
      <c r="C432">
        <v>7</v>
      </c>
      <c r="D432">
        <v>16650</v>
      </c>
      <c r="E432">
        <v>13</v>
      </c>
      <c r="F432">
        <v>2128.9299999999998</v>
      </c>
      <c r="G432">
        <v>1395</v>
      </c>
      <c r="H432" t="str">
        <f>VLOOKUP(myynnit[[#This Row],[TuoteID]],ohjaus!$A$4:$B$20,2,FALSE)</f>
        <v>Rahi</v>
      </c>
    </row>
    <row r="433" spans="1:8" x14ac:dyDescent="0.35">
      <c r="A433" t="s">
        <v>40</v>
      </c>
      <c r="B433">
        <v>2012</v>
      </c>
      <c r="C433">
        <v>7</v>
      </c>
      <c r="D433">
        <v>17892</v>
      </c>
      <c r="E433">
        <v>75</v>
      </c>
      <c r="F433">
        <v>9640.92</v>
      </c>
      <c r="G433">
        <v>2118.13</v>
      </c>
      <c r="H433" t="str">
        <f>VLOOKUP(myynnit[[#This Row],[TuoteID]],ohjaus!$A$4:$B$20,2,FALSE)</f>
        <v>Lepotuoli</v>
      </c>
    </row>
    <row r="434" spans="1:8" x14ac:dyDescent="0.35">
      <c r="A434" t="s">
        <v>40</v>
      </c>
      <c r="B434">
        <v>2012</v>
      </c>
      <c r="C434">
        <v>7</v>
      </c>
      <c r="D434">
        <v>18342</v>
      </c>
      <c r="E434">
        <v>18</v>
      </c>
      <c r="F434">
        <v>14955.11</v>
      </c>
      <c r="G434">
        <v>4818.7</v>
      </c>
      <c r="H434" t="str">
        <f>VLOOKUP(myynnit[[#This Row],[TuoteID]],ohjaus!$A$4:$B$20,2,FALSE)</f>
        <v>Työtuoli</v>
      </c>
    </row>
    <row r="435" spans="1:8" x14ac:dyDescent="0.35">
      <c r="A435" t="s">
        <v>40</v>
      </c>
      <c r="B435">
        <v>2012</v>
      </c>
      <c r="C435">
        <v>7</v>
      </c>
      <c r="D435">
        <v>20177</v>
      </c>
      <c r="E435">
        <v>18</v>
      </c>
      <c r="F435">
        <v>2013.29</v>
      </c>
      <c r="G435">
        <v>832.87</v>
      </c>
      <c r="H435" t="str">
        <f>VLOOKUP(myynnit[[#This Row],[TuoteID]],ohjaus!$A$4:$B$20,2,FALSE)</f>
        <v>Säkkituoli</v>
      </c>
    </row>
    <row r="436" spans="1:8" x14ac:dyDescent="0.35">
      <c r="A436" t="s">
        <v>40</v>
      </c>
      <c r="B436">
        <v>2012</v>
      </c>
      <c r="C436">
        <v>7</v>
      </c>
      <c r="D436">
        <v>21179</v>
      </c>
      <c r="E436">
        <v>48</v>
      </c>
      <c r="F436">
        <v>6847.75</v>
      </c>
      <c r="G436">
        <v>4270.68</v>
      </c>
      <c r="H436" t="str">
        <f>VLOOKUP(myynnit[[#This Row],[TuoteID]],ohjaus!$A$4:$B$20,2,FALSE)</f>
        <v>Rahi</v>
      </c>
    </row>
    <row r="437" spans="1:8" x14ac:dyDescent="0.35">
      <c r="A437" t="s">
        <v>40</v>
      </c>
      <c r="B437">
        <v>2012</v>
      </c>
      <c r="C437">
        <v>7</v>
      </c>
      <c r="D437">
        <v>21260</v>
      </c>
      <c r="E437">
        <v>62</v>
      </c>
      <c r="F437">
        <v>11926.4</v>
      </c>
      <c r="G437">
        <v>3116.86</v>
      </c>
      <c r="H437" t="str">
        <f>VLOOKUP(myynnit[[#This Row],[TuoteID]],ohjaus!$A$4:$B$20,2,FALSE)</f>
        <v>Lepotuoli</v>
      </c>
    </row>
    <row r="438" spans="1:8" x14ac:dyDescent="0.35">
      <c r="A438" t="s">
        <v>40</v>
      </c>
      <c r="B438">
        <v>2012</v>
      </c>
      <c r="C438">
        <v>7</v>
      </c>
      <c r="D438">
        <v>22317</v>
      </c>
      <c r="E438">
        <v>18</v>
      </c>
      <c r="F438">
        <v>1345.31</v>
      </c>
      <c r="G438">
        <v>654.13</v>
      </c>
      <c r="H438" t="str">
        <f>VLOOKUP(myynnit[[#This Row],[TuoteID]],ohjaus!$A$4:$B$20,2,FALSE)</f>
        <v>Säkkituoli</v>
      </c>
    </row>
    <row r="439" spans="1:8" x14ac:dyDescent="0.35">
      <c r="A439" t="s">
        <v>40</v>
      </c>
      <c r="B439">
        <v>2012</v>
      </c>
      <c r="C439">
        <v>7</v>
      </c>
      <c r="D439">
        <v>22940</v>
      </c>
      <c r="E439">
        <v>173</v>
      </c>
      <c r="F439">
        <v>20213.47</v>
      </c>
      <c r="G439">
        <v>5083.57</v>
      </c>
      <c r="H439" t="str">
        <f>VLOOKUP(myynnit[[#This Row],[TuoteID]],ohjaus!$A$4:$B$20,2,FALSE)</f>
        <v>Pinnatuoli</v>
      </c>
    </row>
    <row r="440" spans="1:8" x14ac:dyDescent="0.35">
      <c r="A440" t="s">
        <v>40</v>
      </c>
      <c r="B440">
        <v>2012</v>
      </c>
      <c r="C440">
        <v>7</v>
      </c>
      <c r="D440">
        <v>23178</v>
      </c>
      <c r="E440">
        <v>262</v>
      </c>
      <c r="F440">
        <v>45045.69</v>
      </c>
      <c r="G440">
        <v>12115.81</v>
      </c>
      <c r="H440" t="str">
        <f>VLOOKUP(myynnit[[#This Row],[TuoteID]],ohjaus!$A$4:$B$20,2,FALSE)</f>
        <v>Pinnatuoli</v>
      </c>
    </row>
    <row r="441" spans="1:8" x14ac:dyDescent="0.35">
      <c r="A441" t="s">
        <v>40</v>
      </c>
      <c r="B441">
        <v>2012</v>
      </c>
      <c r="C441">
        <v>7</v>
      </c>
      <c r="D441">
        <v>23600</v>
      </c>
      <c r="E441">
        <v>434</v>
      </c>
      <c r="F441">
        <v>49528.24</v>
      </c>
      <c r="G441">
        <v>12008.11</v>
      </c>
      <c r="H441" t="str">
        <f>VLOOKUP(myynnit[[#This Row],[TuoteID]],ohjaus!$A$4:$B$20,2,FALSE)</f>
        <v>Pinnatuoli</v>
      </c>
    </row>
    <row r="442" spans="1:8" x14ac:dyDescent="0.35">
      <c r="A442" t="s">
        <v>40</v>
      </c>
      <c r="B442">
        <v>2012</v>
      </c>
      <c r="C442">
        <v>7</v>
      </c>
      <c r="D442">
        <v>23756</v>
      </c>
      <c r="E442">
        <v>59</v>
      </c>
      <c r="F442">
        <v>10290.700000000001</v>
      </c>
      <c r="G442">
        <v>4984.63</v>
      </c>
      <c r="H442" t="str">
        <f>VLOOKUP(myynnit[[#This Row],[TuoteID]],ohjaus!$A$4:$B$20,2,FALSE)</f>
        <v>Pianotuoli</v>
      </c>
    </row>
    <row r="443" spans="1:8" x14ac:dyDescent="0.35">
      <c r="A443" t="s">
        <v>40</v>
      </c>
      <c r="B443">
        <v>2012</v>
      </c>
      <c r="C443">
        <v>7</v>
      </c>
      <c r="D443">
        <v>24326</v>
      </c>
      <c r="E443">
        <v>19</v>
      </c>
      <c r="F443">
        <v>2717.37</v>
      </c>
      <c r="G443">
        <v>882.58</v>
      </c>
      <c r="H443" t="str">
        <f>VLOOKUP(myynnit[[#This Row],[TuoteID]],ohjaus!$A$4:$B$20,2,FALSE)</f>
        <v>Lepotuoli</v>
      </c>
    </row>
    <row r="444" spans="1:8" x14ac:dyDescent="0.35">
      <c r="A444" t="s">
        <v>39</v>
      </c>
      <c r="B444">
        <v>2012</v>
      </c>
      <c r="C444">
        <v>7</v>
      </c>
      <c r="D444">
        <v>12184</v>
      </c>
      <c r="E444">
        <v>100</v>
      </c>
      <c r="F444">
        <v>11729.05</v>
      </c>
      <c r="G444">
        <v>8574.32</v>
      </c>
      <c r="H444" t="str">
        <f>VLOOKUP(myynnit[[#This Row],[TuoteID]],ohjaus!$A$4:$B$20,2,FALSE)</f>
        <v>Rahi</v>
      </c>
    </row>
    <row r="445" spans="1:8" x14ac:dyDescent="0.35">
      <c r="A445" t="s">
        <v>39</v>
      </c>
      <c r="B445">
        <v>2012</v>
      </c>
      <c r="C445">
        <v>7</v>
      </c>
      <c r="D445">
        <v>12622</v>
      </c>
      <c r="E445">
        <v>43</v>
      </c>
      <c r="F445">
        <v>9404.44</v>
      </c>
      <c r="G445">
        <v>5827.09</v>
      </c>
      <c r="H445" t="str">
        <f>VLOOKUP(myynnit[[#This Row],[TuoteID]],ohjaus!$A$4:$B$20,2,FALSE)</f>
        <v>Pianotuoli</v>
      </c>
    </row>
    <row r="446" spans="1:8" x14ac:dyDescent="0.35">
      <c r="A446" t="s">
        <v>39</v>
      </c>
      <c r="B446">
        <v>2012</v>
      </c>
      <c r="C446">
        <v>7</v>
      </c>
      <c r="D446">
        <v>13527</v>
      </c>
      <c r="E446">
        <v>475</v>
      </c>
      <c r="F446">
        <v>83338.97</v>
      </c>
      <c r="G446">
        <v>19865.02</v>
      </c>
      <c r="H446" t="str">
        <f>VLOOKUP(myynnit[[#This Row],[TuoteID]],ohjaus!$A$4:$B$20,2,FALSE)</f>
        <v>Pinnatuoli</v>
      </c>
    </row>
    <row r="447" spans="1:8" x14ac:dyDescent="0.35">
      <c r="A447" t="s">
        <v>39</v>
      </c>
      <c r="B447">
        <v>2012</v>
      </c>
      <c r="C447">
        <v>7</v>
      </c>
      <c r="D447">
        <v>13618</v>
      </c>
      <c r="E447">
        <v>26</v>
      </c>
      <c r="F447">
        <v>12611.19</v>
      </c>
      <c r="G447">
        <v>6938.75</v>
      </c>
      <c r="H447" t="str">
        <f>VLOOKUP(myynnit[[#This Row],[TuoteID]],ohjaus!$A$4:$B$20,2,FALSE)</f>
        <v>Pianotuoli</v>
      </c>
    </row>
    <row r="448" spans="1:8" x14ac:dyDescent="0.35">
      <c r="A448" t="s">
        <v>39</v>
      </c>
      <c r="B448">
        <v>2012</v>
      </c>
      <c r="C448">
        <v>7</v>
      </c>
      <c r="D448">
        <v>16024</v>
      </c>
      <c r="E448">
        <v>216</v>
      </c>
      <c r="F448">
        <v>98459.01</v>
      </c>
      <c r="G448">
        <v>25819.81</v>
      </c>
      <c r="H448" t="str">
        <f>VLOOKUP(myynnit[[#This Row],[TuoteID]],ohjaus!$A$4:$B$20,2,FALSE)</f>
        <v>Työtuoli</v>
      </c>
    </row>
    <row r="449" spans="1:8" x14ac:dyDescent="0.35">
      <c r="A449" t="s">
        <v>39</v>
      </c>
      <c r="B449">
        <v>2012</v>
      </c>
      <c r="C449">
        <v>7</v>
      </c>
      <c r="D449">
        <v>16650</v>
      </c>
      <c r="E449">
        <v>22</v>
      </c>
      <c r="F449">
        <v>4268.47</v>
      </c>
      <c r="G449">
        <v>2679.26</v>
      </c>
      <c r="H449" t="str">
        <f>VLOOKUP(myynnit[[#This Row],[TuoteID]],ohjaus!$A$4:$B$20,2,FALSE)</f>
        <v>Rahi</v>
      </c>
    </row>
    <row r="450" spans="1:8" x14ac:dyDescent="0.35">
      <c r="A450" t="s">
        <v>39</v>
      </c>
      <c r="B450">
        <v>2012</v>
      </c>
      <c r="C450">
        <v>7</v>
      </c>
      <c r="D450">
        <v>17892</v>
      </c>
      <c r="E450">
        <v>91</v>
      </c>
      <c r="F450">
        <v>13639.55</v>
      </c>
      <c r="G450">
        <v>4143.59</v>
      </c>
      <c r="H450" t="str">
        <f>VLOOKUP(myynnit[[#This Row],[TuoteID]],ohjaus!$A$4:$B$20,2,FALSE)</f>
        <v>Lepotuoli</v>
      </c>
    </row>
    <row r="451" spans="1:8" x14ac:dyDescent="0.35">
      <c r="A451" t="s">
        <v>39</v>
      </c>
      <c r="B451">
        <v>2012</v>
      </c>
      <c r="C451">
        <v>7</v>
      </c>
      <c r="D451">
        <v>18342</v>
      </c>
      <c r="E451">
        <v>83</v>
      </c>
      <c r="F451">
        <v>76042.149999999994</v>
      </c>
      <c r="G451">
        <v>21697</v>
      </c>
      <c r="H451" t="str">
        <f>VLOOKUP(myynnit[[#This Row],[TuoteID]],ohjaus!$A$4:$B$20,2,FALSE)</f>
        <v>Työtuoli</v>
      </c>
    </row>
    <row r="452" spans="1:8" x14ac:dyDescent="0.35">
      <c r="A452" t="s">
        <v>39</v>
      </c>
      <c r="B452">
        <v>2012</v>
      </c>
      <c r="C452">
        <v>7</v>
      </c>
      <c r="D452">
        <v>20177</v>
      </c>
      <c r="E452">
        <v>65</v>
      </c>
      <c r="F452">
        <v>6037.59</v>
      </c>
      <c r="G452">
        <v>2779.37</v>
      </c>
      <c r="H452" t="str">
        <f>VLOOKUP(myynnit[[#This Row],[TuoteID]],ohjaus!$A$4:$B$20,2,FALSE)</f>
        <v>Säkkituoli</v>
      </c>
    </row>
    <row r="453" spans="1:8" x14ac:dyDescent="0.35">
      <c r="A453" t="s">
        <v>39</v>
      </c>
      <c r="B453">
        <v>2012</v>
      </c>
      <c r="C453">
        <v>7</v>
      </c>
      <c r="D453">
        <v>21179</v>
      </c>
      <c r="E453">
        <v>59</v>
      </c>
      <c r="F453">
        <v>7565.4</v>
      </c>
      <c r="G453">
        <v>4564.46</v>
      </c>
      <c r="H453" t="str">
        <f>VLOOKUP(myynnit[[#This Row],[TuoteID]],ohjaus!$A$4:$B$20,2,FALSE)</f>
        <v>Rahi</v>
      </c>
    </row>
    <row r="454" spans="1:8" x14ac:dyDescent="0.35">
      <c r="A454" t="s">
        <v>39</v>
      </c>
      <c r="B454">
        <v>2012</v>
      </c>
      <c r="C454">
        <v>7</v>
      </c>
      <c r="D454">
        <v>21260</v>
      </c>
      <c r="E454">
        <v>53</v>
      </c>
      <c r="F454">
        <v>11446.3</v>
      </c>
      <c r="G454">
        <v>3151.19</v>
      </c>
      <c r="H454" t="str">
        <f>VLOOKUP(myynnit[[#This Row],[TuoteID]],ohjaus!$A$4:$B$20,2,FALSE)</f>
        <v>Lepotuoli</v>
      </c>
    </row>
    <row r="455" spans="1:8" x14ac:dyDescent="0.35">
      <c r="A455" t="s">
        <v>39</v>
      </c>
      <c r="B455">
        <v>2012</v>
      </c>
      <c r="C455">
        <v>7</v>
      </c>
      <c r="D455">
        <v>22317</v>
      </c>
      <c r="E455">
        <v>27</v>
      </c>
      <c r="F455">
        <v>2544.27</v>
      </c>
      <c r="G455">
        <v>1042.21</v>
      </c>
      <c r="H455" t="str">
        <f>VLOOKUP(myynnit[[#This Row],[TuoteID]],ohjaus!$A$4:$B$20,2,FALSE)</f>
        <v>Säkkituoli</v>
      </c>
    </row>
    <row r="456" spans="1:8" x14ac:dyDescent="0.35">
      <c r="A456" t="s">
        <v>39</v>
      </c>
      <c r="B456">
        <v>2012</v>
      </c>
      <c r="C456">
        <v>7</v>
      </c>
      <c r="D456">
        <v>22940</v>
      </c>
      <c r="E456">
        <v>258</v>
      </c>
      <c r="F456">
        <v>35003.339999999997</v>
      </c>
      <c r="G456">
        <v>7577.93</v>
      </c>
      <c r="H456" t="str">
        <f>VLOOKUP(myynnit[[#This Row],[TuoteID]],ohjaus!$A$4:$B$20,2,FALSE)</f>
        <v>Pinnatuoli</v>
      </c>
    </row>
    <row r="457" spans="1:8" x14ac:dyDescent="0.35">
      <c r="A457" t="s">
        <v>39</v>
      </c>
      <c r="B457">
        <v>2012</v>
      </c>
      <c r="C457">
        <v>7</v>
      </c>
      <c r="D457">
        <v>23178</v>
      </c>
      <c r="E457">
        <v>180</v>
      </c>
      <c r="F457">
        <v>30862.28</v>
      </c>
      <c r="G457">
        <v>8109.75</v>
      </c>
      <c r="H457" t="str">
        <f>VLOOKUP(myynnit[[#This Row],[TuoteID]],ohjaus!$A$4:$B$20,2,FALSE)</f>
        <v>Pinnatuoli</v>
      </c>
    </row>
    <row r="458" spans="1:8" x14ac:dyDescent="0.35">
      <c r="A458" t="s">
        <v>39</v>
      </c>
      <c r="B458">
        <v>2012</v>
      </c>
      <c r="C458">
        <v>7</v>
      </c>
      <c r="D458">
        <v>23600</v>
      </c>
      <c r="E458">
        <v>1219</v>
      </c>
      <c r="F458">
        <v>148760.6</v>
      </c>
      <c r="G458">
        <v>44369.599999999999</v>
      </c>
      <c r="H458" t="str">
        <f>VLOOKUP(myynnit[[#This Row],[TuoteID]],ohjaus!$A$4:$B$20,2,FALSE)</f>
        <v>Pinnatuoli</v>
      </c>
    </row>
    <row r="459" spans="1:8" x14ac:dyDescent="0.35">
      <c r="A459" t="s">
        <v>39</v>
      </c>
      <c r="B459">
        <v>2012</v>
      </c>
      <c r="C459">
        <v>7</v>
      </c>
      <c r="D459">
        <v>23756</v>
      </c>
      <c r="E459">
        <v>104</v>
      </c>
      <c r="F459">
        <v>19086.060000000001</v>
      </c>
      <c r="G459">
        <v>12042.15</v>
      </c>
      <c r="H459" t="str">
        <f>VLOOKUP(myynnit[[#This Row],[TuoteID]],ohjaus!$A$4:$B$20,2,FALSE)</f>
        <v>Pianotuoli</v>
      </c>
    </row>
    <row r="460" spans="1:8" x14ac:dyDescent="0.35">
      <c r="A460" t="s">
        <v>39</v>
      </c>
      <c r="B460">
        <v>2012</v>
      </c>
      <c r="C460">
        <v>7</v>
      </c>
      <c r="D460">
        <v>24326</v>
      </c>
      <c r="E460">
        <v>93</v>
      </c>
      <c r="F460">
        <v>12554.58</v>
      </c>
      <c r="G460">
        <v>4169.04</v>
      </c>
      <c r="H460" t="str">
        <f>VLOOKUP(myynnit[[#This Row],[TuoteID]],ohjaus!$A$4:$B$20,2,FALSE)</f>
        <v>Lepotuoli</v>
      </c>
    </row>
    <row r="461" spans="1:8" x14ac:dyDescent="0.35">
      <c r="A461" t="s">
        <v>38</v>
      </c>
      <c r="B461">
        <v>2012</v>
      </c>
      <c r="C461">
        <v>7</v>
      </c>
      <c r="D461">
        <v>12184</v>
      </c>
      <c r="E461">
        <v>91</v>
      </c>
      <c r="F461">
        <v>9345.86</v>
      </c>
      <c r="G461">
        <v>4504.17</v>
      </c>
      <c r="H461" t="str">
        <f>VLOOKUP(myynnit[[#This Row],[TuoteID]],ohjaus!$A$4:$B$20,2,FALSE)</f>
        <v>Rahi</v>
      </c>
    </row>
    <row r="462" spans="1:8" x14ac:dyDescent="0.35">
      <c r="A462" t="s">
        <v>38</v>
      </c>
      <c r="B462">
        <v>2012</v>
      </c>
      <c r="C462">
        <v>7</v>
      </c>
      <c r="D462">
        <v>12622</v>
      </c>
      <c r="E462">
        <v>26</v>
      </c>
      <c r="F462">
        <v>7834.54</v>
      </c>
      <c r="G462">
        <v>3336.55</v>
      </c>
      <c r="H462" t="str">
        <f>VLOOKUP(myynnit[[#This Row],[TuoteID]],ohjaus!$A$4:$B$20,2,FALSE)</f>
        <v>Pianotuoli</v>
      </c>
    </row>
    <row r="463" spans="1:8" x14ac:dyDescent="0.35">
      <c r="A463" t="s">
        <v>38</v>
      </c>
      <c r="B463">
        <v>2012</v>
      </c>
      <c r="C463">
        <v>7</v>
      </c>
      <c r="D463">
        <v>13527</v>
      </c>
      <c r="E463">
        <v>530</v>
      </c>
      <c r="F463">
        <v>82302</v>
      </c>
      <c r="G463">
        <v>15047.13</v>
      </c>
      <c r="H463" t="str">
        <f>VLOOKUP(myynnit[[#This Row],[TuoteID]],ohjaus!$A$4:$B$20,2,FALSE)</f>
        <v>Pinnatuoli</v>
      </c>
    </row>
    <row r="464" spans="1:8" x14ac:dyDescent="0.35">
      <c r="A464" t="s">
        <v>38</v>
      </c>
      <c r="B464">
        <v>2012</v>
      </c>
      <c r="C464">
        <v>7</v>
      </c>
      <c r="D464">
        <v>13618</v>
      </c>
      <c r="E464">
        <v>7</v>
      </c>
      <c r="F464">
        <v>2396.67</v>
      </c>
      <c r="G464">
        <v>971.03</v>
      </c>
      <c r="H464" t="str">
        <f>VLOOKUP(myynnit[[#This Row],[TuoteID]],ohjaus!$A$4:$B$20,2,FALSE)</f>
        <v>Pianotuoli</v>
      </c>
    </row>
    <row r="465" spans="1:8" x14ac:dyDescent="0.35">
      <c r="A465" t="s">
        <v>38</v>
      </c>
      <c r="B465">
        <v>2012</v>
      </c>
      <c r="C465">
        <v>7</v>
      </c>
      <c r="D465">
        <v>16024</v>
      </c>
      <c r="E465">
        <v>195</v>
      </c>
      <c r="F465">
        <v>79690.3</v>
      </c>
      <c r="G465">
        <v>17812.37</v>
      </c>
      <c r="H465" t="str">
        <f>VLOOKUP(myynnit[[#This Row],[TuoteID]],ohjaus!$A$4:$B$20,2,FALSE)</f>
        <v>Työtuoli</v>
      </c>
    </row>
    <row r="466" spans="1:8" x14ac:dyDescent="0.35">
      <c r="A466" t="s">
        <v>38</v>
      </c>
      <c r="B466">
        <v>2012</v>
      </c>
      <c r="C466">
        <v>7</v>
      </c>
      <c r="D466">
        <v>16650</v>
      </c>
      <c r="E466">
        <v>40</v>
      </c>
      <c r="F466">
        <v>5435.69</v>
      </c>
      <c r="G466">
        <v>3391.6</v>
      </c>
      <c r="H466" t="str">
        <f>VLOOKUP(myynnit[[#This Row],[TuoteID]],ohjaus!$A$4:$B$20,2,FALSE)</f>
        <v>Rahi</v>
      </c>
    </row>
    <row r="467" spans="1:8" x14ac:dyDescent="0.35">
      <c r="A467" t="s">
        <v>38</v>
      </c>
      <c r="B467">
        <v>2012</v>
      </c>
      <c r="C467">
        <v>7</v>
      </c>
      <c r="D467">
        <v>17892</v>
      </c>
      <c r="E467">
        <v>111</v>
      </c>
      <c r="F467">
        <v>15781.03</v>
      </c>
      <c r="G467">
        <v>3990.2</v>
      </c>
      <c r="H467" t="str">
        <f>VLOOKUP(myynnit[[#This Row],[TuoteID]],ohjaus!$A$4:$B$20,2,FALSE)</f>
        <v>Lepotuoli</v>
      </c>
    </row>
    <row r="468" spans="1:8" x14ac:dyDescent="0.35">
      <c r="A468" t="s">
        <v>38</v>
      </c>
      <c r="B468">
        <v>2012</v>
      </c>
      <c r="C468">
        <v>7</v>
      </c>
      <c r="D468">
        <v>18342</v>
      </c>
      <c r="E468">
        <v>178</v>
      </c>
      <c r="F468">
        <v>160501.32999999999</v>
      </c>
      <c r="G468">
        <v>44459.47</v>
      </c>
      <c r="H468" t="str">
        <f>VLOOKUP(myynnit[[#This Row],[TuoteID]],ohjaus!$A$4:$B$20,2,FALSE)</f>
        <v>Työtuoli</v>
      </c>
    </row>
    <row r="469" spans="1:8" x14ac:dyDescent="0.35">
      <c r="A469" t="s">
        <v>38</v>
      </c>
      <c r="B469">
        <v>2012</v>
      </c>
      <c r="C469">
        <v>7</v>
      </c>
      <c r="D469">
        <v>20177</v>
      </c>
      <c r="E469">
        <v>97</v>
      </c>
      <c r="F469">
        <v>11111.94</v>
      </c>
      <c r="G469">
        <v>4297.68</v>
      </c>
      <c r="H469" t="str">
        <f>VLOOKUP(myynnit[[#This Row],[TuoteID]],ohjaus!$A$4:$B$20,2,FALSE)</f>
        <v>Säkkituoli</v>
      </c>
    </row>
    <row r="470" spans="1:8" x14ac:dyDescent="0.35">
      <c r="A470" t="s">
        <v>38</v>
      </c>
      <c r="B470">
        <v>2012</v>
      </c>
      <c r="C470">
        <v>7</v>
      </c>
      <c r="D470">
        <v>21179</v>
      </c>
      <c r="E470">
        <v>41</v>
      </c>
      <c r="F470">
        <v>5027.79</v>
      </c>
      <c r="G470">
        <v>2985.74</v>
      </c>
      <c r="H470" t="str">
        <f>VLOOKUP(myynnit[[#This Row],[TuoteID]],ohjaus!$A$4:$B$20,2,FALSE)</f>
        <v>Rahi</v>
      </c>
    </row>
    <row r="471" spans="1:8" x14ac:dyDescent="0.35">
      <c r="A471" t="s">
        <v>38</v>
      </c>
      <c r="B471">
        <v>2012</v>
      </c>
      <c r="C471">
        <v>7</v>
      </c>
      <c r="D471">
        <v>21260</v>
      </c>
      <c r="E471">
        <v>39</v>
      </c>
      <c r="F471">
        <v>6857.97</v>
      </c>
      <c r="G471">
        <v>1539</v>
      </c>
      <c r="H471" t="str">
        <f>VLOOKUP(myynnit[[#This Row],[TuoteID]],ohjaus!$A$4:$B$20,2,FALSE)</f>
        <v>Lepotuoli</v>
      </c>
    </row>
    <row r="472" spans="1:8" x14ac:dyDescent="0.35">
      <c r="A472" t="s">
        <v>38</v>
      </c>
      <c r="B472">
        <v>2012</v>
      </c>
      <c r="C472">
        <v>7</v>
      </c>
      <c r="D472">
        <v>22317</v>
      </c>
      <c r="E472">
        <v>61</v>
      </c>
      <c r="F472">
        <v>5032.53</v>
      </c>
      <c r="G472">
        <v>1662.32</v>
      </c>
      <c r="H472" t="str">
        <f>VLOOKUP(myynnit[[#This Row],[TuoteID]],ohjaus!$A$4:$B$20,2,FALSE)</f>
        <v>Säkkituoli</v>
      </c>
    </row>
    <row r="473" spans="1:8" x14ac:dyDescent="0.35">
      <c r="A473" t="s">
        <v>38</v>
      </c>
      <c r="B473">
        <v>2012</v>
      </c>
      <c r="C473">
        <v>7</v>
      </c>
      <c r="D473">
        <v>22940</v>
      </c>
      <c r="E473">
        <v>641</v>
      </c>
      <c r="F473">
        <v>88201.06</v>
      </c>
      <c r="G473">
        <v>18762.75</v>
      </c>
      <c r="H473" t="str">
        <f>VLOOKUP(myynnit[[#This Row],[TuoteID]],ohjaus!$A$4:$B$20,2,FALSE)</f>
        <v>Pinnatuoli</v>
      </c>
    </row>
    <row r="474" spans="1:8" x14ac:dyDescent="0.35">
      <c r="A474" t="s">
        <v>38</v>
      </c>
      <c r="B474">
        <v>2012</v>
      </c>
      <c r="C474">
        <v>7</v>
      </c>
      <c r="D474">
        <v>23178</v>
      </c>
      <c r="E474">
        <v>134</v>
      </c>
      <c r="F474">
        <v>24150.55</v>
      </c>
      <c r="G474">
        <v>4819.68</v>
      </c>
      <c r="H474" t="str">
        <f>VLOOKUP(myynnit[[#This Row],[TuoteID]],ohjaus!$A$4:$B$20,2,FALSE)</f>
        <v>Pinnatuoli</v>
      </c>
    </row>
    <row r="475" spans="1:8" x14ac:dyDescent="0.35">
      <c r="A475" t="s">
        <v>38</v>
      </c>
      <c r="B475">
        <v>2012</v>
      </c>
      <c r="C475">
        <v>7</v>
      </c>
      <c r="D475">
        <v>23600</v>
      </c>
      <c r="E475">
        <v>753</v>
      </c>
      <c r="F475">
        <v>79191.09</v>
      </c>
      <c r="G475">
        <v>15920.52</v>
      </c>
      <c r="H475" t="str">
        <f>VLOOKUP(myynnit[[#This Row],[TuoteID]],ohjaus!$A$4:$B$20,2,FALSE)</f>
        <v>Pinnatuoli</v>
      </c>
    </row>
    <row r="476" spans="1:8" x14ac:dyDescent="0.35">
      <c r="A476" t="s">
        <v>38</v>
      </c>
      <c r="B476">
        <v>2012</v>
      </c>
      <c r="C476">
        <v>7</v>
      </c>
      <c r="D476">
        <v>23756</v>
      </c>
      <c r="E476">
        <v>73</v>
      </c>
      <c r="F476">
        <v>15004.42</v>
      </c>
      <c r="G476">
        <v>7158.23</v>
      </c>
      <c r="H476" t="str">
        <f>VLOOKUP(myynnit[[#This Row],[TuoteID]],ohjaus!$A$4:$B$20,2,FALSE)</f>
        <v>Pianotuoli</v>
      </c>
    </row>
    <row r="477" spans="1:8" x14ac:dyDescent="0.35">
      <c r="A477" t="s">
        <v>38</v>
      </c>
      <c r="B477">
        <v>2012</v>
      </c>
      <c r="C477">
        <v>7</v>
      </c>
      <c r="D477">
        <v>24326</v>
      </c>
      <c r="E477">
        <v>102</v>
      </c>
      <c r="F477">
        <v>13400.89</v>
      </c>
      <c r="G477">
        <v>3862.85</v>
      </c>
      <c r="H477" t="str">
        <f>VLOOKUP(myynnit[[#This Row],[TuoteID]],ohjaus!$A$4:$B$20,2,FALSE)</f>
        <v>Lepotuoli</v>
      </c>
    </row>
    <row r="478" spans="1:8" x14ac:dyDescent="0.35">
      <c r="A478" t="s">
        <v>37</v>
      </c>
      <c r="B478">
        <v>2012</v>
      </c>
      <c r="C478">
        <v>8</v>
      </c>
      <c r="D478">
        <v>12184</v>
      </c>
      <c r="E478">
        <v>99</v>
      </c>
      <c r="F478">
        <v>12747.74</v>
      </c>
      <c r="G478">
        <v>6406.98</v>
      </c>
      <c r="H478" t="str">
        <f>VLOOKUP(myynnit[[#This Row],[TuoteID]],ohjaus!$A$4:$B$20,2,FALSE)</f>
        <v>Rahi</v>
      </c>
    </row>
    <row r="479" spans="1:8" x14ac:dyDescent="0.35">
      <c r="A479" t="s">
        <v>37</v>
      </c>
      <c r="B479">
        <v>2012</v>
      </c>
      <c r="C479">
        <v>8</v>
      </c>
      <c r="D479">
        <v>12622</v>
      </c>
      <c r="E479">
        <v>54</v>
      </c>
      <c r="F479">
        <v>15926.83</v>
      </c>
      <c r="G479">
        <v>7837.94</v>
      </c>
      <c r="H479" t="str">
        <f>VLOOKUP(myynnit[[#This Row],[TuoteID]],ohjaus!$A$4:$B$20,2,FALSE)</f>
        <v>Pianotuoli</v>
      </c>
    </row>
    <row r="480" spans="1:8" x14ac:dyDescent="0.35">
      <c r="A480" t="s">
        <v>37</v>
      </c>
      <c r="B480">
        <v>2012</v>
      </c>
      <c r="C480">
        <v>8</v>
      </c>
      <c r="D480">
        <v>13527</v>
      </c>
      <c r="E480">
        <v>697</v>
      </c>
      <c r="F480">
        <v>109403.08</v>
      </c>
      <c r="G480">
        <v>20831.34</v>
      </c>
      <c r="H480" t="str">
        <f>VLOOKUP(myynnit[[#This Row],[TuoteID]],ohjaus!$A$4:$B$20,2,FALSE)</f>
        <v>Pinnatuoli</v>
      </c>
    </row>
    <row r="481" spans="1:8" x14ac:dyDescent="0.35">
      <c r="A481" t="s">
        <v>37</v>
      </c>
      <c r="B481">
        <v>2012</v>
      </c>
      <c r="C481">
        <v>8</v>
      </c>
      <c r="D481">
        <v>13618</v>
      </c>
      <c r="E481">
        <v>21</v>
      </c>
      <c r="F481">
        <v>7173.99</v>
      </c>
      <c r="G481">
        <v>3767.48</v>
      </c>
      <c r="H481" t="str">
        <f>VLOOKUP(myynnit[[#This Row],[TuoteID]],ohjaus!$A$4:$B$20,2,FALSE)</f>
        <v>Pianotuoli</v>
      </c>
    </row>
    <row r="482" spans="1:8" x14ac:dyDescent="0.35">
      <c r="A482" t="s">
        <v>37</v>
      </c>
      <c r="B482">
        <v>2012</v>
      </c>
      <c r="C482">
        <v>8</v>
      </c>
      <c r="D482">
        <v>16024</v>
      </c>
      <c r="E482">
        <v>151</v>
      </c>
      <c r="F482">
        <v>67425.490000000005</v>
      </c>
      <c r="G482">
        <v>18953.03</v>
      </c>
      <c r="H482" t="str">
        <f>VLOOKUP(myynnit[[#This Row],[TuoteID]],ohjaus!$A$4:$B$20,2,FALSE)</f>
        <v>Työtuoli</v>
      </c>
    </row>
    <row r="483" spans="1:8" x14ac:dyDescent="0.35">
      <c r="A483" t="s">
        <v>37</v>
      </c>
      <c r="B483">
        <v>2012</v>
      </c>
      <c r="C483">
        <v>8</v>
      </c>
      <c r="D483">
        <v>16650</v>
      </c>
      <c r="E483">
        <v>68</v>
      </c>
      <c r="F483">
        <v>11492.69</v>
      </c>
      <c r="G483">
        <v>4615.1899999999996</v>
      </c>
      <c r="H483" t="str">
        <f>VLOOKUP(myynnit[[#This Row],[TuoteID]],ohjaus!$A$4:$B$20,2,FALSE)</f>
        <v>Rahi</v>
      </c>
    </row>
    <row r="484" spans="1:8" x14ac:dyDescent="0.35">
      <c r="A484" t="s">
        <v>37</v>
      </c>
      <c r="B484">
        <v>2012</v>
      </c>
      <c r="C484">
        <v>8</v>
      </c>
      <c r="D484">
        <v>17892</v>
      </c>
      <c r="E484">
        <v>159</v>
      </c>
      <c r="F484">
        <v>20981.55</v>
      </c>
      <c r="G484">
        <v>6820.22</v>
      </c>
      <c r="H484" t="str">
        <f>VLOOKUP(myynnit[[#This Row],[TuoteID]],ohjaus!$A$4:$B$20,2,FALSE)</f>
        <v>Lepotuoli</v>
      </c>
    </row>
    <row r="485" spans="1:8" x14ac:dyDescent="0.35">
      <c r="A485" t="s">
        <v>37</v>
      </c>
      <c r="B485">
        <v>2012</v>
      </c>
      <c r="C485">
        <v>8</v>
      </c>
      <c r="D485">
        <v>18342</v>
      </c>
      <c r="E485">
        <v>91</v>
      </c>
      <c r="F485">
        <v>75373.31</v>
      </c>
      <c r="G485">
        <v>22788.36</v>
      </c>
      <c r="H485" t="str">
        <f>VLOOKUP(myynnit[[#This Row],[TuoteID]],ohjaus!$A$4:$B$20,2,FALSE)</f>
        <v>Työtuoli</v>
      </c>
    </row>
    <row r="486" spans="1:8" x14ac:dyDescent="0.35">
      <c r="A486" t="s">
        <v>37</v>
      </c>
      <c r="B486">
        <v>2012</v>
      </c>
      <c r="C486">
        <v>8</v>
      </c>
      <c r="D486">
        <v>20177</v>
      </c>
      <c r="E486">
        <v>150</v>
      </c>
      <c r="F486">
        <v>15690.43</v>
      </c>
      <c r="G486">
        <v>5548.48</v>
      </c>
      <c r="H486" t="str">
        <f>VLOOKUP(myynnit[[#This Row],[TuoteID]],ohjaus!$A$4:$B$20,2,FALSE)</f>
        <v>Säkkituoli</v>
      </c>
    </row>
    <row r="487" spans="1:8" x14ac:dyDescent="0.35">
      <c r="A487" t="s">
        <v>37</v>
      </c>
      <c r="B487">
        <v>2012</v>
      </c>
      <c r="C487">
        <v>8</v>
      </c>
      <c r="D487">
        <v>21179</v>
      </c>
      <c r="E487">
        <v>42</v>
      </c>
      <c r="F487">
        <v>4230.5600000000004</v>
      </c>
      <c r="G487">
        <v>1765.13</v>
      </c>
      <c r="H487" t="str">
        <f>VLOOKUP(myynnit[[#This Row],[TuoteID]],ohjaus!$A$4:$B$20,2,FALSE)</f>
        <v>Rahi</v>
      </c>
    </row>
    <row r="488" spans="1:8" x14ac:dyDescent="0.35">
      <c r="A488" t="s">
        <v>37</v>
      </c>
      <c r="B488">
        <v>2012</v>
      </c>
      <c r="C488">
        <v>8</v>
      </c>
      <c r="D488">
        <v>21260</v>
      </c>
      <c r="E488">
        <v>98</v>
      </c>
      <c r="F488">
        <v>17621.68</v>
      </c>
      <c r="G488">
        <v>4360.83</v>
      </c>
      <c r="H488" t="str">
        <f>VLOOKUP(myynnit[[#This Row],[TuoteID]],ohjaus!$A$4:$B$20,2,FALSE)</f>
        <v>Lepotuoli</v>
      </c>
    </row>
    <row r="489" spans="1:8" x14ac:dyDescent="0.35">
      <c r="A489" t="s">
        <v>37</v>
      </c>
      <c r="B489">
        <v>2012</v>
      </c>
      <c r="C489">
        <v>8</v>
      </c>
      <c r="D489">
        <v>22317</v>
      </c>
      <c r="E489">
        <v>107</v>
      </c>
      <c r="F489">
        <v>8354.06</v>
      </c>
      <c r="G489">
        <v>3134.8</v>
      </c>
      <c r="H489" t="str">
        <f>VLOOKUP(myynnit[[#This Row],[TuoteID]],ohjaus!$A$4:$B$20,2,FALSE)</f>
        <v>Säkkituoli</v>
      </c>
    </row>
    <row r="490" spans="1:8" x14ac:dyDescent="0.35">
      <c r="A490" t="s">
        <v>37</v>
      </c>
      <c r="B490">
        <v>2012</v>
      </c>
      <c r="C490">
        <v>8</v>
      </c>
      <c r="D490">
        <v>22940</v>
      </c>
      <c r="E490">
        <v>624</v>
      </c>
      <c r="F490">
        <v>74631.17</v>
      </c>
      <c r="G490">
        <v>13843.93</v>
      </c>
      <c r="H490" t="str">
        <f>VLOOKUP(myynnit[[#This Row],[TuoteID]],ohjaus!$A$4:$B$20,2,FALSE)</f>
        <v>Pinnatuoli</v>
      </c>
    </row>
    <row r="491" spans="1:8" x14ac:dyDescent="0.35">
      <c r="A491" t="s">
        <v>37</v>
      </c>
      <c r="B491">
        <v>2012</v>
      </c>
      <c r="C491">
        <v>8</v>
      </c>
      <c r="D491">
        <v>23178</v>
      </c>
      <c r="E491">
        <v>249</v>
      </c>
      <c r="F491">
        <v>45330.16</v>
      </c>
      <c r="G491">
        <v>8353.8700000000008</v>
      </c>
      <c r="H491" t="str">
        <f>VLOOKUP(myynnit[[#This Row],[TuoteID]],ohjaus!$A$4:$B$20,2,FALSE)</f>
        <v>Pinnatuoli</v>
      </c>
    </row>
    <row r="492" spans="1:8" x14ac:dyDescent="0.35">
      <c r="A492" t="s">
        <v>37</v>
      </c>
      <c r="B492">
        <v>2012</v>
      </c>
      <c r="C492">
        <v>8</v>
      </c>
      <c r="D492">
        <v>23600</v>
      </c>
      <c r="E492">
        <v>708</v>
      </c>
      <c r="F492">
        <v>75882.429999999993</v>
      </c>
      <c r="G492">
        <v>16721.84</v>
      </c>
      <c r="H492" t="str">
        <f>VLOOKUP(myynnit[[#This Row],[TuoteID]],ohjaus!$A$4:$B$20,2,FALSE)</f>
        <v>Pinnatuoli</v>
      </c>
    </row>
    <row r="493" spans="1:8" x14ac:dyDescent="0.35">
      <c r="A493" t="s">
        <v>37</v>
      </c>
      <c r="B493">
        <v>2012</v>
      </c>
      <c r="C493">
        <v>8</v>
      </c>
      <c r="D493">
        <v>23756</v>
      </c>
      <c r="E493">
        <v>103</v>
      </c>
      <c r="F493">
        <v>20426.099999999999</v>
      </c>
      <c r="G493">
        <v>8440.5</v>
      </c>
      <c r="H493" t="str">
        <f>VLOOKUP(myynnit[[#This Row],[TuoteID]],ohjaus!$A$4:$B$20,2,FALSE)</f>
        <v>Pianotuoli</v>
      </c>
    </row>
    <row r="494" spans="1:8" x14ac:dyDescent="0.35">
      <c r="A494" t="s">
        <v>37</v>
      </c>
      <c r="B494">
        <v>2012</v>
      </c>
      <c r="C494">
        <v>8</v>
      </c>
      <c r="D494">
        <v>24326</v>
      </c>
      <c r="E494">
        <v>190</v>
      </c>
      <c r="F494">
        <v>26245.38</v>
      </c>
      <c r="G494">
        <v>8559.14</v>
      </c>
      <c r="H494" t="str">
        <f>VLOOKUP(myynnit[[#This Row],[TuoteID]],ohjaus!$A$4:$B$20,2,FALSE)</f>
        <v>Lepotuoli</v>
      </c>
    </row>
    <row r="495" spans="1:8" x14ac:dyDescent="0.35">
      <c r="A495" t="s">
        <v>40</v>
      </c>
      <c r="B495">
        <v>2012</v>
      </c>
      <c r="C495">
        <v>8</v>
      </c>
      <c r="D495">
        <v>12184</v>
      </c>
      <c r="E495">
        <v>38</v>
      </c>
      <c r="F495">
        <v>4846.8500000000004</v>
      </c>
      <c r="G495">
        <v>2314.46</v>
      </c>
      <c r="H495" t="str">
        <f>VLOOKUP(myynnit[[#This Row],[TuoteID]],ohjaus!$A$4:$B$20,2,FALSE)</f>
        <v>Rahi</v>
      </c>
    </row>
    <row r="496" spans="1:8" x14ac:dyDescent="0.35">
      <c r="A496" t="s">
        <v>40</v>
      </c>
      <c r="B496">
        <v>2012</v>
      </c>
      <c r="C496">
        <v>8</v>
      </c>
      <c r="D496">
        <v>12622</v>
      </c>
      <c r="E496">
        <v>20</v>
      </c>
      <c r="F496">
        <v>5558.43</v>
      </c>
      <c r="G496">
        <v>2011.6</v>
      </c>
      <c r="H496" t="str">
        <f>VLOOKUP(myynnit[[#This Row],[TuoteID]],ohjaus!$A$4:$B$20,2,FALSE)</f>
        <v>Pianotuoli</v>
      </c>
    </row>
    <row r="497" spans="1:8" x14ac:dyDescent="0.35">
      <c r="A497" t="s">
        <v>40</v>
      </c>
      <c r="B497">
        <v>2012</v>
      </c>
      <c r="C497">
        <v>8</v>
      </c>
      <c r="D497">
        <v>13527</v>
      </c>
      <c r="E497">
        <v>125</v>
      </c>
      <c r="F497">
        <v>21083.45</v>
      </c>
      <c r="G497">
        <v>4154.3599999999997</v>
      </c>
      <c r="H497" t="str">
        <f>VLOOKUP(myynnit[[#This Row],[TuoteID]],ohjaus!$A$4:$B$20,2,FALSE)</f>
        <v>Pinnatuoli</v>
      </c>
    </row>
    <row r="498" spans="1:8" x14ac:dyDescent="0.35">
      <c r="A498" t="s">
        <v>40</v>
      </c>
      <c r="B498">
        <v>2012</v>
      </c>
      <c r="C498">
        <v>8</v>
      </c>
      <c r="D498">
        <v>13618</v>
      </c>
      <c r="E498">
        <v>8</v>
      </c>
      <c r="F498">
        <v>3240.25</v>
      </c>
      <c r="G498">
        <v>1476.12</v>
      </c>
      <c r="H498" t="str">
        <f>VLOOKUP(myynnit[[#This Row],[TuoteID]],ohjaus!$A$4:$B$20,2,FALSE)</f>
        <v>Pianotuoli</v>
      </c>
    </row>
    <row r="499" spans="1:8" x14ac:dyDescent="0.35">
      <c r="A499" t="s">
        <v>40</v>
      </c>
      <c r="B499">
        <v>2012</v>
      </c>
      <c r="C499">
        <v>8</v>
      </c>
      <c r="D499">
        <v>16024</v>
      </c>
      <c r="E499">
        <v>167</v>
      </c>
      <c r="F499">
        <v>75960.820000000007</v>
      </c>
      <c r="G499">
        <v>24690.2</v>
      </c>
      <c r="H499" t="str">
        <f>VLOOKUP(myynnit[[#This Row],[TuoteID]],ohjaus!$A$4:$B$20,2,FALSE)</f>
        <v>Työtuoli</v>
      </c>
    </row>
    <row r="500" spans="1:8" x14ac:dyDescent="0.35">
      <c r="A500" t="s">
        <v>40</v>
      </c>
      <c r="B500">
        <v>2012</v>
      </c>
      <c r="C500">
        <v>8</v>
      </c>
      <c r="D500">
        <v>16650</v>
      </c>
      <c r="E500">
        <v>36</v>
      </c>
      <c r="F500">
        <v>5427.88</v>
      </c>
      <c r="G500">
        <v>2996.54</v>
      </c>
      <c r="H500" t="str">
        <f>VLOOKUP(myynnit[[#This Row],[TuoteID]],ohjaus!$A$4:$B$20,2,FALSE)</f>
        <v>Rahi</v>
      </c>
    </row>
    <row r="501" spans="1:8" x14ac:dyDescent="0.35">
      <c r="A501" t="s">
        <v>40</v>
      </c>
      <c r="B501">
        <v>2012</v>
      </c>
      <c r="C501">
        <v>8</v>
      </c>
      <c r="D501">
        <v>17892</v>
      </c>
      <c r="E501">
        <v>75</v>
      </c>
      <c r="F501">
        <v>9335.9</v>
      </c>
      <c r="G501">
        <v>2047.41</v>
      </c>
      <c r="H501" t="str">
        <f>VLOOKUP(myynnit[[#This Row],[TuoteID]],ohjaus!$A$4:$B$20,2,FALSE)</f>
        <v>Lepotuoli</v>
      </c>
    </row>
    <row r="502" spans="1:8" x14ac:dyDescent="0.35">
      <c r="A502" t="s">
        <v>40</v>
      </c>
      <c r="B502">
        <v>2012</v>
      </c>
      <c r="C502">
        <v>8</v>
      </c>
      <c r="D502">
        <v>18342</v>
      </c>
      <c r="E502">
        <v>22</v>
      </c>
      <c r="F502">
        <v>18382.63</v>
      </c>
      <c r="G502">
        <v>5085.76</v>
      </c>
      <c r="H502" t="str">
        <f>VLOOKUP(myynnit[[#This Row],[TuoteID]],ohjaus!$A$4:$B$20,2,FALSE)</f>
        <v>Työtuoli</v>
      </c>
    </row>
    <row r="503" spans="1:8" x14ac:dyDescent="0.35">
      <c r="A503" t="s">
        <v>40</v>
      </c>
      <c r="B503">
        <v>2012</v>
      </c>
      <c r="C503">
        <v>8</v>
      </c>
      <c r="D503">
        <v>20177</v>
      </c>
      <c r="E503">
        <v>34</v>
      </c>
      <c r="F503">
        <v>2960.31</v>
      </c>
      <c r="G503">
        <v>1087.94</v>
      </c>
      <c r="H503" t="str">
        <f>VLOOKUP(myynnit[[#This Row],[TuoteID]],ohjaus!$A$4:$B$20,2,FALSE)</f>
        <v>Säkkituoli</v>
      </c>
    </row>
    <row r="504" spans="1:8" x14ac:dyDescent="0.35">
      <c r="A504" t="s">
        <v>40</v>
      </c>
      <c r="B504">
        <v>2012</v>
      </c>
      <c r="C504">
        <v>8</v>
      </c>
      <c r="D504">
        <v>21179</v>
      </c>
      <c r="E504">
        <v>53</v>
      </c>
      <c r="F504">
        <v>6646.64</v>
      </c>
      <c r="G504">
        <v>3229.97</v>
      </c>
      <c r="H504" t="str">
        <f>VLOOKUP(myynnit[[#This Row],[TuoteID]],ohjaus!$A$4:$B$20,2,FALSE)</f>
        <v>Rahi</v>
      </c>
    </row>
    <row r="505" spans="1:8" x14ac:dyDescent="0.35">
      <c r="A505" t="s">
        <v>40</v>
      </c>
      <c r="B505">
        <v>2012</v>
      </c>
      <c r="C505">
        <v>8</v>
      </c>
      <c r="D505">
        <v>21260</v>
      </c>
      <c r="E505">
        <v>35</v>
      </c>
      <c r="F505">
        <v>6517.09</v>
      </c>
      <c r="G505">
        <v>1340.9</v>
      </c>
      <c r="H505" t="str">
        <f>VLOOKUP(myynnit[[#This Row],[TuoteID]],ohjaus!$A$4:$B$20,2,FALSE)</f>
        <v>Lepotuoli</v>
      </c>
    </row>
    <row r="506" spans="1:8" x14ac:dyDescent="0.35">
      <c r="A506" t="s">
        <v>40</v>
      </c>
      <c r="B506">
        <v>2012</v>
      </c>
      <c r="C506">
        <v>8</v>
      </c>
      <c r="D506">
        <v>22317</v>
      </c>
      <c r="E506">
        <v>8</v>
      </c>
      <c r="F506">
        <v>625.08000000000004</v>
      </c>
      <c r="G506">
        <v>323.98</v>
      </c>
      <c r="H506" t="str">
        <f>VLOOKUP(myynnit[[#This Row],[TuoteID]],ohjaus!$A$4:$B$20,2,FALSE)</f>
        <v>Säkkituoli</v>
      </c>
    </row>
    <row r="507" spans="1:8" x14ac:dyDescent="0.35">
      <c r="A507" t="s">
        <v>40</v>
      </c>
      <c r="B507">
        <v>2012</v>
      </c>
      <c r="C507">
        <v>8</v>
      </c>
      <c r="D507">
        <v>22940</v>
      </c>
      <c r="E507">
        <v>158</v>
      </c>
      <c r="F507">
        <v>20195.79</v>
      </c>
      <c r="G507">
        <v>5747.53</v>
      </c>
      <c r="H507" t="str">
        <f>VLOOKUP(myynnit[[#This Row],[TuoteID]],ohjaus!$A$4:$B$20,2,FALSE)</f>
        <v>Pinnatuoli</v>
      </c>
    </row>
    <row r="508" spans="1:8" x14ac:dyDescent="0.35">
      <c r="A508" t="s">
        <v>40</v>
      </c>
      <c r="B508">
        <v>2012</v>
      </c>
      <c r="C508">
        <v>8</v>
      </c>
      <c r="D508">
        <v>23178</v>
      </c>
      <c r="E508">
        <v>274</v>
      </c>
      <c r="F508">
        <v>47940.959999999999</v>
      </c>
      <c r="G508">
        <v>11642.64</v>
      </c>
      <c r="H508" t="str">
        <f>VLOOKUP(myynnit[[#This Row],[TuoteID]],ohjaus!$A$4:$B$20,2,FALSE)</f>
        <v>Pinnatuoli</v>
      </c>
    </row>
    <row r="509" spans="1:8" x14ac:dyDescent="0.35">
      <c r="A509" t="s">
        <v>40</v>
      </c>
      <c r="B509">
        <v>2012</v>
      </c>
      <c r="C509">
        <v>8</v>
      </c>
      <c r="D509">
        <v>23600</v>
      </c>
      <c r="E509">
        <v>471</v>
      </c>
      <c r="F509">
        <v>47812.72</v>
      </c>
      <c r="G509">
        <v>13285.1</v>
      </c>
      <c r="H509" t="str">
        <f>VLOOKUP(myynnit[[#This Row],[TuoteID]],ohjaus!$A$4:$B$20,2,FALSE)</f>
        <v>Pinnatuoli</v>
      </c>
    </row>
    <row r="510" spans="1:8" x14ac:dyDescent="0.35">
      <c r="A510" t="s">
        <v>40</v>
      </c>
      <c r="B510">
        <v>2012</v>
      </c>
      <c r="C510">
        <v>8</v>
      </c>
      <c r="D510">
        <v>23756</v>
      </c>
      <c r="E510">
        <v>72</v>
      </c>
      <c r="F510">
        <v>12113.76</v>
      </c>
      <c r="G510">
        <v>5289.49</v>
      </c>
      <c r="H510" t="str">
        <f>VLOOKUP(myynnit[[#This Row],[TuoteID]],ohjaus!$A$4:$B$20,2,FALSE)</f>
        <v>Pianotuoli</v>
      </c>
    </row>
    <row r="511" spans="1:8" x14ac:dyDescent="0.35">
      <c r="A511" t="s">
        <v>40</v>
      </c>
      <c r="B511">
        <v>2012</v>
      </c>
      <c r="C511">
        <v>8</v>
      </c>
      <c r="D511">
        <v>24326</v>
      </c>
      <c r="E511">
        <v>19</v>
      </c>
      <c r="F511">
        <v>2768.13</v>
      </c>
      <c r="G511">
        <v>852.5</v>
      </c>
      <c r="H511" t="str">
        <f>VLOOKUP(myynnit[[#This Row],[TuoteID]],ohjaus!$A$4:$B$20,2,FALSE)</f>
        <v>Lepotuoli</v>
      </c>
    </row>
    <row r="512" spans="1:8" x14ac:dyDescent="0.35">
      <c r="A512" t="s">
        <v>39</v>
      </c>
      <c r="B512">
        <v>2012</v>
      </c>
      <c r="C512">
        <v>8</v>
      </c>
      <c r="D512">
        <v>12184</v>
      </c>
      <c r="E512">
        <v>77</v>
      </c>
      <c r="F512">
        <v>10794.37</v>
      </c>
      <c r="G512">
        <v>6585.85</v>
      </c>
      <c r="H512" t="str">
        <f>VLOOKUP(myynnit[[#This Row],[TuoteID]],ohjaus!$A$4:$B$20,2,FALSE)</f>
        <v>Rahi</v>
      </c>
    </row>
    <row r="513" spans="1:8" x14ac:dyDescent="0.35">
      <c r="A513" t="s">
        <v>39</v>
      </c>
      <c r="B513">
        <v>2012</v>
      </c>
      <c r="C513">
        <v>8</v>
      </c>
      <c r="D513">
        <v>12622</v>
      </c>
      <c r="E513">
        <v>36</v>
      </c>
      <c r="F513">
        <v>10435.6</v>
      </c>
      <c r="G513">
        <v>5900.85</v>
      </c>
      <c r="H513" t="str">
        <f>VLOOKUP(myynnit[[#This Row],[TuoteID]],ohjaus!$A$4:$B$20,2,FALSE)</f>
        <v>Pianotuoli</v>
      </c>
    </row>
    <row r="514" spans="1:8" x14ac:dyDescent="0.35">
      <c r="A514" t="s">
        <v>39</v>
      </c>
      <c r="B514">
        <v>2012</v>
      </c>
      <c r="C514">
        <v>8</v>
      </c>
      <c r="D514">
        <v>13527</v>
      </c>
      <c r="E514">
        <v>423</v>
      </c>
      <c r="F514">
        <v>74305.37</v>
      </c>
      <c r="G514">
        <v>17558.61</v>
      </c>
      <c r="H514" t="str">
        <f>VLOOKUP(myynnit[[#This Row],[TuoteID]],ohjaus!$A$4:$B$20,2,FALSE)</f>
        <v>Pinnatuoli</v>
      </c>
    </row>
    <row r="515" spans="1:8" x14ac:dyDescent="0.35">
      <c r="A515" t="s">
        <v>39</v>
      </c>
      <c r="B515">
        <v>2012</v>
      </c>
      <c r="C515">
        <v>8</v>
      </c>
      <c r="D515">
        <v>13618</v>
      </c>
      <c r="E515">
        <v>17</v>
      </c>
      <c r="F515">
        <v>7057.06</v>
      </c>
      <c r="G515">
        <v>3712.73</v>
      </c>
      <c r="H515" t="str">
        <f>VLOOKUP(myynnit[[#This Row],[TuoteID]],ohjaus!$A$4:$B$20,2,FALSE)</f>
        <v>Pianotuoli</v>
      </c>
    </row>
    <row r="516" spans="1:8" x14ac:dyDescent="0.35">
      <c r="A516" t="s">
        <v>39</v>
      </c>
      <c r="B516">
        <v>2012</v>
      </c>
      <c r="C516">
        <v>8</v>
      </c>
      <c r="D516">
        <v>16024</v>
      </c>
      <c r="E516">
        <v>344</v>
      </c>
      <c r="F516">
        <v>166546.20000000001</v>
      </c>
      <c r="G516">
        <v>56668.71</v>
      </c>
      <c r="H516" t="str">
        <f>VLOOKUP(myynnit[[#This Row],[TuoteID]],ohjaus!$A$4:$B$20,2,FALSE)</f>
        <v>Työtuoli</v>
      </c>
    </row>
    <row r="517" spans="1:8" x14ac:dyDescent="0.35">
      <c r="A517" t="s">
        <v>39</v>
      </c>
      <c r="B517">
        <v>2012</v>
      </c>
      <c r="C517">
        <v>8</v>
      </c>
      <c r="D517">
        <v>16650</v>
      </c>
      <c r="E517">
        <v>36</v>
      </c>
      <c r="F517">
        <v>6031.59</v>
      </c>
      <c r="G517">
        <v>4218.7299999999996</v>
      </c>
      <c r="H517" t="str">
        <f>VLOOKUP(myynnit[[#This Row],[TuoteID]],ohjaus!$A$4:$B$20,2,FALSE)</f>
        <v>Rahi</v>
      </c>
    </row>
    <row r="518" spans="1:8" x14ac:dyDescent="0.35">
      <c r="A518" t="s">
        <v>39</v>
      </c>
      <c r="B518">
        <v>2012</v>
      </c>
      <c r="C518">
        <v>8</v>
      </c>
      <c r="D518">
        <v>17892</v>
      </c>
      <c r="E518">
        <v>136</v>
      </c>
      <c r="F518">
        <v>20233.169999999998</v>
      </c>
      <c r="G518">
        <v>6528.06</v>
      </c>
      <c r="H518" t="str">
        <f>VLOOKUP(myynnit[[#This Row],[TuoteID]],ohjaus!$A$4:$B$20,2,FALSE)</f>
        <v>Lepotuoli</v>
      </c>
    </row>
    <row r="519" spans="1:8" x14ac:dyDescent="0.35">
      <c r="A519" t="s">
        <v>39</v>
      </c>
      <c r="B519">
        <v>2012</v>
      </c>
      <c r="C519">
        <v>8</v>
      </c>
      <c r="D519">
        <v>18342</v>
      </c>
      <c r="E519">
        <v>154</v>
      </c>
      <c r="F519">
        <v>118722.87</v>
      </c>
      <c r="G519">
        <v>40518.71</v>
      </c>
      <c r="H519" t="str">
        <f>VLOOKUP(myynnit[[#This Row],[TuoteID]],ohjaus!$A$4:$B$20,2,FALSE)</f>
        <v>Työtuoli</v>
      </c>
    </row>
    <row r="520" spans="1:8" x14ac:dyDescent="0.35">
      <c r="A520" t="s">
        <v>39</v>
      </c>
      <c r="B520">
        <v>2012</v>
      </c>
      <c r="C520">
        <v>8</v>
      </c>
      <c r="D520">
        <v>20177</v>
      </c>
      <c r="E520">
        <v>93</v>
      </c>
      <c r="F520">
        <v>10401.57</v>
      </c>
      <c r="G520">
        <v>4867.51</v>
      </c>
      <c r="H520" t="str">
        <f>VLOOKUP(myynnit[[#This Row],[TuoteID]],ohjaus!$A$4:$B$20,2,FALSE)</f>
        <v>Säkkituoli</v>
      </c>
    </row>
    <row r="521" spans="1:8" x14ac:dyDescent="0.35">
      <c r="A521" t="s">
        <v>39</v>
      </c>
      <c r="B521">
        <v>2012</v>
      </c>
      <c r="C521">
        <v>8</v>
      </c>
      <c r="D521">
        <v>21179</v>
      </c>
      <c r="E521">
        <v>66</v>
      </c>
      <c r="F521">
        <v>6817.81</v>
      </c>
      <c r="G521">
        <v>4320.7700000000004</v>
      </c>
      <c r="H521" t="str">
        <f>VLOOKUP(myynnit[[#This Row],[TuoteID]],ohjaus!$A$4:$B$20,2,FALSE)</f>
        <v>Rahi</v>
      </c>
    </row>
    <row r="522" spans="1:8" x14ac:dyDescent="0.35">
      <c r="A522" t="s">
        <v>39</v>
      </c>
      <c r="B522">
        <v>2012</v>
      </c>
      <c r="C522">
        <v>8</v>
      </c>
      <c r="D522">
        <v>21260</v>
      </c>
      <c r="E522">
        <v>70</v>
      </c>
      <c r="F522">
        <v>14194.21</v>
      </c>
      <c r="G522">
        <v>4080.94</v>
      </c>
      <c r="H522" t="str">
        <f>VLOOKUP(myynnit[[#This Row],[TuoteID]],ohjaus!$A$4:$B$20,2,FALSE)</f>
        <v>Lepotuoli</v>
      </c>
    </row>
    <row r="523" spans="1:8" x14ac:dyDescent="0.35">
      <c r="A523" t="s">
        <v>39</v>
      </c>
      <c r="B523">
        <v>2012</v>
      </c>
      <c r="C523">
        <v>8</v>
      </c>
      <c r="D523">
        <v>22317</v>
      </c>
      <c r="E523">
        <v>25</v>
      </c>
      <c r="F523">
        <v>2391.38</v>
      </c>
      <c r="G523">
        <v>1239.45</v>
      </c>
      <c r="H523" t="str">
        <f>VLOOKUP(myynnit[[#This Row],[TuoteID]],ohjaus!$A$4:$B$20,2,FALSE)</f>
        <v>Säkkituoli</v>
      </c>
    </row>
    <row r="524" spans="1:8" x14ac:dyDescent="0.35">
      <c r="A524" t="s">
        <v>39</v>
      </c>
      <c r="B524">
        <v>2012</v>
      </c>
      <c r="C524">
        <v>8</v>
      </c>
      <c r="D524">
        <v>22940</v>
      </c>
      <c r="E524">
        <v>661</v>
      </c>
      <c r="F524">
        <v>85608.1</v>
      </c>
      <c r="G524">
        <v>21336.68</v>
      </c>
      <c r="H524" t="str">
        <f>VLOOKUP(myynnit[[#This Row],[TuoteID]],ohjaus!$A$4:$B$20,2,FALSE)</f>
        <v>Pinnatuoli</v>
      </c>
    </row>
    <row r="525" spans="1:8" x14ac:dyDescent="0.35">
      <c r="A525" t="s">
        <v>39</v>
      </c>
      <c r="B525">
        <v>2012</v>
      </c>
      <c r="C525">
        <v>8</v>
      </c>
      <c r="D525">
        <v>23178</v>
      </c>
      <c r="E525">
        <v>176</v>
      </c>
      <c r="F525">
        <v>31624.32</v>
      </c>
      <c r="G525">
        <v>7417.26</v>
      </c>
      <c r="H525" t="str">
        <f>VLOOKUP(myynnit[[#This Row],[TuoteID]],ohjaus!$A$4:$B$20,2,FALSE)</f>
        <v>Pinnatuoli</v>
      </c>
    </row>
    <row r="526" spans="1:8" x14ac:dyDescent="0.35">
      <c r="A526" t="s">
        <v>39</v>
      </c>
      <c r="B526">
        <v>2012</v>
      </c>
      <c r="C526">
        <v>8</v>
      </c>
      <c r="D526">
        <v>23600</v>
      </c>
      <c r="E526">
        <v>1039</v>
      </c>
      <c r="F526">
        <v>102906.16</v>
      </c>
      <c r="G526">
        <v>26922.9</v>
      </c>
      <c r="H526" t="str">
        <f>VLOOKUP(myynnit[[#This Row],[TuoteID]],ohjaus!$A$4:$B$20,2,FALSE)</f>
        <v>Pinnatuoli</v>
      </c>
    </row>
    <row r="527" spans="1:8" x14ac:dyDescent="0.35">
      <c r="A527" t="s">
        <v>39</v>
      </c>
      <c r="B527">
        <v>2012</v>
      </c>
      <c r="C527">
        <v>8</v>
      </c>
      <c r="D527">
        <v>23756</v>
      </c>
      <c r="E527">
        <v>118</v>
      </c>
      <c r="F527">
        <v>24180.45</v>
      </c>
      <c r="G527">
        <v>15748.23</v>
      </c>
      <c r="H527" t="str">
        <f>VLOOKUP(myynnit[[#This Row],[TuoteID]],ohjaus!$A$4:$B$20,2,FALSE)</f>
        <v>Pianotuoli</v>
      </c>
    </row>
    <row r="528" spans="1:8" x14ac:dyDescent="0.35">
      <c r="A528" t="s">
        <v>39</v>
      </c>
      <c r="B528">
        <v>2012</v>
      </c>
      <c r="C528">
        <v>8</v>
      </c>
      <c r="D528">
        <v>24326</v>
      </c>
      <c r="E528">
        <v>123</v>
      </c>
      <c r="F528">
        <v>19457.509999999998</v>
      </c>
      <c r="G528">
        <v>5507.57</v>
      </c>
      <c r="H528" t="str">
        <f>VLOOKUP(myynnit[[#This Row],[TuoteID]],ohjaus!$A$4:$B$20,2,FALSE)</f>
        <v>Lepotuoli</v>
      </c>
    </row>
    <row r="529" spans="1:8" x14ac:dyDescent="0.35">
      <c r="A529" t="s">
        <v>38</v>
      </c>
      <c r="B529">
        <v>2012</v>
      </c>
      <c r="C529">
        <v>8</v>
      </c>
      <c r="D529">
        <v>12184</v>
      </c>
      <c r="E529">
        <v>40</v>
      </c>
      <c r="F529">
        <v>5220.9799999999996</v>
      </c>
      <c r="G529">
        <v>3076.91</v>
      </c>
      <c r="H529" t="str">
        <f>VLOOKUP(myynnit[[#This Row],[TuoteID]],ohjaus!$A$4:$B$20,2,FALSE)</f>
        <v>Rahi</v>
      </c>
    </row>
    <row r="530" spans="1:8" x14ac:dyDescent="0.35">
      <c r="A530" t="s">
        <v>38</v>
      </c>
      <c r="B530">
        <v>2012</v>
      </c>
      <c r="C530">
        <v>8</v>
      </c>
      <c r="D530">
        <v>12622</v>
      </c>
      <c r="E530">
        <v>37</v>
      </c>
      <c r="F530">
        <v>10319.69</v>
      </c>
      <c r="G530">
        <v>4285.97</v>
      </c>
      <c r="H530" t="str">
        <f>VLOOKUP(myynnit[[#This Row],[TuoteID]],ohjaus!$A$4:$B$20,2,FALSE)</f>
        <v>Pianotuoli</v>
      </c>
    </row>
    <row r="531" spans="1:8" x14ac:dyDescent="0.35">
      <c r="A531" t="s">
        <v>38</v>
      </c>
      <c r="B531">
        <v>2012</v>
      </c>
      <c r="C531">
        <v>8</v>
      </c>
      <c r="D531">
        <v>13527</v>
      </c>
      <c r="E531">
        <v>691</v>
      </c>
      <c r="F531">
        <v>108836.16</v>
      </c>
      <c r="G531">
        <v>25124.66</v>
      </c>
      <c r="H531" t="str">
        <f>VLOOKUP(myynnit[[#This Row],[TuoteID]],ohjaus!$A$4:$B$20,2,FALSE)</f>
        <v>Pinnatuoli</v>
      </c>
    </row>
    <row r="532" spans="1:8" x14ac:dyDescent="0.35">
      <c r="A532" t="s">
        <v>38</v>
      </c>
      <c r="B532">
        <v>2012</v>
      </c>
      <c r="C532">
        <v>8</v>
      </c>
      <c r="D532">
        <v>13618</v>
      </c>
      <c r="E532">
        <v>18</v>
      </c>
      <c r="F532">
        <v>5993.6</v>
      </c>
      <c r="G532">
        <v>3179.21</v>
      </c>
      <c r="H532" t="str">
        <f>VLOOKUP(myynnit[[#This Row],[TuoteID]],ohjaus!$A$4:$B$20,2,FALSE)</f>
        <v>Pianotuoli</v>
      </c>
    </row>
    <row r="533" spans="1:8" x14ac:dyDescent="0.35">
      <c r="A533" t="s">
        <v>38</v>
      </c>
      <c r="B533">
        <v>2012</v>
      </c>
      <c r="C533">
        <v>8</v>
      </c>
      <c r="D533">
        <v>16024</v>
      </c>
      <c r="E533">
        <v>172</v>
      </c>
      <c r="F533">
        <v>75708.539999999994</v>
      </c>
      <c r="G533">
        <v>19903.32</v>
      </c>
      <c r="H533" t="str">
        <f>VLOOKUP(myynnit[[#This Row],[TuoteID]],ohjaus!$A$4:$B$20,2,FALSE)</f>
        <v>Työtuoli</v>
      </c>
    </row>
    <row r="534" spans="1:8" x14ac:dyDescent="0.35">
      <c r="A534" t="s">
        <v>38</v>
      </c>
      <c r="B534">
        <v>2012</v>
      </c>
      <c r="C534">
        <v>8</v>
      </c>
      <c r="D534">
        <v>16650</v>
      </c>
      <c r="E534">
        <v>42</v>
      </c>
      <c r="F534">
        <v>6808.03</v>
      </c>
      <c r="G534">
        <v>3367.93</v>
      </c>
      <c r="H534" t="str">
        <f>VLOOKUP(myynnit[[#This Row],[TuoteID]],ohjaus!$A$4:$B$20,2,FALSE)</f>
        <v>Rahi</v>
      </c>
    </row>
    <row r="535" spans="1:8" x14ac:dyDescent="0.35">
      <c r="A535" t="s">
        <v>38</v>
      </c>
      <c r="B535">
        <v>2012</v>
      </c>
      <c r="C535">
        <v>8</v>
      </c>
      <c r="D535">
        <v>17892</v>
      </c>
      <c r="E535">
        <v>40</v>
      </c>
      <c r="F535">
        <v>5170.8999999999996</v>
      </c>
      <c r="G535">
        <v>1348.6</v>
      </c>
      <c r="H535" t="str">
        <f>VLOOKUP(myynnit[[#This Row],[TuoteID]],ohjaus!$A$4:$B$20,2,FALSE)</f>
        <v>Lepotuoli</v>
      </c>
    </row>
    <row r="536" spans="1:8" x14ac:dyDescent="0.35">
      <c r="A536" t="s">
        <v>38</v>
      </c>
      <c r="B536">
        <v>2012</v>
      </c>
      <c r="C536">
        <v>8</v>
      </c>
      <c r="D536">
        <v>18342</v>
      </c>
      <c r="E536">
        <v>216</v>
      </c>
      <c r="F536">
        <v>169357.61</v>
      </c>
      <c r="G536">
        <v>47803.18</v>
      </c>
      <c r="H536" t="str">
        <f>VLOOKUP(myynnit[[#This Row],[TuoteID]],ohjaus!$A$4:$B$20,2,FALSE)</f>
        <v>Työtuoli</v>
      </c>
    </row>
    <row r="537" spans="1:8" x14ac:dyDescent="0.35">
      <c r="A537" t="s">
        <v>38</v>
      </c>
      <c r="B537">
        <v>2012</v>
      </c>
      <c r="C537">
        <v>8</v>
      </c>
      <c r="D537">
        <v>20177</v>
      </c>
      <c r="E537">
        <v>95</v>
      </c>
      <c r="F537">
        <v>8892.76</v>
      </c>
      <c r="G537">
        <v>2935.32</v>
      </c>
      <c r="H537" t="str">
        <f>VLOOKUP(myynnit[[#This Row],[TuoteID]],ohjaus!$A$4:$B$20,2,FALSE)</f>
        <v>Säkkituoli</v>
      </c>
    </row>
    <row r="538" spans="1:8" x14ac:dyDescent="0.35">
      <c r="A538" t="s">
        <v>38</v>
      </c>
      <c r="B538">
        <v>2012</v>
      </c>
      <c r="C538">
        <v>8</v>
      </c>
      <c r="D538">
        <v>21179</v>
      </c>
      <c r="E538">
        <v>62</v>
      </c>
      <c r="F538">
        <v>8586.9</v>
      </c>
      <c r="G538">
        <v>4243.26</v>
      </c>
      <c r="H538" t="str">
        <f>VLOOKUP(myynnit[[#This Row],[TuoteID]],ohjaus!$A$4:$B$20,2,FALSE)</f>
        <v>Rahi</v>
      </c>
    </row>
    <row r="539" spans="1:8" x14ac:dyDescent="0.35">
      <c r="A539" t="s">
        <v>38</v>
      </c>
      <c r="B539">
        <v>2012</v>
      </c>
      <c r="C539">
        <v>8</v>
      </c>
      <c r="D539">
        <v>21260</v>
      </c>
      <c r="E539">
        <v>63</v>
      </c>
      <c r="F539">
        <v>11727.64</v>
      </c>
      <c r="G539">
        <v>3405.13</v>
      </c>
      <c r="H539" t="str">
        <f>VLOOKUP(myynnit[[#This Row],[TuoteID]],ohjaus!$A$4:$B$20,2,FALSE)</f>
        <v>Lepotuoli</v>
      </c>
    </row>
    <row r="540" spans="1:8" x14ac:dyDescent="0.35">
      <c r="A540" t="s">
        <v>38</v>
      </c>
      <c r="B540">
        <v>2012</v>
      </c>
      <c r="C540">
        <v>8</v>
      </c>
      <c r="D540">
        <v>22317</v>
      </c>
      <c r="E540">
        <v>73</v>
      </c>
      <c r="F540">
        <v>6982.78</v>
      </c>
      <c r="G540">
        <v>2515.9499999999998</v>
      </c>
      <c r="H540" t="str">
        <f>VLOOKUP(myynnit[[#This Row],[TuoteID]],ohjaus!$A$4:$B$20,2,FALSE)</f>
        <v>Säkkituoli</v>
      </c>
    </row>
    <row r="541" spans="1:8" x14ac:dyDescent="0.35">
      <c r="A541" t="s">
        <v>38</v>
      </c>
      <c r="B541">
        <v>2012</v>
      </c>
      <c r="C541">
        <v>8</v>
      </c>
      <c r="D541">
        <v>22940</v>
      </c>
      <c r="E541">
        <v>430</v>
      </c>
      <c r="F541">
        <v>51297.1</v>
      </c>
      <c r="G541">
        <v>10658.64</v>
      </c>
      <c r="H541" t="str">
        <f>VLOOKUP(myynnit[[#This Row],[TuoteID]],ohjaus!$A$4:$B$20,2,FALSE)</f>
        <v>Pinnatuoli</v>
      </c>
    </row>
    <row r="542" spans="1:8" x14ac:dyDescent="0.35">
      <c r="A542" t="s">
        <v>38</v>
      </c>
      <c r="B542">
        <v>2012</v>
      </c>
      <c r="C542">
        <v>8</v>
      </c>
      <c r="D542">
        <v>23178</v>
      </c>
      <c r="E542">
        <v>184</v>
      </c>
      <c r="F542">
        <v>31988.13</v>
      </c>
      <c r="G542">
        <v>5807.95</v>
      </c>
      <c r="H542" t="str">
        <f>VLOOKUP(myynnit[[#This Row],[TuoteID]],ohjaus!$A$4:$B$20,2,FALSE)</f>
        <v>Pinnatuoli</v>
      </c>
    </row>
    <row r="543" spans="1:8" x14ac:dyDescent="0.35">
      <c r="A543" t="s">
        <v>38</v>
      </c>
      <c r="B543">
        <v>2012</v>
      </c>
      <c r="C543">
        <v>8</v>
      </c>
      <c r="D543">
        <v>23600</v>
      </c>
      <c r="E543">
        <v>1013</v>
      </c>
      <c r="F543">
        <v>112760.07</v>
      </c>
      <c r="G543">
        <v>22998.5</v>
      </c>
      <c r="H543" t="str">
        <f>VLOOKUP(myynnit[[#This Row],[TuoteID]],ohjaus!$A$4:$B$20,2,FALSE)</f>
        <v>Pinnatuoli</v>
      </c>
    </row>
    <row r="544" spans="1:8" x14ac:dyDescent="0.35">
      <c r="A544" t="s">
        <v>38</v>
      </c>
      <c r="B544">
        <v>2012</v>
      </c>
      <c r="C544">
        <v>8</v>
      </c>
      <c r="D544">
        <v>23756</v>
      </c>
      <c r="E544">
        <v>55</v>
      </c>
      <c r="F544">
        <v>8432.34</v>
      </c>
      <c r="G544">
        <v>4451.93</v>
      </c>
      <c r="H544" t="str">
        <f>VLOOKUP(myynnit[[#This Row],[TuoteID]],ohjaus!$A$4:$B$20,2,FALSE)</f>
        <v>Pianotuoli</v>
      </c>
    </row>
    <row r="545" spans="1:8" x14ac:dyDescent="0.35">
      <c r="A545" t="s">
        <v>38</v>
      </c>
      <c r="B545">
        <v>2012</v>
      </c>
      <c r="C545">
        <v>8</v>
      </c>
      <c r="D545">
        <v>24326</v>
      </c>
      <c r="E545">
        <v>132</v>
      </c>
      <c r="F545">
        <v>19941.7</v>
      </c>
      <c r="G545">
        <v>4915.33</v>
      </c>
      <c r="H545" t="str">
        <f>VLOOKUP(myynnit[[#This Row],[TuoteID]],ohjaus!$A$4:$B$20,2,FALSE)</f>
        <v>Lepotuoli</v>
      </c>
    </row>
    <row r="546" spans="1:8" x14ac:dyDescent="0.35">
      <c r="A546" t="s">
        <v>37</v>
      </c>
      <c r="B546">
        <v>2012</v>
      </c>
      <c r="C546">
        <v>9</v>
      </c>
      <c r="D546">
        <v>12184</v>
      </c>
      <c r="E546">
        <v>60</v>
      </c>
      <c r="F546">
        <v>7451.6</v>
      </c>
      <c r="G546">
        <v>3758.2</v>
      </c>
      <c r="H546" t="str">
        <f>VLOOKUP(myynnit[[#This Row],[TuoteID]],ohjaus!$A$4:$B$20,2,FALSE)</f>
        <v>Rahi</v>
      </c>
    </row>
    <row r="547" spans="1:8" x14ac:dyDescent="0.35">
      <c r="A547" t="s">
        <v>37</v>
      </c>
      <c r="B547">
        <v>2012</v>
      </c>
      <c r="C547">
        <v>9</v>
      </c>
      <c r="D547">
        <v>12622</v>
      </c>
      <c r="E547">
        <v>80</v>
      </c>
      <c r="F547">
        <v>18915</v>
      </c>
      <c r="G547">
        <v>9363.5400000000009</v>
      </c>
      <c r="H547" t="str">
        <f>VLOOKUP(myynnit[[#This Row],[TuoteID]],ohjaus!$A$4:$B$20,2,FALSE)</f>
        <v>Pianotuoli</v>
      </c>
    </row>
    <row r="548" spans="1:8" x14ac:dyDescent="0.35">
      <c r="A548" t="s">
        <v>37</v>
      </c>
      <c r="B548">
        <v>2012</v>
      </c>
      <c r="C548">
        <v>9</v>
      </c>
      <c r="D548">
        <v>13527</v>
      </c>
      <c r="E548">
        <v>310</v>
      </c>
      <c r="F548">
        <v>50448.43</v>
      </c>
      <c r="G548">
        <v>9418.7999999999993</v>
      </c>
      <c r="H548" t="str">
        <f>VLOOKUP(myynnit[[#This Row],[TuoteID]],ohjaus!$A$4:$B$20,2,FALSE)</f>
        <v>Pinnatuoli</v>
      </c>
    </row>
    <row r="549" spans="1:8" x14ac:dyDescent="0.35">
      <c r="A549" t="s">
        <v>37</v>
      </c>
      <c r="B549">
        <v>2012</v>
      </c>
      <c r="C549">
        <v>9</v>
      </c>
      <c r="D549">
        <v>13618</v>
      </c>
      <c r="E549">
        <v>22</v>
      </c>
      <c r="F549">
        <v>9296.77</v>
      </c>
      <c r="G549">
        <v>4685.25</v>
      </c>
      <c r="H549" t="str">
        <f>VLOOKUP(myynnit[[#This Row],[TuoteID]],ohjaus!$A$4:$B$20,2,FALSE)</f>
        <v>Pianotuoli</v>
      </c>
    </row>
    <row r="550" spans="1:8" x14ac:dyDescent="0.35">
      <c r="A550" t="s">
        <v>37</v>
      </c>
      <c r="B550">
        <v>2012</v>
      </c>
      <c r="C550">
        <v>9</v>
      </c>
      <c r="D550">
        <v>16024</v>
      </c>
      <c r="E550">
        <v>221</v>
      </c>
      <c r="F550">
        <v>95674.02</v>
      </c>
      <c r="G550">
        <v>24231.43</v>
      </c>
      <c r="H550" t="str">
        <f>VLOOKUP(myynnit[[#This Row],[TuoteID]],ohjaus!$A$4:$B$20,2,FALSE)</f>
        <v>Työtuoli</v>
      </c>
    </row>
    <row r="551" spans="1:8" x14ac:dyDescent="0.35">
      <c r="A551" t="s">
        <v>37</v>
      </c>
      <c r="B551">
        <v>2012</v>
      </c>
      <c r="C551">
        <v>9</v>
      </c>
      <c r="D551">
        <v>16650</v>
      </c>
      <c r="E551">
        <v>49</v>
      </c>
      <c r="F551">
        <v>6025.25</v>
      </c>
      <c r="G551">
        <v>3051.1</v>
      </c>
      <c r="H551" t="str">
        <f>VLOOKUP(myynnit[[#This Row],[TuoteID]],ohjaus!$A$4:$B$20,2,FALSE)</f>
        <v>Rahi</v>
      </c>
    </row>
    <row r="552" spans="1:8" x14ac:dyDescent="0.35">
      <c r="A552" t="s">
        <v>37</v>
      </c>
      <c r="B552">
        <v>2012</v>
      </c>
      <c r="C552">
        <v>9</v>
      </c>
      <c r="D552">
        <v>17892</v>
      </c>
      <c r="E552">
        <v>98</v>
      </c>
      <c r="F552">
        <v>12299.31</v>
      </c>
      <c r="G552">
        <v>3987.77</v>
      </c>
      <c r="H552" t="str">
        <f>VLOOKUP(myynnit[[#This Row],[TuoteID]],ohjaus!$A$4:$B$20,2,FALSE)</f>
        <v>Lepotuoli</v>
      </c>
    </row>
    <row r="553" spans="1:8" x14ac:dyDescent="0.35">
      <c r="A553" t="s">
        <v>37</v>
      </c>
      <c r="B553">
        <v>2012</v>
      </c>
      <c r="C553">
        <v>9</v>
      </c>
      <c r="D553">
        <v>18342</v>
      </c>
      <c r="E553">
        <v>118</v>
      </c>
      <c r="F553">
        <v>93741.77</v>
      </c>
      <c r="G553">
        <v>28715.84</v>
      </c>
      <c r="H553" t="str">
        <f>VLOOKUP(myynnit[[#This Row],[TuoteID]],ohjaus!$A$4:$B$20,2,FALSE)</f>
        <v>Työtuoli</v>
      </c>
    </row>
    <row r="554" spans="1:8" x14ac:dyDescent="0.35">
      <c r="A554" t="s">
        <v>37</v>
      </c>
      <c r="B554">
        <v>2012</v>
      </c>
      <c r="C554">
        <v>9</v>
      </c>
      <c r="D554">
        <v>20177</v>
      </c>
      <c r="E554">
        <v>98</v>
      </c>
      <c r="F554">
        <v>9214.32</v>
      </c>
      <c r="G554">
        <v>3162.95</v>
      </c>
      <c r="H554" t="str">
        <f>VLOOKUP(myynnit[[#This Row],[TuoteID]],ohjaus!$A$4:$B$20,2,FALSE)</f>
        <v>Säkkituoli</v>
      </c>
    </row>
    <row r="555" spans="1:8" x14ac:dyDescent="0.35">
      <c r="A555" t="s">
        <v>37</v>
      </c>
      <c r="B555">
        <v>2012</v>
      </c>
      <c r="C555">
        <v>9</v>
      </c>
      <c r="D555">
        <v>21179</v>
      </c>
      <c r="E555">
        <v>29</v>
      </c>
      <c r="F555">
        <v>2939.85</v>
      </c>
      <c r="G555">
        <v>1359.17</v>
      </c>
      <c r="H555" t="str">
        <f>VLOOKUP(myynnit[[#This Row],[TuoteID]],ohjaus!$A$4:$B$20,2,FALSE)</f>
        <v>Rahi</v>
      </c>
    </row>
    <row r="556" spans="1:8" x14ac:dyDescent="0.35">
      <c r="A556" t="s">
        <v>37</v>
      </c>
      <c r="B556">
        <v>2012</v>
      </c>
      <c r="C556">
        <v>9</v>
      </c>
      <c r="D556">
        <v>21260</v>
      </c>
      <c r="E556">
        <v>72</v>
      </c>
      <c r="F556">
        <v>14296</v>
      </c>
      <c r="G556">
        <v>4168.3100000000004</v>
      </c>
      <c r="H556" t="str">
        <f>VLOOKUP(myynnit[[#This Row],[TuoteID]],ohjaus!$A$4:$B$20,2,FALSE)</f>
        <v>Lepotuoli</v>
      </c>
    </row>
    <row r="557" spans="1:8" x14ac:dyDescent="0.35">
      <c r="A557" t="s">
        <v>37</v>
      </c>
      <c r="B557">
        <v>2012</v>
      </c>
      <c r="C557">
        <v>9</v>
      </c>
      <c r="D557">
        <v>22317</v>
      </c>
      <c r="E557">
        <v>104</v>
      </c>
      <c r="F557">
        <v>9581.57</v>
      </c>
      <c r="G557">
        <v>4131.79</v>
      </c>
      <c r="H557" t="str">
        <f>VLOOKUP(myynnit[[#This Row],[TuoteID]],ohjaus!$A$4:$B$20,2,FALSE)</f>
        <v>Säkkituoli</v>
      </c>
    </row>
    <row r="558" spans="1:8" x14ac:dyDescent="0.35">
      <c r="A558" t="s">
        <v>37</v>
      </c>
      <c r="B558">
        <v>2012</v>
      </c>
      <c r="C558">
        <v>9</v>
      </c>
      <c r="D558">
        <v>22940</v>
      </c>
      <c r="E558">
        <v>780</v>
      </c>
      <c r="F558">
        <v>104082.83</v>
      </c>
      <c r="G558">
        <v>21115.77</v>
      </c>
      <c r="H558" t="str">
        <f>VLOOKUP(myynnit[[#This Row],[TuoteID]],ohjaus!$A$4:$B$20,2,FALSE)</f>
        <v>Pinnatuoli</v>
      </c>
    </row>
    <row r="559" spans="1:8" x14ac:dyDescent="0.35">
      <c r="A559" t="s">
        <v>37</v>
      </c>
      <c r="B559">
        <v>2012</v>
      </c>
      <c r="C559">
        <v>9</v>
      </c>
      <c r="D559">
        <v>23178</v>
      </c>
      <c r="E559">
        <v>477</v>
      </c>
      <c r="F559">
        <v>84871.46</v>
      </c>
      <c r="G559">
        <v>17198.759999999998</v>
      </c>
      <c r="H559" t="str">
        <f>VLOOKUP(myynnit[[#This Row],[TuoteID]],ohjaus!$A$4:$B$20,2,FALSE)</f>
        <v>Pinnatuoli</v>
      </c>
    </row>
    <row r="560" spans="1:8" x14ac:dyDescent="0.35">
      <c r="A560" t="s">
        <v>37</v>
      </c>
      <c r="B560">
        <v>2012</v>
      </c>
      <c r="C560">
        <v>9</v>
      </c>
      <c r="D560">
        <v>23600</v>
      </c>
      <c r="E560">
        <v>1212</v>
      </c>
      <c r="F560">
        <v>142162.89000000001</v>
      </c>
      <c r="G560">
        <v>36214</v>
      </c>
      <c r="H560" t="str">
        <f>VLOOKUP(myynnit[[#This Row],[TuoteID]],ohjaus!$A$4:$B$20,2,FALSE)</f>
        <v>Pinnatuoli</v>
      </c>
    </row>
    <row r="561" spans="1:8" x14ac:dyDescent="0.35">
      <c r="A561" t="s">
        <v>37</v>
      </c>
      <c r="B561">
        <v>2012</v>
      </c>
      <c r="C561">
        <v>9</v>
      </c>
      <c r="D561">
        <v>23756</v>
      </c>
      <c r="E561">
        <v>133</v>
      </c>
      <c r="F561">
        <v>20216.41</v>
      </c>
      <c r="G561">
        <v>8601.65</v>
      </c>
      <c r="H561" t="str">
        <f>VLOOKUP(myynnit[[#This Row],[TuoteID]],ohjaus!$A$4:$B$20,2,FALSE)</f>
        <v>Pianotuoli</v>
      </c>
    </row>
    <row r="562" spans="1:8" x14ac:dyDescent="0.35">
      <c r="A562" t="s">
        <v>37</v>
      </c>
      <c r="B562">
        <v>2012</v>
      </c>
      <c r="C562">
        <v>9</v>
      </c>
      <c r="D562">
        <v>24326</v>
      </c>
      <c r="E562">
        <v>210</v>
      </c>
      <c r="F562">
        <v>27027.71</v>
      </c>
      <c r="G562">
        <v>7503.36</v>
      </c>
      <c r="H562" t="str">
        <f>VLOOKUP(myynnit[[#This Row],[TuoteID]],ohjaus!$A$4:$B$20,2,FALSE)</f>
        <v>Lepotuoli</v>
      </c>
    </row>
    <row r="563" spans="1:8" x14ac:dyDescent="0.35">
      <c r="A563" t="s">
        <v>40</v>
      </c>
      <c r="B563">
        <v>2012</v>
      </c>
      <c r="C563">
        <v>9</v>
      </c>
      <c r="D563">
        <v>12184</v>
      </c>
      <c r="E563">
        <v>31</v>
      </c>
      <c r="F563">
        <v>3466.35</v>
      </c>
      <c r="G563">
        <v>1481.48</v>
      </c>
      <c r="H563" t="str">
        <f>VLOOKUP(myynnit[[#This Row],[TuoteID]],ohjaus!$A$4:$B$20,2,FALSE)</f>
        <v>Rahi</v>
      </c>
    </row>
    <row r="564" spans="1:8" x14ac:dyDescent="0.35">
      <c r="A564" t="s">
        <v>40</v>
      </c>
      <c r="B564">
        <v>2012</v>
      </c>
      <c r="C564">
        <v>9</v>
      </c>
      <c r="D564">
        <v>12622</v>
      </c>
      <c r="E564">
        <v>15</v>
      </c>
      <c r="F564">
        <v>3336.39</v>
      </c>
      <c r="G564">
        <v>1537.72</v>
      </c>
      <c r="H564" t="str">
        <f>VLOOKUP(myynnit[[#This Row],[TuoteID]],ohjaus!$A$4:$B$20,2,FALSE)</f>
        <v>Pianotuoli</v>
      </c>
    </row>
    <row r="565" spans="1:8" x14ac:dyDescent="0.35">
      <c r="A565" t="s">
        <v>40</v>
      </c>
      <c r="B565">
        <v>2012</v>
      </c>
      <c r="C565">
        <v>9</v>
      </c>
      <c r="D565">
        <v>13527</v>
      </c>
      <c r="E565">
        <v>314</v>
      </c>
      <c r="F565">
        <v>53349.21</v>
      </c>
      <c r="G565">
        <v>10529.17</v>
      </c>
      <c r="H565" t="str">
        <f>VLOOKUP(myynnit[[#This Row],[TuoteID]],ohjaus!$A$4:$B$20,2,FALSE)</f>
        <v>Pinnatuoli</v>
      </c>
    </row>
    <row r="566" spans="1:8" x14ac:dyDescent="0.35">
      <c r="A566" t="s">
        <v>40</v>
      </c>
      <c r="B566">
        <v>2012</v>
      </c>
      <c r="C566">
        <v>9</v>
      </c>
      <c r="D566">
        <v>13618</v>
      </c>
      <c r="E566">
        <v>8</v>
      </c>
      <c r="F566">
        <v>2778.16</v>
      </c>
      <c r="G566">
        <v>1051.5899999999999</v>
      </c>
      <c r="H566" t="str">
        <f>VLOOKUP(myynnit[[#This Row],[TuoteID]],ohjaus!$A$4:$B$20,2,FALSE)</f>
        <v>Pianotuoli</v>
      </c>
    </row>
    <row r="567" spans="1:8" x14ac:dyDescent="0.35">
      <c r="A567" t="s">
        <v>40</v>
      </c>
      <c r="B567">
        <v>2012</v>
      </c>
      <c r="C567">
        <v>9</v>
      </c>
      <c r="D567">
        <v>16024</v>
      </c>
      <c r="E567">
        <v>116</v>
      </c>
      <c r="F567">
        <v>49741.23</v>
      </c>
      <c r="G567">
        <v>13096.56</v>
      </c>
      <c r="H567" t="str">
        <f>VLOOKUP(myynnit[[#This Row],[TuoteID]],ohjaus!$A$4:$B$20,2,FALSE)</f>
        <v>Työtuoli</v>
      </c>
    </row>
    <row r="568" spans="1:8" x14ac:dyDescent="0.35">
      <c r="A568" t="s">
        <v>40</v>
      </c>
      <c r="B568">
        <v>2012</v>
      </c>
      <c r="C568">
        <v>9</v>
      </c>
      <c r="D568">
        <v>16650</v>
      </c>
      <c r="E568">
        <v>23</v>
      </c>
      <c r="F568">
        <v>4143.9799999999996</v>
      </c>
      <c r="G568">
        <v>2681.45</v>
      </c>
      <c r="H568" t="str">
        <f>VLOOKUP(myynnit[[#This Row],[TuoteID]],ohjaus!$A$4:$B$20,2,FALSE)</f>
        <v>Rahi</v>
      </c>
    </row>
    <row r="569" spans="1:8" x14ac:dyDescent="0.35">
      <c r="A569" t="s">
        <v>40</v>
      </c>
      <c r="B569">
        <v>2012</v>
      </c>
      <c r="C569">
        <v>9</v>
      </c>
      <c r="D569">
        <v>17892</v>
      </c>
      <c r="E569">
        <v>99</v>
      </c>
      <c r="F569">
        <v>13530.84</v>
      </c>
      <c r="G569">
        <v>3674.74</v>
      </c>
      <c r="H569" t="str">
        <f>VLOOKUP(myynnit[[#This Row],[TuoteID]],ohjaus!$A$4:$B$20,2,FALSE)</f>
        <v>Lepotuoli</v>
      </c>
    </row>
    <row r="570" spans="1:8" x14ac:dyDescent="0.35">
      <c r="A570" t="s">
        <v>40</v>
      </c>
      <c r="B570">
        <v>2012</v>
      </c>
      <c r="C570">
        <v>9</v>
      </c>
      <c r="D570">
        <v>18342</v>
      </c>
      <c r="E570">
        <v>33</v>
      </c>
      <c r="F570">
        <v>24666.68</v>
      </c>
      <c r="G570">
        <v>7775.47</v>
      </c>
      <c r="H570" t="str">
        <f>VLOOKUP(myynnit[[#This Row],[TuoteID]],ohjaus!$A$4:$B$20,2,FALSE)</f>
        <v>Työtuoli</v>
      </c>
    </row>
    <row r="571" spans="1:8" x14ac:dyDescent="0.35">
      <c r="A571" t="s">
        <v>40</v>
      </c>
      <c r="B571">
        <v>2012</v>
      </c>
      <c r="C571">
        <v>9</v>
      </c>
      <c r="D571">
        <v>20177</v>
      </c>
      <c r="E571">
        <v>15</v>
      </c>
      <c r="F571">
        <v>1610.5</v>
      </c>
      <c r="G571">
        <v>564.5</v>
      </c>
      <c r="H571" t="str">
        <f>VLOOKUP(myynnit[[#This Row],[TuoteID]],ohjaus!$A$4:$B$20,2,FALSE)</f>
        <v>Säkkituoli</v>
      </c>
    </row>
    <row r="572" spans="1:8" x14ac:dyDescent="0.35">
      <c r="A572" t="s">
        <v>40</v>
      </c>
      <c r="B572">
        <v>2012</v>
      </c>
      <c r="C572">
        <v>9</v>
      </c>
      <c r="D572">
        <v>21179</v>
      </c>
      <c r="E572">
        <v>46</v>
      </c>
      <c r="F572">
        <v>6225.05</v>
      </c>
      <c r="G572">
        <v>3620.38</v>
      </c>
      <c r="H572" t="str">
        <f>VLOOKUP(myynnit[[#This Row],[TuoteID]],ohjaus!$A$4:$B$20,2,FALSE)</f>
        <v>Rahi</v>
      </c>
    </row>
    <row r="573" spans="1:8" x14ac:dyDescent="0.35">
      <c r="A573" t="s">
        <v>40</v>
      </c>
      <c r="B573">
        <v>2012</v>
      </c>
      <c r="C573">
        <v>9</v>
      </c>
      <c r="D573">
        <v>21260</v>
      </c>
      <c r="E573">
        <v>58</v>
      </c>
      <c r="F573">
        <v>10935.08</v>
      </c>
      <c r="G573">
        <v>3017.79</v>
      </c>
      <c r="H573" t="str">
        <f>VLOOKUP(myynnit[[#This Row],[TuoteID]],ohjaus!$A$4:$B$20,2,FALSE)</f>
        <v>Lepotuoli</v>
      </c>
    </row>
    <row r="574" spans="1:8" x14ac:dyDescent="0.35">
      <c r="A574" t="s">
        <v>40</v>
      </c>
      <c r="B574">
        <v>2012</v>
      </c>
      <c r="C574">
        <v>9</v>
      </c>
      <c r="D574">
        <v>22317</v>
      </c>
      <c r="E574">
        <v>13</v>
      </c>
      <c r="F574">
        <v>1195.83</v>
      </c>
      <c r="G574">
        <v>594.78</v>
      </c>
      <c r="H574" t="str">
        <f>VLOOKUP(myynnit[[#This Row],[TuoteID]],ohjaus!$A$4:$B$20,2,FALSE)</f>
        <v>Säkkituoli</v>
      </c>
    </row>
    <row r="575" spans="1:8" x14ac:dyDescent="0.35">
      <c r="A575" t="s">
        <v>40</v>
      </c>
      <c r="B575">
        <v>2012</v>
      </c>
      <c r="C575">
        <v>9</v>
      </c>
      <c r="D575">
        <v>22940</v>
      </c>
      <c r="E575">
        <v>174</v>
      </c>
      <c r="F575">
        <v>25216.32</v>
      </c>
      <c r="G575">
        <v>7190.35</v>
      </c>
      <c r="H575" t="str">
        <f>VLOOKUP(myynnit[[#This Row],[TuoteID]],ohjaus!$A$4:$B$20,2,FALSE)</f>
        <v>Pinnatuoli</v>
      </c>
    </row>
    <row r="576" spans="1:8" x14ac:dyDescent="0.35">
      <c r="A576" t="s">
        <v>40</v>
      </c>
      <c r="B576">
        <v>2012</v>
      </c>
      <c r="C576">
        <v>9</v>
      </c>
      <c r="D576">
        <v>23178</v>
      </c>
      <c r="E576">
        <v>295</v>
      </c>
      <c r="F576">
        <v>47849.99</v>
      </c>
      <c r="G576">
        <v>13212.04</v>
      </c>
      <c r="H576" t="str">
        <f>VLOOKUP(myynnit[[#This Row],[TuoteID]],ohjaus!$A$4:$B$20,2,FALSE)</f>
        <v>Pinnatuoli</v>
      </c>
    </row>
    <row r="577" spans="1:8" x14ac:dyDescent="0.35">
      <c r="A577" t="s">
        <v>40</v>
      </c>
      <c r="B577">
        <v>2012</v>
      </c>
      <c r="C577">
        <v>9</v>
      </c>
      <c r="D577">
        <v>23600</v>
      </c>
      <c r="E577">
        <v>752</v>
      </c>
      <c r="F577">
        <v>83788.320000000007</v>
      </c>
      <c r="G577">
        <v>25887.74</v>
      </c>
      <c r="H577" t="str">
        <f>VLOOKUP(myynnit[[#This Row],[TuoteID]],ohjaus!$A$4:$B$20,2,FALSE)</f>
        <v>Pinnatuoli</v>
      </c>
    </row>
    <row r="578" spans="1:8" x14ac:dyDescent="0.35">
      <c r="A578" t="s">
        <v>40</v>
      </c>
      <c r="B578">
        <v>2012</v>
      </c>
      <c r="C578">
        <v>9</v>
      </c>
      <c r="D578">
        <v>23756</v>
      </c>
      <c r="E578">
        <v>53</v>
      </c>
      <c r="F578">
        <v>10232.969999999999</v>
      </c>
      <c r="G578">
        <v>4178.55</v>
      </c>
      <c r="H578" t="str">
        <f>VLOOKUP(myynnit[[#This Row],[TuoteID]],ohjaus!$A$4:$B$20,2,FALSE)</f>
        <v>Pianotuoli</v>
      </c>
    </row>
    <row r="579" spans="1:8" x14ac:dyDescent="0.35">
      <c r="A579" t="s">
        <v>40</v>
      </c>
      <c r="B579">
        <v>2012</v>
      </c>
      <c r="C579">
        <v>9</v>
      </c>
      <c r="D579">
        <v>24326</v>
      </c>
      <c r="E579">
        <v>34</v>
      </c>
      <c r="F579">
        <v>4400.87</v>
      </c>
      <c r="G579">
        <v>1144.4100000000001</v>
      </c>
      <c r="H579" t="str">
        <f>VLOOKUP(myynnit[[#This Row],[TuoteID]],ohjaus!$A$4:$B$20,2,FALSE)</f>
        <v>Lepotuoli</v>
      </c>
    </row>
    <row r="580" spans="1:8" x14ac:dyDescent="0.35">
      <c r="A580" t="s">
        <v>39</v>
      </c>
      <c r="B580">
        <v>2012</v>
      </c>
      <c r="C580">
        <v>9</v>
      </c>
      <c r="D580">
        <v>12184</v>
      </c>
      <c r="E580">
        <v>115</v>
      </c>
      <c r="F580">
        <v>15310.82</v>
      </c>
      <c r="G580">
        <v>11397.85</v>
      </c>
      <c r="H580" t="str">
        <f>VLOOKUP(myynnit[[#This Row],[TuoteID]],ohjaus!$A$4:$B$20,2,FALSE)</f>
        <v>Rahi</v>
      </c>
    </row>
    <row r="581" spans="1:8" x14ac:dyDescent="0.35">
      <c r="A581" t="s">
        <v>39</v>
      </c>
      <c r="B581">
        <v>2012</v>
      </c>
      <c r="C581">
        <v>9</v>
      </c>
      <c r="D581">
        <v>12622</v>
      </c>
      <c r="E581">
        <v>46</v>
      </c>
      <c r="F581">
        <v>10685.17</v>
      </c>
      <c r="G581">
        <v>6268.56</v>
      </c>
      <c r="H581" t="str">
        <f>VLOOKUP(myynnit[[#This Row],[TuoteID]],ohjaus!$A$4:$B$20,2,FALSE)</f>
        <v>Pianotuoli</v>
      </c>
    </row>
    <row r="582" spans="1:8" x14ac:dyDescent="0.35">
      <c r="A582" t="s">
        <v>39</v>
      </c>
      <c r="B582">
        <v>2012</v>
      </c>
      <c r="C582">
        <v>9</v>
      </c>
      <c r="D582">
        <v>13527</v>
      </c>
      <c r="E582">
        <v>435</v>
      </c>
      <c r="F582">
        <v>78090.63</v>
      </c>
      <c r="G582">
        <v>19867.169999999998</v>
      </c>
      <c r="H582" t="str">
        <f>VLOOKUP(myynnit[[#This Row],[TuoteID]],ohjaus!$A$4:$B$20,2,FALSE)</f>
        <v>Pinnatuoli</v>
      </c>
    </row>
    <row r="583" spans="1:8" x14ac:dyDescent="0.35">
      <c r="A583" t="s">
        <v>39</v>
      </c>
      <c r="B583">
        <v>2012</v>
      </c>
      <c r="C583">
        <v>9</v>
      </c>
      <c r="D583">
        <v>13618</v>
      </c>
      <c r="E583">
        <v>18</v>
      </c>
      <c r="F583">
        <v>6093.58</v>
      </c>
      <c r="G583">
        <v>3924.64</v>
      </c>
      <c r="H583" t="str">
        <f>VLOOKUP(myynnit[[#This Row],[TuoteID]],ohjaus!$A$4:$B$20,2,FALSE)</f>
        <v>Pianotuoli</v>
      </c>
    </row>
    <row r="584" spans="1:8" x14ac:dyDescent="0.35">
      <c r="A584" t="s">
        <v>39</v>
      </c>
      <c r="B584">
        <v>2012</v>
      </c>
      <c r="C584">
        <v>9</v>
      </c>
      <c r="D584">
        <v>16024</v>
      </c>
      <c r="E584">
        <v>270</v>
      </c>
      <c r="F584">
        <v>108446.2</v>
      </c>
      <c r="G584">
        <v>29864.01</v>
      </c>
      <c r="H584" t="str">
        <f>VLOOKUP(myynnit[[#This Row],[TuoteID]],ohjaus!$A$4:$B$20,2,FALSE)</f>
        <v>Työtuoli</v>
      </c>
    </row>
    <row r="585" spans="1:8" x14ac:dyDescent="0.35">
      <c r="A585" t="s">
        <v>39</v>
      </c>
      <c r="B585">
        <v>2012</v>
      </c>
      <c r="C585">
        <v>9</v>
      </c>
      <c r="D585">
        <v>16650</v>
      </c>
      <c r="E585">
        <v>42</v>
      </c>
      <c r="F585">
        <v>6488.19</v>
      </c>
      <c r="G585">
        <v>4660.46</v>
      </c>
      <c r="H585" t="str">
        <f>VLOOKUP(myynnit[[#This Row],[TuoteID]],ohjaus!$A$4:$B$20,2,FALSE)</f>
        <v>Rahi</v>
      </c>
    </row>
    <row r="586" spans="1:8" x14ac:dyDescent="0.35">
      <c r="A586" t="s">
        <v>39</v>
      </c>
      <c r="B586">
        <v>2012</v>
      </c>
      <c r="C586">
        <v>9</v>
      </c>
      <c r="D586">
        <v>17892</v>
      </c>
      <c r="E586">
        <v>97</v>
      </c>
      <c r="F586">
        <v>14853.4</v>
      </c>
      <c r="G586">
        <v>4639.3100000000004</v>
      </c>
      <c r="H586" t="str">
        <f>VLOOKUP(myynnit[[#This Row],[TuoteID]],ohjaus!$A$4:$B$20,2,FALSE)</f>
        <v>Lepotuoli</v>
      </c>
    </row>
    <row r="587" spans="1:8" x14ac:dyDescent="0.35">
      <c r="A587" t="s">
        <v>39</v>
      </c>
      <c r="B587">
        <v>2012</v>
      </c>
      <c r="C587">
        <v>9</v>
      </c>
      <c r="D587">
        <v>18342</v>
      </c>
      <c r="E587">
        <v>131</v>
      </c>
      <c r="F587">
        <v>112274.82</v>
      </c>
      <c r="G587">
        <v>30348.9</v>
      </c>
      <c r="H587" t="str">
        <f>VLOOKUP(myynnit[[#This Row],[TuoteID]],ohjaus!$A$4:$B$20,2,FALSE)</f>
        <v>Työtuoli</v>
      </c>
    </row>
    <row r="588" spans="1:8" x14ac:dyDescent="0.35">
      <c r="A588" t="s">
        <v>39</v>
      </c>
      <c r="B588">
        <v>2012</v>
      </c>
      <c r="C588">
        <v>9</v>
      </c>
      <c r="D588">
        <v>20177</v>
      </c>
      <c r="E588">
        <v>44</v>
      </c>
      <c r="F588">
        <v>3924.39</v>
      </c>
      <c r="G588">
        <v>1780.84</v>
      </c>
      <c r="H588" t="str">
        <f>VLOOKUP(myynnit[[#This Row],[TuoteID]],ohjaus!$A$4:$B$20,2,FALSE)</f>
        <v>Säkkituoli</v>
      </c>
    </row>
    <row r="589" spans="1:8" x14ac:dyDescent="0.35">
      <c r="A589" t="s">
        <v>39</v>
      </c>
      <c r="B589">
        <v>2012</v>
      </c>
      <c r="C589">
        <v>9</v>
      </c>
      <c r="D589">
        <v>21179</v>
      </c>
      <c r="E589">
        <v>49</v>
      </c>
      <c r="F589">
        <v>6909.2</v>
      </c>
      <c r="G589">
        <v>4045.3</v>
      </c>
      <c r="H589" t="str">
        <f>VLOOKUP(myynnit[[#This Row],[TuoteID]],ohjaus!$A$4:$B$20,2,FALSE)</f>
        <v>Rahi</v>
      </c>
    </row>
    <row r="590" spans="1:8" x14ac:dyDescent="0.35">
      <c r="A590" t="s">
        <v>39</v>
      </c>
      <c r="B590">
        <v>2012</v>
      </c>
      <c r="C590">
        <v>9</v>
      </c>
      <c r="D590">
        <v>21260</v>
      </c>
      <c r="E590">
        <v>60</v>
      </c>
      <c r="F590">
        <v>11526.91</v>
      </c>
      <c r="G590">
        <v>3922.97</v>
      </c>
      <c r="H590" t="str">
        <f>VLOOKUP(myynnit[[#This Row],[TuoteID]],ohjaus!$A$4:$B$20,2,FALSE)</f>
        <v>Lepotuoli</v>
      </c>
    </row>
    <row r="591" spans="1:8" x14ac:dyDescent="0.35">
      <c r="A591" t="s">
        <v>39</v>
      </c>
      <c r="B591">
        <v>2012</v>
      </c>
      <c r="C591">
        <v>9</v>
      </c>
      <c r="D591">
        <v>22317</v>
      </c>
      <c r="E591">
        <v>34</v>
      </c>
      <c r="F591">
        <v>3503.86</v>
      </c>
      <c r="G591">
        <v>1383.07</v>
      </c>
      <c r="H591" t="str">
        <f>VLOOKUP(myynnit[[#This Row],[TuoteID]],ohjaus!$A$4:$B$20,2,FALSE)</f>
        <v>Säkkituoli</v>
      </c>
    </row>
    <row r="592" spans="1:8" x14ac:dyDescent="0.35">
      <c r="A592" t="s">
        <v>39</v>
      </c>
      <c r="B592">
        <v>2012</v>
      </c>
      <c r="C592">
        <v>9</v>
      </c>
      <c r="D592">
        <v>22940</v>
      </c>
      <c r="E592">
        <v>740</v>
      </c>
      <c r="F592">
        <v>105106.13</v>
      </c>
      <c r="G592">
        <v>22221.24</v>
      </c>
      <c r="H592" t="str">
        <f>VLOOKUP(myynnit[[#This Row],[TuoteID]],ohjaus!$A$4:$B$20,2,FALSE)</f>
        <v>Pinnatuoli</v>
      </c>
    </row>
    <row r="593" spans="1:8" x14ac:dyDescent="0.35">
      <c r="A593" t="s">
        <v>39</v>
      </c>
      <c r="B593">
        <v>2012</v>
      </c>
      <c r="C593">
        <v>9</v>
      </c>
      <c r="D593">
        <v>23178</v>
      </c>
      <c r="E593">
        <v>175</v>
      </c>
      <c r="F593">
        <v>32124.85</v>
      </c>
      <c r="G593">
        <v>7951.82</v>
      </c>
      <c r="H593" t="str">
        <f>VLOOKUP(myynnit[[#This Row],[TuoteID]],ohjaus!$A$4:$B$20,2,FALSE)</f>
        <v>Pinnatuoli</v>
      </c>
    </row>
    <row r="594" spans="1:8" x14ac:dyDescent="0.35">
      <c r="A594" t="s">
        <v>39</v>
      </c>
      <c r="B594">
        <v>2012</v>
      </c>
      <c r="C594">
        <v>9</v>
      </c>
      <c r="D594">
        <v>23600</v>
      </c>
      <c r="E594">
        <v>593</v>
      </c>
      <c r="F594">
        <v>66567.710000000006</v>
      </c>
      <c r="G594">
        <v>20550.61</v>
      </c>
      <c r="H594" t="str">
        <f>VLOOKUP(myynnit[[#This Row],[TuoteID]],ohjaus!$A$4:$B$20,2,FALSE)</f>
        <v>Pinnatuoli</v>
      </c>
    </row>
    <row r="595" spans="1:8" x14ac:dyDescent="0.35">
      <c r="A595" t="s">
        <v>39</v>
      </c>
      <c r="B595">
        <v>2012</v>
      </c>
      <c r="C595">
        <v>9</v>
      </c>
      <c r="D595">
        <v>23756</v>
      </c>
      <c r="E595">
        <v>55</v>
      </c>
      <c r="F595">
        <v>12174.19</v>
      </c>
      <c r="G595">
        <v>6301.24</v>
      </c>
      <c r="H595" t="str">
        <f>VLOOKUP(myynnit[[#This Row],[TuoteID]],ohjaus!$A$4:$B$20,2,FALSE)</f>
        <v>Pianotuoli</v>
      </c>
    </row>
    <row r="596" spans="1:8" x14ac:dyDescent="0.35">
      <c r="A596" t="s">
        <v>39</v>
      </c>
      <c r="B596">
        <v>2012</v>
      </c>
      <c r="C596">
        <v>9</v>
      </c>
      <c r="D596">
        <v>24326</v>
      </c>
      <c r="E596">
        <v>76</v>
      </c>
      <c r="F596">
        <v>9477.2800000000007</v>
      </c>
      <c r="G596">
        <v>3328.49</v>
      </c>
      <c r="H596" t="str">
        <f>VLOOKUP(myynnit[[#This Row],[TuoteID]],ohjaus!$A$4:$B$20,2,FALSE)</f>
        <v>Lepotuoli</v>
      </c>
    </row>
    <row r="597" spans="1:8" x14ac:dyDescent="0.35">
      <c r="A597" t="s">
        <v>38</v>
      </c>
      <c r="B597">
        <v>2012</v>
      </c>
      <c r="C597">
        <v>9</v>
      </c>
      <c r="D597">
        <v>12184</v>
      </c>
      <c r="E597">
        <v>41</v>
      </c>
      <c r="F597">
        <v>5794.62</v>
      </c>
      <c r="G597">
        <v>3400.86</v>
      </c>
      <c r="H597" t="str">
        <f>VLOOKUP(myynnit[[#This Row],[TuoteID]],ohjaus!$A$4:$B$20,2,FALSE)</f>
        <v>Rahi</v>
      </c>
    </row>
    <row r="598" spans="1:8" x14ac:dyDescent="0.35">
      <c r="A598" t="s">
        <v>38</v>
      </c>
      <c r="B598">
        <v>2012</v>
      </c>
      <c r="C598">
        <v>9</v>
      </c>
      <c r="D598">
        <v>12622</v>
      </c>
      <c r="E598">
        <v>40</v>
      </c>
      <c r="F598">
        <v>12571.02</v>
      </c>
      <c r="G598">
        <v>5561.33</v>
      </c>
      <c r="H598" t="str">
        <f>VLOOKUP(myynnit[[#This Row],[TuoteID]],ohjaus!$A$4:$B$20,2,FALSE)</f>
        <v>Pianotuoli</v>
      </c>
    </row>
    <row r="599" spans="1:8" x14ac:dyDescent="0.35">
      <c r="A599" t="s">
        <v>38</v>
      </c>
      <c r="B599">
        <v>2012</v>
      </c>
      <c r="C599">
        <v>9</v>
      </c>
      <c r="D599">
        <v>13527</v>
      </c>
      <c r="E599">
        <v>319</v>
      </c>
      <c r="F599">
        <v>48933.99</v>
      </c>
      <c r="G599">
        <v>11827.89</v>
      </c>
      <c r="H599" t="str">
        <f>VLOOKUP(myynnit[[#This Row],[TuoteID]],ohjaus!$A$4:$B$20,2,FALSE)</f>
        <v>Pinnatuoli</v>
      </c>
    </row>
    <row r="600" spans="1:8" x14ac:dyDescent="0.35">
      <c r="A600" t="s">
        <v>38</v>
      </c>
      <c r="B600">
        <v>2012</v>
      </c>
      <c r="C600">
        <v>9</v>
      </c>
      <c r="D600">
        <v>13618</v>
      </c>
      <c r="E600">
        <v>10</v>
      </c>
      <c r="F600">
        <v>3837.67</v>
      </c>
      <c r="G600">
        <v>1802.95</v>
      </c>
      <c r="H600" t="str">
        <f>VLOOKUP(myynnit[[#This Row],[TuoteID]],ohjaus!$A$4:$B$20,2,FALSE)</f>
        <v>Pianotuoli</v>
      </c>
    </row>
    <row r="601" spans="1:8" x14ac:dyDescent="0.35">
      <c r="A601" t="s">
        <v>38</v>
      </c>
      <c r="B601">
        <v>2012</v>
      </c>
      <c r="C601">
        <v>9</v>
      </c>
      <c r="D601">
        <v>16024</v>
      </c>
      <c r="E601">
        <v>229</v>
      </c>
      <c r="F601">
        <v>94334.77</v>
      </c>
      <c r="G601">
        <v>26810.1</v>
      </c>
      <c r="H601" t="str">
        <f>VLOOKUP(myynnit[[#This Row],[TuoteID]],ohjaus!$A$4:$B$20,2,FALSE)</f>
        <v>Työtuoli</v>
      </c>
    </row>
    <row r="602" spans="1:8" x14ac:dyDescent="0.35">
      <c r="A602" t="s">
        <v>38</v>
      </c>
      <c r="B602">
        <v>2012</v>
      </c>
      <c r="C602">
        <v>9</v>
      </c>
      <c r="D602">
        <v>16650</v>
      </c>
      <c r="E602">
        <v>43</v>
      </c>
      <c r="F602">
        <v>6282.6</v>
      </c>
      <c r="G602">
        <v>3559.77</v>
      </c>
      <c r="H602" t="str">
        <f>VLOOKUP(myynnit[[#This Row],[TuoteID]],ohjaus!$A$4:$B$20,2,FALSE)</f>
        <v>Rahi</v>
      </c>
    </row>
    <row r="603" spans="1:8" x14ac:dyDescent="0.35">
      <c r="A603" t="s">
        <v>38</v>
      </c>
      <c r="B603">
        <v>2012</v>
      </c>
      <c r="C603">
        <v>9</v>
      </c>
      <c r="D603">
        <v>17892</v>
      </c>
      <c r="E603">
        <v>57</v>
      </c>
      <c r="F603">
        <v>8407.2099999999991</v>
      </c>
      <c r="G603">
        <v>2207.9899999999998</v>
      </c>
      <c r="H603" t="str">
        <f>VLOOKUP(myynnit[[#This Row],[TuoteID]],ohjaus!$A$4:$B$20,2,FALSE)</f>
        <v>Lepotuoli</v>
      </c>
    </row>
    <row r="604" spans="1:8" x14ac:dyDescent="0.35">
      <c r="A604" t="s">
        <v>38</v>
      </c>
      <c r="B604">
        <v>2012</v>
      </c>
      <c r="C604">
        <v>9</v>
      </c>
      <c r="D604">
        <v>18342</v>
      </c>
      <c r="E604">
        <v>207</v>
      </c>
      <c r="F604">
        <v>167321.79</v>
      </c>
      <c r="G604">
        <v>44131.94</v>
      </c>
      <c r="H604" t="str">
        <f>VLOOKUP(myynnit[[#This Row],[TuoteID]],ohjaus!$A$4:$B$20,2,FALSE)</f>
        <v>Työtuoli</v>
      </c>
    </row>
    <row r="605" spans="1:8" x14ac:dyDescent="0.35">
      <c r="A605" t="s">
        <v>38</v>
      </c>
      <c r="B605">
        <v>2012</v>
      </c>
      <c r="C605">
        <v>9</v>
      </c>
      <c r="D605">
        <v>20177</v>
      </c>
      <c r="E605">
        <v>49</v>
      </c>
      <c r="F605">
        <v>4996.18</v>
      </c>
      <c r="G605">
        <v>1784.91</v>
      </c>
      <c r="H605" t="str">
        <f>VLOOKUP(myynnit[[#This Row],[TuoteID]],ohjaus!$A$4:$B$20,2,FALSE)</f>
        <v>Säkkituoli</v>
      </c>
    </row>
    <row r="606" spans="1:8" x14ac:dyDescent="0.35">
      <c r="A606" t="s">
        <v>38</v>
      </c>
      <c r="B606">
        <v>2012</v>
      </c>
      <c r="C606">
        <v>9</v>
      </c>
      <c r="D606">
        <v>21179</v>
      </c>
      <c r="E606">
        <v>56</v>
      </c>
      <c r="F606">
        <v>6105.76</v>
      </c>
      <c r="G606">
        <v>3332.4</v>
      </c>
      <c r="H606" t="str">
        <f>VLOOKUP(myynnit[[#This Row],[TuoteID]],ohjaus!$A$4:$B$20,2,FALSE)</f>
        <v>Rahi</v>
      </c>
    </row>
    <row r="607" spans="1:8" x14ac:dyDescent="0.35">
      <c r="A607" t="s">
        <v>38</v>
      </c>
      <c r="B607">
        <v>2012</v>
      </c>
      <c r="C607">
        <v>9</v>
      </c>
      <c r="D607">
        <v>21260</v>
      </c>
      <c r="E607">
        <v>35</v>
      </c>
      <c r="F607">
        <v>6882.82</v>
      </c>
      <c r="G607">
        <v>1602.98</v>
      </c>
      <c r="H607" t="str">
        <f>VLOOKUP(myynnit[[#This Row],[TuoteID]],ohjaus!$A$4:$B$20,2,FALSE)</f>
        <v>Lepotuoli</v>
      </c>
    </row>
    <row r="608" spans="1:8" x14ac:dyDescent="0.35">
      <c r="A608" t="s">
        <v>38</v>
      </c>
      <c r="B608">
        <v>2012</v>
      </c>
      <c r="C608">
        <v>9</v>
      </c>
      <c r="D608">
        <v>22317</v>
      </c>
      <c r="E608">
        <v>65</v>
      </c>
      <c r="F608">
        <v>5980.38</v>
      </c>
      <c r="G608">
        <v>2008.68</v>
      </c>
      <c r="H608" t="str">
        <f>VLOOKUP(myynnit[[#This Row],[TuoteID]],ohjaus!$A$4:$B$20,2,FALSE)</f>
        <v>Säkkituoli</v>
      </c>
    </row>
    <row r="609" spans="1:8" x14ac:dyDescent="0.35">
      <c r="A609" t="s">
        <v>38</v>
      </c>
      <c r="B609">
        <v>2012</v>
      </c>
      <c r="C609">
        <v>9</v>
      </c>
      <c r="D609">
        <v>22940</v>
      </c>
      <c r="E609">
        <v>590</v>
      </c>
      <c r="F609">
        <v>75949.67</v>
      </c>
      <c r="G609">
        <v>17881.63</v>
      </c>
      <c r="H609" t="str">
        <f>VLOOKUP(myynnit[[#This Row],[TuoteID]],ohjaus!$A$4:$B$20,2,FALSE)</f>
        <v>Pinnatuoli</v>
      </c>
    </row>
    <row r="610" spans="1:8" x14ac:dyDescent="0.35">
      <c r="A610" t="s">
        <v>38</v>
      </c>
      <c r="B610">
        <v>2012</v>
      </c>
      <c r="C610">
        <v>9</v>
      </c>
      <c r="D610">
        <v>23178</v>
      </c>
      <c r="E610">
        <v>198</v>
      </c>
      <c r="F610">
        <v>33603.85</v>
      </c>
      <c r="G610">
        <v>7244.28</v>
      </c>
      <c r="H610" t="str">
        <f>VLOOKUP(myynnit[[#This Row],[TuoteID]],ohjaus!$A$4:$B$20,2,FALSE)</f>
        <v>Pinnatuoli</v>
      </c>
    </row>
    <row r="611" spans="1:8" x14ac:dyDescent="0.35">
      <c r="A611" t="s">
        <v>38</v>
      </c>
      <c r="B611">
        <v>2012</v>
      </c>
      <c r="C611">
        <v>9</v>
      </c>
      <c r="D611">
        <v>23600</v>
      </c>
      <c r="E611">
        <v>536</v>
      </c>
      <c r="F611">
        <v>59140.47</v>
      </c>
      <c r="G611">
        <v>14755.29</v>
      </c>
      <c r="H611" t="str">
        <f>VLOOKUP(myynnit[[#This Row],[TuoteID]],ohjaus!$A$4:$B$20,2,FALSE)</f>
        <v>Pinnatuoli</v>
      </c>
    </row>
    <row r="612" spans="1:8" x14ac:dyDescent="0.35">
      <c r="A612" t="s">
        <v>38</v>
      </c>
      <c r="B612">
        <v>2012</v>
      </c>
      <c r="C612">
        <v>9</v>
      </c>
      <c r="D612">
        <v>23756</v>
      </c>
      <c r="E612">
        <v>109</v>
      </c>
      <c r="F612">
        <v>20213.830000000002</v>
      </c>
      <c r="G612">
        <v>9214.2099999999991</v>
      </c>
      <c r="H612" t="str">
        <f>VLOOKUP(myynnit[[#This Row],[TuoteID]],ohjaus!$A$4:$B$20,2,FALSE)</f>
        <v>Pianotuoli</v>
      </c>
    </row>
    <row r="613" spans="1:8" x14ac:dyDescent="0.35">
      <c r="A613" t="s">
        <v>38</v>
      </c>
      <c r="B613">
        <v>2012</v>
      </c>
      <c r="C613">
        <v>9</v>
      </c>
      <c r="D613">
        <v>24326</v>
      </c>
      <c r="E613">
        <v>88</v>
      </c>
      <c r="F613">
        <v>12398.71</v>
      </c>
      <c r="G613">
        <v>3512.15</v>
      </c>
      <c r="H613" t="str">
        <f>VLOOKUP(myynnit[[#This Row],[TuoteID]],ohjaus!$A$4:$B$20,2,FALSE)</f>
        <v>Lepotuoli</v>
      </c>
    </row>
    <row r="614" spans="1:8" x14ac:dyDescent="0.35">
      <c r="A614" t="s">
        <v>37</v>
      </c>
      <c r="B614">
        <v>2012</v>
      </c>
      <c r="C614">
        <v>10</v>
      </c>
      <c r="D614">
        <v>12184</v>
      </c>
      <c r="E614">
        <v>76</v>
      </c>
      <c r="F614">
        <v>9413.6200000000008</v>
      </c>
      <c r="G614">
        <v>4794.83</v>
      </c>
      <c r="H614" t="str">
        <f>VLOOKUP(myynnit[[#This Row],[TuoteID]],ohjaus!$A$4:$B$20,2,FALSE)</f>
        <v>Rahi</v>
      </c>
    </row>
    <row r="615" spans="1:8" x14ac:dyDescent="0.35">
      <c r="A615" t="s">
        <v>37</v>
      </c>
      <c r="B615">
        <v>2012</v>
      </c>
      <c r="C615">
        <v>10</v>
      </c>
      <c r="D615">
        <v>12622</v>
      </c>
      <c r="E615">
        <v>43</v>
      </c>
      <c r="F615">
        <v>13209.92</v>
      </c>
      <c r="G615">
        <v>5570.71</v>
      </c>
      <c r="H615" t="str">
        <f>VLOOKUP(myynnit[[#This Row],[TuoteID]],ohjaus!$A$4:$B$20,2,FALSE)</f>
        <v>Pianotuoli</v>
      </c>
    </row>
    <row r="616" spans="1:8" x14ac:dyDescent="0.35">
      <c r="A616" t="s">
        <v>37</v>
      </c>
      <c r="B616">
        <v>2012</v>
      </c>
      <c r="C616">
        <v>10</v>
      </c>
      <c r="D616">
        <v>13527</v>
      </c>
      <c r="E616">
        <v>592</v>
      </c>
      <c r="F616">
        <v>87425.5</v>
      </c>
      <c r="G616">
        <v>14480.18</v>
      </c>
      <c r="H616" t="str">
        <f>VLOOKUP(myynnit[[#This Row],[TuoteID]],ohjaus!$A$4:$B$20,2,FALSE)</f>
        <v>Pinnatuoli</v>
      </c>
    </row>
    <row r="617" spans="1:8" x14ac:dyDescent="0.35">
      <c r="A617" t="s">
        <v>37</v>
      </c>
      <c r="B617">
        <v>2012</v>
      </c>
      <c r="C617">
        <v>10</v>
      </c>
      <c r="D617">
        <v>13618</v>
      </c>
      <c r="E617">
        <v>26</v>
      </c>
      <c r="F617">
        <v>10355.49</v>
      </c>
      <c r="G617">
        <v>5677.83</v>
      </c>
      <c r="H617" t="str">
        <f>VLOOKUP(myynnit[[#This Row],[TuoteID]],ohjaus!$A$4:$B$20,2,FALSE)</f>
        <v>Pianotuoli</v>
      </c>
    </row>
    <row r="618" spans="1:8" x14ac:dyDescent="0.35">
      <c r="A618" t="s">
        <v>37</v>
      </c>
      <c r="B618">
        <v>2012</v>
      </c>
      <c r="C618">
        <v>10</v>
      </c>
      <c r="D618">
        <v>16024</v>
      </c>
      <c r="E618">
        <v>336</v>
      </c>
      <c r="F618">
        <v>135600.70000000001</v>
      </c>
      <c r="G618">
        <v>34138.06</v>
      </c>
      <c r="H618" t="str">
        <f>VLOOKUP(myynnit[[#This Row],[TuoteID]],ohjaus!$A$4:$B$20,2,FALSE)</f>
        <v>Työtuoli</v>
      </c>
    </row>
    <row r="619" spans="1:8" x14ac:dyDescent="0.35">
      <c r="A619" t="s">
        <v>37</v>
      </c>
      <c r="B619">
        <v>2012</v>
      </c>
      <c r="C619">
        <v>10</v>
      </c>
      <c r="D619">
        <v>16650</v>
      </c>
      <c r="E619">
        <v>56</v>
      </c>
      <c r="F619">
        <v>7300.9</v>
      </c>
      <c r="G619">
        <v>3234.57</v>
      </c>
      <c r="H619" t="str">
        <f>VLOOKUP(myynnit[[#This Row],[TuoteID]],ohjaus!$A$4:$B$20,2,FALSE)</f>
        <v>Rahi</v>
      </c>
    </row>
    <row r="620" spans="1:8" x14ac:dyDescent="0.35">
      <c r="A620" t="s">
        <v>37</v>
      </c>
      <c r="B620">
        <v>2012</v>
      </c>
      <c r="C620">
        <v>10</v>
      </c>
      <c r="D620">
        <v>17892</v>
      </c>
      <c r="E620">
        <v>101</v>
      </c>
      <c r="F620">
        <v>14030.65</v>
      </c>
      <c r="G620">
        <v>3771.65</v>
      </c>
      <c r="H620" t="str">
        <f>VLOOKUP(myynnit[[#This Row],[TuoteID]],ohjaus!$A$4:$B$20,2,FALSE)</f>
        <v>Lepotuoli</v>
      </c>
    </row>
    <row r="621" spans="1:8" x14ac:dyDescent="0.35">
      <c r="A621" t="s">
        <v>37</v>
      </c>
      <c r="B621">
        <v>2012</v>
      </c>
      <c r="C621">
        <v>10</v>
      </c>
      <c r="D621">
        <v>18342</v>
      </c>
      <c r="E621">
        <v>237</v>
      </c>
      <c r="F621">
        <v>183561.59</v>
      </c>
      <c r="G621">
        <v>54434.84</v>
      </c>
      <c r="H621" t="str">
        <f>VLOOKUP(myynnit[[#This Row],[TuoteID]],ohjaus!$A$4:$B$20,2,FALSE)</f>
        <v>Työtuoli</v>
      </c>
    </row>
    <row r="622" spans="1:8" x14ac:dyDescent="0.35">
      <c r="A622" t="s">
        <v>37</v>
      </c>
      <c r="B622">
        <v>2012</v>
      </c>
      <c r="C622">
        <v>10</v>
      </c>
      <c r="D622">
        <v>20177</v>
      </c>
      <c r="E622">
        <v>124</v>
      </c>
      <c r="F622">
        <v>10925.83</v>
      </c>
      <c r="G622">
        <v>4063.35</v>
      </c>
      <c r="H622" t="str">
        <f>VLOOKUP(myynnit[[#This Row],[TuoteID]],ohjaus!$A$4:$B$20,2,FALSE)</f>
        <v>Säkkituoli</v>
      </c>
    </row>
    <row r="623" spans="1:8" x14ac:dyDescent="0.35">
      <c r="A623" t="s">
        <v>37</v>
      </c>
      <c r="B623">
        <v>2012</v>
      </c>
      <c r="C623">
        <v>10</v>
      </c>
      <c r="D623">
        <v>21179</v>
      </c>
      <c r="E623">
        <v>36</v>
      </c>
      <c r="F623">
        <v>3589.56</v>
      </c>
      <c r="G623">
        <v>1880.55</v>
      </c>
      <c r="H623" t="str">
        <f>VLOOKUP(myynnit[[#This Row],[TuoteID]],ohjaus!$A$4:$B$20,2,FALSE)</f>
        <v>Rahi</v>
      </c>
    </row>
    <row r="624" spans="1:8" x14ac:dyDescent="0.35">
      <c r="A624" t="s">
        <v>37</v>
      </c>
      <c r="B624">
        <v>2012</v>
      </c>
      <c r="C624">
        <v>10</v>
      </c>
      <c r="D624">
        <v>21260</v>
      </c>
      <c r="E624">
        <v>80</v>
      </c>
      <c r="F624">
        <v>13861.41</v>
      </c>
      <c r="G624">
        <v>3670.66</v>
      </c>
      <c r="H624" t="str">
        <f>VLOOKUP(myynnit[[#This Row],[TuoteID]],ohjaus!$A$4:$B$20,2,FALSE)</f>
        <v>Lepotuoli</v>
      </c>
    </row>
    <row r="625" spans="1:8" x14ac:dyDescent="0.35">
      <c r="A625" t="s">
        <v>37</v>
      </c>
      <c r="B625">
        <v>2012</v>
      </c>
      <c r="C625">
        <v>10</v>
      </c>
      <c r="D625">
        <v>22317</v>
      </c>
      <c r="E625">
        <v>83</v>
      </c>
      <c r="F625">
        <v>8177.91</v>
      </c>
      <c r="G625">
        <v>3591.33</v>
      </c>
      <c r="H625" t="str">
        <f>VLOOKUP(myynnit[[#This Row],[TuoteID]],ohjaus!$A$4:$B$20,2,FALSE)</f>
        <v>Säkkituoli</v>
      </c>
    </row>
    <row r="626" spans="1:8" x14ac:dyDescent="0.35">
      <c r="A626" t="s">
        <v>37</v>
      </c>
      <c r="B626">
        <v>2012</v>
      </c>
      <c r="C626">
        <v>10</v>
      </c>
      <c r="D626">
        <v>22940</v>
      </c>
      <c r="E626">
        <v>766</v>
      </c>
      <c r="F626">
        <v>102037.1</v>
      </c>
      <c r="G626">
        <v>17810.98</v>
      </c>
      <c r="H626" t="str">
        <f>VLOOKUP(myynnit[[#This Row],[TuoteID]],ohjaus!$A$4:$B$20,2,FALSE)</f>
        <v>Pinnatuoli</v>
      </c>
    </row>
    <row r="627" spans="1:8" x14ac:dyDescent="0.35">
      <c r="A627" t="s">
        <v>37</v>
      </c>
      <c r="B627">
        <v>2012</v>
      </c>
      <c r="C627">
        <v>10</v>
      </c>
      <c r="D627">
        <v>23178</v>
      </c>
      <c r="E627">
        <v>476</v>
      </c>
      <c r="F627">
        <v>79026.62</v>
      </c>
      <c r="G627">
        <v>17248.509999999998</v>
      </c>
      <c r="H627" t="str">
        <f>VLOOKUP(myynnit[[#This Row],[TuoteID]],ohjaus!$A$4:$B$20,2,FALSE)</f>
        <v>Pinnatuoli</v>
      </c>
    </row>
    <row r="628" spans="1:8" x14ac:dyDescent="0.35">
      <c r="A628" t="s">
        <v>37</v>
      </c>
      <c r="B628">
        <v>2012</v>
      </c>
      <c r="C628">
        <v>10</v>
      </c>
      <c r="D628">
        <v>23600</v>
      </c>
      <c r="E628">
        <v>1146</v>
      </c>
      <c r="F628">
        <v>113917.77</v>
      </c>
      <c r="G628">
        <v>25035.8</v>
      </c>
      <c r="H628" t="str">
        <f>VLOOKUP(myynnit[[#This Row],[TuoteID]],ohjaus!$A$4:$B$20,2,FALSE)</f>
        <v>Pinnatuoli</v>
      </c>
    </row>
    <row r="629" spans="1:8" x14ac:dyDescent="0.35">
      <c r="A629" t="s">
        <v>37</v>
      </c>
      <c r="B629">
        <v>2012</v>
      </c>
      <c r="C629">
        <v>10</v>
      </c>
      <c r="D629">
        <v>23756</v>
      </c>
      <c r="E629">
        <v>144</v>
      </c>
      <c r="F629">
        <v>21566.880000000001</v>
      </c>
      <c r="G629">
        <v>10922.44</v>
      </c>
      <c r="H629" t="str">
        <f>VLOOKUP(myynnit[[#This Row],[TuoteID]],ohjaus!$A$4:$B$20,2,FALSE)</f>
        <v>Pianotuoli</v>
      </c>
    </row>
    <row r="630" spans="1:8" x14ac:dyDescent="0.35">
      <c r="A630" t="s">
        <v>37</v>
      </c>
      <c r="B630">
        <v>2012</v>
      </c>
      <c r="C630">
        <v>10</v>
      </c>
      <c r="D630">
        <v>24326</v>
      </c>
      <c r="E630">
        <v>143</v>
      </c>
      <c r="F630">
        <v>19701.13</v>
      </c>
      <c r="G630">
        <v>5877.05</v>
      </c>
      <c r="H630" t="str">
        <f>VLOOKUP(myynnit[[#This Row],[TuoteID]],ohjaus!$A$4:$B$20,2,FALSE)</f>
        <v>Lepotuoli</v>
      </c>
    </row>
    <row r="631" spans="1:8" x14ac:dyDescent="0.35">
      <c r="A631" t="s">
        <v>40</v>
      </c>
      <c r="B631">
        <v>2012</v>
      </c>
      <c r="C631">
        <v>10</v>
      </c>
      <c r="D631">
        <v>12184</v>
      </c>
      <c r="E631">
        <v>24</v>
      </c>
      <c r="F631">
        <v>3291.95</v>
      </c>
      <c r="G631">
        <v>1725.51</v>
      </c>
      <c r="H631" t="str">
        <f>VLOOKUP(myynnit[[#This Row],[TuoteID]],ohjaus!$A$4:$B$20,2,FALSE)</f>
        <v>Rahi</v>
      </c>
    </row>
    <row r="632" spans="1:8" x14ac:dyDescent="0.35">
      <c r="A632" t="s">
        <v>40</v>
      </c>
      <c r="B632">
        <v>2012</v>
      </c>
      <c r="C632">
        <v>10</v>
      </c>
      <c r="D632">
        <v>12622</v>
      </c>
      <c r="E632">
        <v>10</v>
      </c>
      <c r="F632">
        <v>2442.61</v>
      </c>
      <c r="G632">
        <v>902.06</v>
      </c>
      <c r="H632" t="str">
        <f>VLOOKUP(myynnit[[#This Row],[TuoteID]],ohjaus!$A$4:$B$20,2,FALSE)</f>
        <v>Pianotuoli</v>
      </c>
    </row>
    <row r="633" spans="1:8" x14ac:dyDescent="0.35">
      <c r="A633" t="s">
        <v>40</v>
      </c>
      <c r="B633">
        <v>2012</v>
      </c>
      <c r="C633">
        <v>10</v>
      </c>
      <c r="D633">
        <v>13527</v>
      </c>
      <c r="E633">
        <v>343</v>
      </c>
      <c r="F633">
        <v>53151.22</v>
      </c>
      <c r="G633">
        <v>8055.57</v>
      </c>
      <c r="H633" t="str">
        <f>VLOOKUP(myynnit[[#This Row],[TuoteID]],ohjaus!$A$4:$B$20,2,FALSE)</f>
        <v>Pinnatuoli</v>
      </c>
    </row>
    <row r="634" spans="1:8" x14ac:dyDescent="0.35">
      <c r="A634" t="s">
        <v>40</v>
      </c>
      <c r="B634">
        <v>2012</v>
      </c>
      <c r="C634">
        <v>10</v>
      </c>
      <c r="D634">
        <v>13618</v>
      </c>
      <c r="E634">
        <v>10</v>
      </c>
      <c r="F634">
        <v>4210.3100000000004</v>
      </c>
      <c r="G634">
        <v>1661.47</v>
      </c>
      <c r="H634" t="str">
        <f>VLOOKUP(myynnit[[#This Row],[TuoteID]],ohjaus!$A$4:$B$20,2,FALSE)</f>
        <v>Pianotuoli</v>
      </c>
    </row>
    <row r="635" spans="1:8" x14ac:dyDescent="0.35">
      <c r="A635" t="s">
        <v>40</v>
      </c>
      <c r="B635">
        <v>2012</v>
      </c>
      <c r="C635">
        <v>10</v>
      </c>
      <c r="D635">
        <v>16024</v>
      </c>
      <c r="E635">
        <v>123</v>
      </c>
      <c r="F635">
        <v>57883.14</v>
      </c>
      <c r="G635">
        <v>17700.650000000001</v>
      </c>
      <c r="H635" t="str">
        <f>VLOOKUP(myynnit[[#This Row],[TuoteID]],ohjaus!$A$4:$B$20,2,FALSE)</f>
        <v>Työtuoli</v>
      </c>
    </row>
    <row r="636" spans="1:8" x14ac:dyDescent="0.35">
      <c r="A636" t="s">
        <v>40</v>
      </c>
      <c r="B636">
        <v>2012</v>
      </c>
      <c r="C636">
        <v>10</v>
      </c>
      <c r="D636">
        <v>16650</v>
      </c>
      <c r="E636">
        <v>25</v>
      </c>
      <c r="F636">
        <v>3295</v>
      </c>
      <c r="G636">
        <v>2242.79</v>
      </c>
      <c r="H636" t="str">
        <f>VLOOKUP(myynnit[[#This Row],[TuoteID]],ohjaus!$A$4:$B$20,2,FALSE)</f>
        <v>Rahi</v>
      </c>
    </row>
    <row r="637" spans="1:8" x14ac:dyDescent="0.35">
      <c r="A637" t="s">
        <v>40</v>
      </c>
      <c r="B637">
        <v>2012</v>
      </c>
      <c r="C637">
        <v>10</v>
      </c>
      <c r="D637">
        <v>17892</v>
      </c>
      <c r="E637">
        <v>86</v>
      </c>
      <c r="F637">
        <v>12921.33</v>
      </c>
      <c r="G637">
        <v>3264.62</v>
      </c>
      <c r="H637" t="str">
        <f>VLOOKUP(myynnit[[#This Row],[TuoteID]],ohjaus!$A$4:$B$20,2,FALSE)</f>
        <v>Lepotuoli</v>
      </c>
    </row>
    <row r="638" spans="1:8" x14ac:dyDescent="0.35">
      <c r="A638" t="s">
        <v>40</v>
      </c>
      <c r="B638">
        <v>2012</v>
      </c>
      <c r="C638">
        <v>10</v>
      </c>
      <c r="D638">
        <v>18342</v>
      </c>
      <c r="E638">
        <v>13</v>
      </c>
      <c r="F638">
        <v>12083.3</v>
      </c>
      <c r="G638">
        <v>4261.51</v>
      </c>
      <c r="H638" t="str">
        <f>VLOOKUP(myynnit[[#This Row],[TuoteID]],ohjaus!$A$4:$B$20,2,FALSE)</f>
        <v>Työtuoli</v>
      </c>
    </row>
    <row r="639" spans="1:8" x14ac:dyDescent="0.35">
      <c r="A639" t="s">
        <v>40</v>
      </c>
      <c r="B639">
        <v>2012</v>
      </c>
      <c r="C639">
        <v>10</v>
      </c>
      <c r="D639">
        <v>20177</v>
      </c>
      <c r="E639">
        <v>19</v>
      </c>
      <c r="F639">
        <v>2174.77</v>
      </c>
      <c r="G639">
        <v>747.73</v>
      </c>
      <c r="H639" t="str">
        <f>VLOOKUP(myynnit[[#This Row],[TuoteID]],ohjaus!$A$4:$B$20,2,FALSE)</f>
        <v>Säkkituoli</v>
      </c>
    </row>
    <row r="640" spans="1:8" x14ac:dyDescent="0.35">
      <c r="A640" t="s">
        <v>40</v>
      </c>
      <c r="B640">
        <v>2012</v>
      </c>
      <c r="C640">
        <v>10</v>
      </c>
      <c r="D640">
        <v>21179</v>
      </c>
      <c r="E640">
        <v>31</v>
      </c>
      <c r="F640">
        <v>3886.38</v>
      </c>
      <c r="G640">
        <v>2302.77</v>
      </c>
      <c r="H640" t="str">
        <f>VLOOKUP(myynnit[[#This Row],[TuoteID]],ohjaus!$A$4:$B$20,2,FALSE)</f>
        <v>Rahi</v>
      </c>
    </row>
    <row r="641" spans="1:8" x14ac:dyDescent="0.35">
      <c r="A641" t="s">
        <v>40</v>
      </c>
      <c r="B641">
        <v>2012</v>
      </c>
      <c r="C641">
        <v>10</v>
      </c>
      <c r="D641">
        <v>21260</v>
      </c>
      <c r="E641">
        <v>24</v>
      </c>
      <c r="F641">
        <v>4677.87</v>
      </c>
      <c r="G641">
        <v>1078.03</v>
      </c>
      <c r="H641" t="str">
        <f>VLOOKUP(myynnit[[#This Row],[TuoteID]],ohjaus!$A$4:$B$20,2,FALSE)</f>
        <v>Lepotuoli</v>
      </c>
    </row>
    <row r="642" spans="1:8" x14ac:dyDescent="0.35">
      <c r="A642" t="s">
        <v>40</v>
      </c>
      <c r="B642">
        <v>2012</v>
      </c>
      <c r="C642">
        <v>10</v>
      </c>
      <c r="D642">
        <v>22317</v>
      </c>
      <c r="E642">
        <v>12</v>
      </c>
      <c r="F642">
        <v>996.26</v>
      </c>
      <c r="G642">
        <v>421.12</v>
      </c>
      <c r="H642" t="str">
        <f>VLOOKUP(myynnit[[#This Row],[TuoteID]],ohjaus!$A$4:$B$20,2,FALSE)</f>
        <v>Säkkituoli</v>
      </c>
    </row>
    <row r="643" spans="1:8" x14ac:dyDescent="0.35">
      <c r="A643" t="s">
        <v>40</v>
      </c>
      <c r="B643">
        <v>2012</v>
      </c>
      <c r="C643">
        <v>10</v>
      </c>
      <c r="D643">
        <v>22940</v>
      </c>
      <c r="E643">
        <v>160</v>
      </c>
      <c r="F643">
        <v>20653.560000000001</v>
      </c>
      <c r="G643">
        <v>6033.95</v>
      </c>
      <c r="H643" t="str">
        <f>VLOOKUP(myynnit[[#This Row],[TuoteID]],ohjaus!$A$4:$B$20,2,FALSE)</f>
        <v>Pinnatuoli</v>
      </c>
    </row>
    <row r="644" spans="1:8" x14ac:dyDescent="0.35">
      <c r="A644" t="s">
        <v>40</v>
      </c>
      <c r="B644">
        <v>2012</v>
      </c>
      <c r="C644">
        <v>10</v>
      </c>
      <c r="D644">
        <v>23178</v>
      </c>
      <c r="E644">
        <v>329</v>
      </c>
      <c r="F644">
        <v>56642.46</v>
      </c>
      <c r="G644">
        <v>15978.03</v>
      </c>
      <c r="H644" t="str">
        <f>VLOOKUP(myynnit[[#This Row],[TuoteID]],ohjaus!$A$4:$B$20,2,FALSE)</f>
        <v>Pinnatuoli</v>
      </c>
    </row>
    <row r="645" spans="1:8" x14ac:dyDescent="0.35">
      <c r="A645" t="s">
        <v>40</v>
      </c>
      <c r="B645">
        <v>2012</v>
      </c>
      <c r="C645">
        <v>10</v>
      </c>
      <c r="D645">
        <v>23600</v>
      </c>
      <c r="E645">
        <v>299</v>
      </c>
      <c r="F645">
        <v>30922.87</v>
      </c>
      <c r="G645">
        <v>7288.23</v>
      </c>
      <c r="H645" t="str">
        <f>VLOOKUP(myynnit[[#This Row],[TuoteID]],ohjaus!$A$4:$B$20,2,FALSE)</f>
        <v>Pinnatuoli</v>
      </c>
    </row>
    <row r="646" spans="1:8" x14ac:dyDescent="0.35">
      <c r="A646" t="s">
        <v>40</v>
      </c>
      <c r="B646">
        <v>2012</v>
      </c>
      <c r="C646">
        <v>10</v>
      </c>
      <c r="D646">
        <v>23756</v>
      </c>
      <c r="E646">
        <v>82</v>
      </c>
      <c r="F646">
        <v>14234.05</v>
      </c>
      <c r="G646">
        <v>5802.1</v>
      </c>
      <c r="H646" t="str">
        <f>VLOOKUP(myynnit[[#This Row],[TuoteID]],ohjaus!$A$4:$B$20,2,FALSE)</f>
        <v>Pianotuoli</v>
      </c>
    </row>
    <row r="647" spans="1:8" x14ac:dyDescent="0.35">
      <c r="A647" t="s">
        <v>40</v>
      </c>
      <c r="B647">
        <v>2012</v>
      </c>
      <c r="C647">
        <v>10</v>
      </c>
      <c r="D647">
        <v>24326</v>
      </c>
      <c r="E647">
        <v>30</v>
      </c>
      <c r="F647">
        <v>3752.39</v>
      </c>
      <c r="G647">
        <v>974.02</v>
      </c>
      <c r="H647" t="str">
        <f>VLOOKUP(myynnit[[#This Row],[TuoteID]],ohjaus!$A$4:$B$20,2,FALSE)</f>
        <v>Lepotuoli</v>
      </c>
    </row>
    <row r="648" spans="1:8" x14ac:dyDescent="0.35">
      <c r="A648" t="s">
        <v>39</v>
      </c>
      <c r="B648">
        <v>2012</v>
      </c>
      <c r="C648">
        <v>10</v>
      </c>
      <c r="D648">
        <v>12184</v>
      </c>
      <c r="E648">
        <v>106</v>
      </c>
      <c r="F648">
        <v>12633.77</v>
      </c>
      <c r="G648">
        <v>8434.9699999999993</v>
      </c>
      <c r="H648" t="str">
        <f>VLOOKUP(myynnit[[#This Row],[TuoteID]],ohjaus!$A$4:$B$20,2,FALSE)</f>
        <v>Rahi</v>
      </c>
    </row>
    <row r="649" spans="1:8" x14ac:dyDescent="0.35">
      <c r="A649" t="s">
        <v>39</v>
      </c>
      <c r="B649">
        <v>2012</v>
      </c>
      <c r="C649">
        <v>10</v>
      </c>
      <c r="D649">
        <v>12622</v>
      </c>
      <c r="E649">
        <v>41</v>
      </c>
      <c r="F649">
        <v>12366.67</v>
      </c>
      <c r="G649">
        <v>7700.71</v>
      </c>
      <c r="H649" t="str">
        <f>VLOOKUP(myynnit[[#This Row],[TuoteID]],ohjaus!$A$4:$B$20,2,FALSE)</f>
        <v>Pianotuoli</v>
      </c>
    </row>
    <row r="650" spans="1:8" x14ac:dyDescent="0.35">
      <c r="A650" t="s">
        <v>39</v>
      </c>
      <c r="B650">
        <v>2012</v>
      </c>
      <c r="C650">
        <v>10</v>
      </c>
      <c r="D650">
        <v>13527</v>
      </c>
      <c r="E650">
        <v>480</v>
      </c>
      <c r="F650">
        <v>77884.42</v>
      </c>
      <c r="G650">
        <v>20053.560000000001</v>
      </c>
      <c r="H650" t="str">
        <f>VLOOKUP(myynnit[[#This Row],[TuoteID]],ohjaus!$A$4:$B$20,2,FALSE)</f>
        <v>Pinnatuoli</v>
      </c>
    </row>
    <row r="651" spans="1:8" x14ac:dyDescent="0.35">
      <c r="A651" t="s">
        <v>39</v>
      </c>
      <c r="B651">
        <v>2012</v>
      </c>
      <c r="C651">
        <v>10</v>
      </c>
      <c r="D651">
        <v>13618</v>
      </c>
      <c r="E651">
        <v>24</v>
      </c>
      <c r="F651">
        <v>8603.35</v>
      </c>
      <c r="G651">
        <v>4910.12</v>
      </c>
      <c r="H651" t="str">
        <f>VLOOKUP(myynnit[[#This Row],[TuoteID]],ohjaus!$A$4:$B$20,2,FALSE)</f>
        <v>Pianotuoli</v>
      </c>
    </row>
    <row r="652" spans="1:8" x14ac:dyDescent="0.35">
      <c r="A652" t="s">
        <v>39</v>
      </c>
      <c r="B652">
        <v>2012</v>
      </c>
      <c r="C652">
        <v>10</v>
      </c>
      <c r="D652">
        <v>16024</v>
      </c>
      <c r="E652">
        <v>215</v>
      </c>
      <c r="F652">
        <v>93664.92</v>
      </c>
      <c r="G652">
        <v>26287.16</v>
      </c>
      <c r="H652" t="str">
        <f>VLOOKUP(myynnit[[#This Row],[TuoteID]],ohjaus!$A$4:$B$20,2,FALSE)</f>
        <v>Työtuoli</v>
      </c>
    </row>
    <row r="653" spans="1:8" x14ac:dyDescent="0.35">
      <c r="A653" t="s">
        <v>39</v>
      </c>
      <c r="B653">
        <v>2012</v>
      </c>
      <c r="C653">
        <v>10</v>
      </c>
      <c r="D653">
        <v>16650</v>
      </c>
      <c r="E653">
        <v>32</v>
      </c>
      <c r="F653">
        <v>5744.93</v>
      </c>
      <c r="G653">
        <v>3968.25</v>
      </c>
      <c r="H653" t="str">
        <f>VLOOKUP(myynnit[[#This Row],[TuoteID]],ohjaus!$A$4:$B$20,2,FALSE)</f>
        <v>Rahi</v>
      </c>
    </row>
    <row r="654" spans="1:8" x14ac:dyDescent="0.35">
      <c r="A654" t="s">
        <v>39</v>
      </c>
      <c r="B654">
        <v>2012</v>
      </c>
      <c r="C654">
        <v>10</v>
      </c>
      <c r="D654">
        <v>17892</v>
      </c>
      <c r="E654">
        <v>80</v>
      </c>
      <c r="F654">
        <v>11502.43</v>
      </c>
      <c r="G654">
        <v>3264.82</v>
      </c>
      <c r="H654" t="str">
        <f>VLOOKUP(myynnit[[#This Row],[TuoteID]],ohjaus!$A$4:$B$20,2,FALSE)</f>
        <v>Lepotuoli</v>
      </c>
    </row>
    <row r="655" spans="1:8" x14ac:dyDescent="0.35">
      <c r="A655" t="s">
        <v>39</v>
      </c>
      <c r="B655">
        <v>2012</v>
      </c>
      <c r="C655">
        <v>10</v>
      </c>
      <c r="D655">
        <v>18342</v>
      </c>
      <c r="E655">
        <v>167</v>
      </c>
      <c r="F655">
        <v>149463.48000000001</v>
      </c>
      <c r="G655">
        <v>41628.26</v>
      </c>
      <c r="H655" t="str">
        <f>VLOOKUP(myynnit[[#This Row],[TuoteID]],ohjaus!$A$4:$B$20,2,FALSE)</f>
        <v>Työtuoli</v>
      </c>
    </row>
    <row r="656" spans="1:8" x14ac:dyDescent="0.35">
      <c r="A656" t="s">
        <v>39</v>
      </c>
      <c r="B656">
        <v>2012</v>
      </c>
      <c r="C656">
        <v>10</v>
      </c>
      <c r="D656">
        <v>20177</v>
      </c>
      <c r="E656">
        <v>41</v>
      </c>
      <c r="F656">
        <v>4103.18</v>
      </c>
      <c r="G656">
        <v>1828.44</v>
      </c>
      <c r="H656" t="str">
        <f>VLOOKUP(myynnit[[#This Row],[TuoteID]],ohjaus!$A$4:$B$20,2,FALSE)</f>
        <v>Säkkituoli</v>
      </c>
    </row>
    <row r="657" spans="1:8" x14ac:dyDescent="0.35">
      <c r="A657" t="s">
        <v>39</v>
      </c>
      <c r="B657">
        <v>2012</v>
      </c>
      <c r="C657">
        <v>10</v>
      </c>
      <c r="D657">
        <v>21179</v>
      </c>
      <c r="E657">
        <v>54</v>
      </c>
      <c r="F657">
        <v>6933.7</v>
      </c>
      <c r="G657">
        <v>4328.25</v>
      </c>
      <c r="H657" t="str">
        <f>VLOOKUP(myynnit[[#This Row],[TuoteID]],ohjaus!$A$4:$B$20,2,FALSE)</f>
        <v>Rahi</v>
      </c>
    </row>
    <row r="658" spans="1:8" x14ac:dyDescent="0.35">
      <c r="A658" t="s">
        <v>39</v>
      </c>
      <c r="B658">
        <v>2012</v>
      </c>
      <c r="C658">
        <v>10</v>
      </c>
      <c r="D658">
        <v>21260</v>
      </c>
      <c r="E658">
        <v>58</v>
      </c>
      <c r="F658">
        <v>11610.13</v>
      </c>
      <c r="G658">
        <v>3861.91</v>
      </c>
      <c r="H658" t="str">
        <f>VLOOKUP(myynnit[[#This Row],[TuoteID]],ohjaus!$A$4:$B$20,2,FALSE)</f>
        <v>Lepotuoli</v>
      </c>
    </row>
    <row r="659" spans="1:8" x14ac:dyDescent="0.35">
      <c r="A659" t="s">
        <v>39</v>
      </c>
      <c r="B659">
        <v>2012</v>
      </c>
      <c r="C659">
        <v>10</v>
      </c>
      <c r="D659">
        <v>22317</v>
      </c>
      <c r="E659">
        <v>52</v>
      </c>
      <c r="F659">
        <v>4363.66</v>
      </c>
      <c r="G659">
        <v>1986.55</v>
      </c>
      <c r="H659" t="str">
        <f>VLOOKUP(myynnit[[#This Row],[TuoteID]],ohjaus!$A$4:$B$20,2,FALSE)</f>
        <v>Säkkituoli</v>
      </c>
    </row>
    <row r="660" spans="1:8" x14ac:dyDescent="0.35">
      <c r="A660" t="s">
        <v>39</v>
      </c>
      <c r="B660">
        <v>2012</v>
      </c>
      <c r="C660">
        <v>10</v>
      </c>
      <c r="D660">
        <v>22940</v>
      </c>
      <c r="E660">
        <v>611</v>
      </c>
      <c r="F660">
        <v>84187.67</v>
      </c>
      <c r="G660">
        <v>23991.47</v>
      </c>
      <c r="H660" t="str">
        <f>VLOOKUP(myynnit[[#This Row],[TuoteID]],ohjaus!$A$4:$B$20,2,FALSE)</f>
        <v>Pinnatuoli</v>
      </c>
    </row>
    <row r="661" spans="1:8" x14ac:dyDescent="0.35">
      <c r="A661" t="s">
        <v>39</v>
      </c>
      <c r="B661">
        <v>2012</v>
      </c>
      <c r="C661">
        <v>10</v>
      </c>
      <c r="D661">
        <v>23178</v>
      </c>
      <c r="E661">
        <v>228</v>
      </c>
      <c r="F661">
        <v>42749.37</v>
      </c>
      <c r="G661">
        <v>10341.76</v>
      </c>
      <c r="H661" t="str">
        <f>VLOOKUP(myynnit[[#This Row],[TuoteID]],ohjaus!$A$4:$B$20,2,FALSE)</f>
        <v>Pinnatuoli</v>
      </c>
    </row>
    <row r="662" spans="1:8" x14ac:dyDescent="0.35">
      <c r="A662" t="s">
        <v>39</v>
      </c>
      <c r="B662">
        <v>2012</v>
      </c>
      <c r="C662">
        <v>10</v>
      </c>
      <c r="D662">
        <v>23600</v>
      </c>
      <c r="E662">
        <v>1100</v>
      </c>
      <c r="F662">
        <v>123714.51</v>
      </c>
      <c r="G662">
        <v>37522.480000000003</v>
      </c>
      <c r="H662" t="str">
        <f>VLOOKUP(myynnit[[#This Row],[TuoteID]],ohjaus!$A$4:$B$20,2,FALSE)</f>
        <v>Pinnatuoli</v>
      </c>
    </row>
    <row r="663" spans="1:8" x14ac:dyDescent="0.35">
      <c r="A663" t="s">
        <v>39</v>
      </c>
      <c r="B663">
        <v>2012</v>
      </c>
      <c r="C663">
        <v>10</v>
      </c>
      <c r="D663">
        <v>23756</v>
      </c>
      <c r="E663">
        <v>105</v>
      </c>
      <c r="F663">
        <v>17469.03</v>
      </c>
      <c r="G663">
        <v>10726.29</v>
      </c>
      <c r="H663" t="str">
        <f>VLOOKUP(myynnit[[#This Row],[TuoteID]],ohjaus!$A$4:$B$20,2,FALSE)</f>
        <v>Pianotuoli</v>
      </c>
    </row>
    <row r="664" spans="1:8" x14ac:dyDescent="0.35">
      <c r="A664" t="s">
        <v>39</v>
      </c>
      <c r="B664">
        <v>2012</v>
      </c>
      <c r="C664">
        <v>10</v>
      </c>
      <c r="D664">
        <v>24326</v>
      </c>
      <c r="E664">
        <v>64</v>
      </c>
      <c r="F664">
        <v>9316.1299999999992</v>
      </c>
      <c r="G664">
        <v>3101.2</v>
      </c>
      <c r="H664" t="str">
        <f>VLOOKUP(myynnit[[#This Row],[TuoteID]],ohjaus!$A$4:$B$20,2,FALSE)</f>
        <v>Lepotuoli</v>
      </c>
    </row>
    <row r="665" spans="1:8" x14ac:dyDescent="0.35">
      <c r="A665" t="s">
        <v>38</v>
      </c>
      <c r="B665">
        <v>2012</v>
      </c>
      <c r="C665">
        <v>10</v>
      </c>
      <c r="D665">
        <v>12184</v>
      </c>
      <c r="E665">
        <v>51</v>
      </c>
      <c r="F665">
        <v>6003.6</v>
      </c>
      <c r="G665">
        <v>3823.97</v>
      </c>
      <c r="H665" t="str">
        <f>VLOOKUP(myynnit[[#This Row],[TuoteID]],ohjaus!$A$4:$B$20,2,FALSE)</f>
        <v>Rahi</v>
      </c>
    </row>
    <row r="666" spans="1:8" x14ac:dyDescent="0.35">
      <c r="A666" t="s">
        <v>38</v>
      </c>
      <c r="B666">
        <v>2012</v>
      </c>
      <c r="C666">
        <v>10</v>
      </c>
      <c r="D666">
        <v>12622</v>
      </c>
      <c r="E666">
        <v>45</v>
      </c>
      <c r="F666">
        <v>10961.04</v>
      </c>
      <c r="G666">
        <v>5718.73</v>
      </c>
      <c r="H666" t="str">
        <f>VLOOKUP(myynnit[[#This Row],[TuoteID]],ohjaus!$A$4:$B$20,2,FALSE)</f>
        <v>Pianotuoli</v>
      </c>
    </row>
    <row r="667" spans="1:8" x14ac:dyDescent="0.35">
      <c r="A667" t="s">
        <v>38</v>
      </c>
      <c r="B667">
        <v>2012</v>
      </c>
      <c r="C667">
        <v>10</v>
      </c>
      <c r="D667">
        <v>13527</v>
      </c>
      <c r="E667">
        <v>492</v>
      </c>
      <c r="F667">
        <v>79403.94</v>
      </c>
      <c r="G667">
        <v>16655.36</v>
      </c>
      <c r="H667" t="str">
        <f>VLOOKUP(myynnit[[#This Row],[TuoteID]],ohjaus!$A$4:$B$20,2,FALSE)</f>
        <v>Pinnatuoli</v>
      </c>
    </row>
    <row r="668" spans="1:8" x14ac:dyDescent="0.35">
      <c r="A668" t="s">
        <v>38</v>
      </c>
      <c r="B668">
        <v>2012</v>
      </c>
      <c r="C668">
        <v>10</v>
      </c>
      <c r="D668">
        <v>13618</v>
      </c>
      <c r="E668">
        <v>13</v>
      </c>
      <c r="F668">
        <v>4559.78</v>
      </c>
      <c r="G668">
        <v>1863.65</v>
      </c>
      <c r="H668" t="str">
        <f>VLOOKUP(myynnit[[#This Row],[TuoteID]],ohjaus!$A$4:$B$20,2,FALSE)</f>
        <v>Pianotuoli</v>
      </c>
    </row>
    <row r="669" spans="1:8" x14ac:dyDescent="0.35">
      <c r="A669" t="s">
        <v>38</v>
      </c>
      <c r="B669">
        <v>2012</v>
      </c>
      <c r="C669">
        <v>10</v>
      </c>
      <c r="D669">
        <v>16024</v>
      </c>
      <c r="E669">
        <v>168</v>
      </c>
      <c r="F669">
        <v>68567.8</v>
      </c>
      <c r="G669">
        <v>17694.23</v>
      </c>
      <c r="H669" t="str">
        <f>VLOOKUP(myynnit[[#This Row],[TuoteID]],ohjaus!$A$4:$B$20,2,FALSE)</f>
        <v>Työtuoli</v>
      </c>
    </row>
    <row r="670" spans="1:8" x14ac:dyDescent="0.35">
      <c r="A670" t="s">
        <v>38</v>
      </c>
      <c r="B670">
        <v>2012</v>
      </c>
      <c r="C670">
        <v>10</v>
      </c>
      <c r="D670">
        <v>16650</v>
      </c>
      <c r="E670">
        <v>47</v>
      </c>
      <c r="F670">
        <v>8330.52</v>
      </c>
      <c r="G670">
        <v>4804.88</v>
      </c>
      <c r="H670" t="str">
        <f>VLOOKUP(myynnit[[#This Row],[TuoteID]],ohjaus!$A$4:$B$20,2,FALSE)</f>
        <v>Rahi</v>
      </c>
    </row>
    <row r="671" spans="1:8" x14ac:dyDescent="0.35">
      <c r="A671" t="s">
        <v>38</v>
      </c>
      <c r="B671">
        <v>2012</v>
      </c>
      <c r="C671">
        <v>10</v>
      </c>
      <c r="D671">
        <v>17892</v>
      </c>
      <c r="E671">
        <v>60</v>
      </c>
      <c r="F671">
        <v>7829.64</v>
      </c>
      <c r="G671">
        <v>2213.98</v>
      </c>
      <c r="H671" t="str">
        <f>VLOOKUP(myynnit[[#This Row],[TuoteID]],ohjaus!$A$4:$B$20,2,FALSE)</f>
        <v>Lepotuoli</v>
      </c>
    </row>
    <row r="672" spans="1:8" x14ac:dyDescent="0.35">
      <c r="A672" t="s">
        <v>38</v>
      </c>
      <c r="B672">
        <v>2012</v>
      </c>
      <c r="C672">
        <v>10</v>
      </c>
      <c r="D672">
        <v>18342</v>
      </c>
      <c r="E672">
        <v>148</v>
      </c>
      <c r="F672">
        <v>118178.42</v>
      </c>
      <c r="G672">
        <v>32064.84</v>
      </c>
      <c r="H672" t="str">
        <f>VLOOKUP(myynnit[[#This Row],[TuoteID]],ohjaus!$A$4:$B$20,2,FALSE)</f>
        <v>Työtuoli</v>
      </c>
    </row>
    <row r="673" spans="1:8" x14ac:dyDescent="0.35">
      <c r="A673" t="s">
        <v>38</v>
      </c>
      <c r="B673">
        <v>2012</v>
      </c>
      <c r="C673">
        <v>10</v>
      </c>
      <c r="D673">
        <v>20177</v>
      </c>
      <c r="E673">
        <v>73</v>
      </c>
      <c r="F673">
        <v>6567.98</v>
      </c>
      <c r="G673">
        <v>2517.2600000000002</v>
      </c>
      <c r="H673" t="str">
        <f>VLOOKUP(myynnit[[#This Row],[TuoteID]],ohjaus!$A$4:$B$20,2,FALSE)</f>
        <v>Säkkituoli</v>
      </c>
    </row>
    <row r="674" spans="1:8" x14ac:dyDescent="0.35">
      <c r="A674" t="s">
        <v>38</v>
      </c>
      <c r="B674">
        <v>2012</v>
      </c>
      <c r="C674">
        <v>10</v>
      </c>
      <c r="D674">
        <v>21179</v>
      </c>
      <c r="E674">
        <v>28</v>
      </c>
      <c r="F674">
        <v>3839.39</v>
      </c>
      <c r="G674">
        <v>2466.25</v>
      </c>
      <c r="H674" t="str">
        <f>VLOOKUP(myynnit[[#This Row],[TuoteID]],ohjaus!$A$4:$B$20,2,FALSE)</f>
        <v>Rahi</v>
      </c>
    </row>
    <row r="675" spans="1:8" x14ac:dyDescent="0.35">
      <c r="A675" t="s">
        <v>38</v>
      </c>
      <c r="B675">
        <v>2012</v>
      </c>
      <c r="C675">
        <v>10</v>
      </c>
      <c r="D675">
        <v>21260</v>
      </c>
      <c r="E675">
        <v>34</v>
      </c>
      <c r="F675">
        <v>6545.58</v>
      </c>
      <c r="G675">
        <v>1505.7</v>
      </c>
      <c r="H675" t="str">
        <f>VLOOKUP(myynnit[[#This Row],[TuoteID]],ohjaus!$A$4:$B$20,2,FALSE)</f>
        <v>Lepotuoli</v>
      </c>
    </row>
    <row r="676" spans="1:8" x14ac:dyDescent="0.35">
      <c r="A676" t="s">
        <v>38</v>
      </c>
      <c r="B676">
        <v>2012</v>
      </c>
      <c r="C676">
        <v>10</v>
      </c>
      <c r="D676">
        <v>22317</v>
      </c>
      <c r="E676">
        <v>68</v>
      </c>
      <c r="F676">
        <v>5608.63</v>
      </c>
      <c r="G676">
        <v>2015.85</v>
      </c>
      <c r="H676" t="str">
        <f>VLOOKUP(myynnit[[#This Row],[TuoteID]],ohjaus!$A$4:$B$20,2,FALSE)</f>
        <v>Säkkituoli</v>
      </c>
    </row>
    <row r="677" spans="1:8" x14ac:dyDescent="0.35">
      <c r="A677" t="s">
        <v>38</v>
      </c>
      <c r="B677">
        <v>2012</v>
      </c>
      <c r="C677">
        <v>10</v>
      </c>
      <c r="D677">
        <v>22940</v>
      </c>
      <c r="E677">
        <v>559</v>
      </c>
      <c r="F677">
        <v>75833.84</v>
      </c>
      <c r="G677">
        <v>16283.33</v>
      </c>
      <c r="H677" t="str">
        <f>VLOOKUP(myynnit[[#This Row],[TuoteID]],ohjaus!$A$4:$B$20,2,FALSE)</f>
        <v>Pinnatuoli</v>
      </c>
    </row>
    <row r="678" spans="1:8" x14ac:dyDescent="0.35">
      <c r="A678" t="s">
        <v>38</v>
      </c>
      <c r="B678">
        <v>2012</v>
      </c>
      <c r="C678">
        <v>10</v>
      </c>
      <c r="D678">
        <v>23178</v>
      </c>
      <c r="E678">
        <v>120</v>
      </c>
      <c r="F678">
        <v>20532.41</v>
      </c>
      <c r="G678">
        <v>4825.03</v>
      </c>
      <c r="H678" t="str">
        <f>VLOOKUP(myynnit[[#This Row],[TuoteID]],ohjaus!$A$4:$B$20,2,FALSE)</f>
        <v>Pinnatuoli</v>
      </c>
    </row>
    <row r="679" spans="1:8" x14ac:dyDescent="0.35">
      <c r="A679" t="s">
        <v>38</v>
      </c>
      <c r="B679">
        <v>2012</v>
      </c>
      <c r="C679">
        <v>10</v>
      </c>
      <c r="D679">
        <v>23600</v>
      </c>
      <c r="E679">
        <v>1296</v>
      </c>
      <c r="F679">
        <v>133296.65</v>
      </c>
      <c r="G679">
        <v>29311.7</v>
      </c>
      <c r="H679" t="str">
        <f>VLOOKUP(myynnit[[#This Row],[TuoteID]],ohjaus!$A$4:$B$20,2,FALSE)</f>
        <v>Pinnatuoli</v>
      </c>
    </row>
    <row r="680" spans="1:8" x14ac:dyDescent="0.35">
      <c r="A680" t="s">
        <v>38</v>
      </c>
      <c r="B680">
        <v>2012</v>
      </c>
      <c r="C680">
        <v>10</v>
      </c>
      <c r="D680">
        <v>23756</v>
      </c>
      <c r="E680">
        <v>65</v>
      </c>
      <c r="F680">
        <v>11915.33</v>
      </c>
      <c r="G680">
        <v>6107.63</v>
      </c>
      <c r="H680" t="str">
        <f>VLOOKUP(myynnit[[#This Row],[TuoteID]],ohjaus!$A$4:$B$20,2,FALSE)</f>
        <v>Pianotuoli</v>
      </c>
    </row>
    <row r="681" spans="1:8" x14ac:dyDescent="0.35">
      <c r="A681" t="s">
        <v>38</v>
      </c>
      <c r="B681">
        <v>2012</v>
      </c>
      <c r="C681">
        <v>10</v>
      </c>
      <c r="D681">
        <v>24326</v>
      </c>
      <c r="E681">
        <v>133</v>
      </c>
      <c r="F681">
        <v>19203.11</v>
      </c>
      <c r="G681">
        <v>5308.61</v>
      </c>
      <c r="H681" t="str">
        <f>VLOOKUP(myynnit[[#This Row],[TuoteID]],ohjaus!$A$4:$B$20,2,FALSE)</f>
        <v>Lepotuoli</v>
      </c>
    </row>
    <row r="682" spans="1:8" x14ac:dyDescent="0.35">
      <c r="A682" t="s">
        <v>37</v>
      </c>
      <c r="B682">
        <v>2012</v>
      </c>
      <c r="C682">
        <v>11</v>
      </c>
      <c r="D682">
        <v>12184</v>
      </c>
      <c r="E682">
        <v>72</v>
      </c>
      <c r="F682">
        <v>9249.18</v>
      </c>
      <c r="G682">
        <v>4774.01</v>
      </c>
      <c r="H682" t="str">
        <f>VLOOKUP(myynnit[[#This Row],[TuoteID]],ohjaus!$A$4:$B$20,2,FALSE)</f>
        <v>Rahi</v>
      </c>
    </row>
    <row r="683" spans="1:8" x14ac:dyDescent="0.35">
      <c r="A683" t="s">
        <v>37</v>
      </c>
      <c r="B683">
        <v>2012</v>
      </c>
      <c r="C683">
        <v>11</v>
      </c>
      <c r="D683">
        <v>12622</v>
      </c>
      <c r="E683">
        <v>77</v>
      </c>
      <c r="F683">
        <v>18472.97</v>
      </c>
      <c r="G683">
        <v>7912.31</v>
      </c>
      <c r="H683" t="str">
        <f>VLOOKUP(myynnit[[#This Row],[TuoteID]],ohjaus!$A$4:$B$20,2,FALSE)</f>
        <v>Pianotuoli</v>
      </c>
    </row>
    <row r="684" spans="1:8" x14ac:dyDescent="0.35">
      <c r="A684" t="s">
        <v>37</v>
      </c>
      <c r="B684">
        <v>2012</v>
      </c>
      <c r="C684">
        <v>11</v>
      </c>
      <c r="D684">
        <v>13527</v>
      </c>
      <c r="E684">
        <v>606</v>
      </c>
      <c r="F684">
        <v>99006.6</v>
      </c>
      <c r="G684">
        <v>18573.150000000001</v>
      </c>
      <c r="H684" t="str">
        <f>VLOOKUP(myynnit[[#This Row],[TuoteID]],ohjaus!$A$4:$B$20,2,FALSE)</f>
        <v>Pinnatuoli</v>
      </c>
    </row>
    <row r="685" spans="1:8" x14ac:dyDescent="0.35">
      <c r="A685" t="s">
        <v>37</v>
      </c>
      <c r="B685">
        <v>2012</v>
      </c>
      <c r="C685">
        <v>11</v>
      </c>
      <c r="D685">
        <v>13618</v>
      </c>
      <c r="E685">
        <v>15</v>
      </c>
      <c r="F685">
        <v>5233.59</v>
      </c>
      <c r="G685">
        <v>2156.4</v>
      </c>
      <c r="H685" t="str">
        <f>VLOOKUP(myynnit[[#This Row],[TuoteID]],ohjaus!$A$4:$B$20,2,FALSE)</f>
        <v>Pianotuoli</v>
      </c>
    </row>
    <row r="686" spans="1:8" x14ac:dyDescent="0.35">
      <c r="A686" t="s">
        <v>37</v>
      </c>
      <c r="B686">
        <v>2012</v>
      </c>
      <c r="C686">
        <v>11</v>
      </c>
      <c r="D686">
        <v>16024</v>
      </c>
      <c r="E686">
        <v>182</v>
      </c>
      <c r="F686">
        <v>75655.429999999993</v>
      </c>
      <c r="G686">
        <v>22070.83</v>
      </c>
      <c r="H686" t="str">
        <f>VLOOKUP(myynnit[[#This Row],[TuoteID]],ohjaus!$A$4:$B$20,2,FALSE)</f>
        <v>Työtuoli</v>
      </c>
    </row>
    <row r="687" spans="1:8" x14ac:dyDescent="0.35">
      <c r="A687" t="s">
        <v>37</v>
      </c>
      <c r="B687">
        <v>2012</v>
      </c>
      <c r="C687">
        <v>11</v>
      </c>
      <c r="D687">
        <v>16650</v>
      </c>
      <c r="E687">
        <v>64</v>
      </c>
      <c r="F687">
        <v>9807.19</v>
      </c>
      <c r="G687">
        <v>5232.1899999999996</v>
      </c>
      <c r="H687" t="str">
        <f>VLOOKUP(myynnit[[#This Row],[TuoteID]],ohjaus!$A$4:$B$20,2,FALSE)</f>
        <v>Rahi</v>
      </c>
    </row>
    <row r="688" spans="1:8" x14ac:dyDescent="0.35">
      <c r="A688" t="s">
        <v>37</v>
      </c>
      <c r="B688">
        <v>2012</v>
      </c>
      <c r="C688">
        <v>11</v>
      </c>
      <c r="D688">
        <v>17892</v>
      </c>
      <c r="E688">
        <v>90</v>
      </c>
      <c r="F688">
        <v>13195.09</v>
      </c>
      <c r="G688">
        <v>3312.1</v>
      </c>
      <c r="H688" t="str">
        <f>VLOOKUP(myynnit[[#This Row],[TuoteID]],ohjaus!$A$4:$B$20,2,FALSE)</f>
        <v>Lepotuoli</v>
      </c>
    </row>
    <row r="689" spans="1:8" x14ac:dyDescent="0.35">
      <c r="A689" t="s">
        <v>37</v>
      </c>
      <c r="B689">
        <v>2012</v>
      </c>
      <c r="C689">
        <v>11</v>
      </c>
      <c r="D689">
        <v>18342</v>
      </c>
      <c r="E689">
        <v>219</v>
      </c>
      <c r="F689">
        <v>161913.88</v>
      </c>
      <c r="G689">
        <v>40590.82</v>
      </c>
      <c r="H689" t="str">
        <f>VLOOKUP(myynnit[[#This Row],[TuoteID]],ohjaus!$A$4:$B$20,2,FALSE)</f>
        <v>Työtuoli</v>
      </c>
    </row>
    <row r="690" spans="1:8" x14ac:dyDescent="0.35">
      <c r="A690" t="s">
        <v>37</v>
      </c>
      <c r="B690">
        <v>2012</v>
      </c>
      <c r="C690">
        <v>11</v>
      </c>
      <c r="D690">
        <v>20177</v>
      </c>
      <c r="E690">
        <v>114</v>
      </c>
      <c r="F690">
        <v>10212.68</v>
      </c>
      <c r="G690">
        <v>3892.13</v>
      </c>
      <c r="H690" t="str">
        <f>VLOOKUP(myynnit[[#This Row],[TuoteID]],ohjaus!$A$4:$B$20,2,FALSE)</f>
        <v>Säkkituoli</v>
      </c>
    </row>
    <row r="691" spans="1:8" x14ac:dyDescent="0.35">
      <c r="A691" t="s">
        <v>37</v>
      </c>
      <c r="B691">
        <v>2012</v>
      </c>
      <c r="C691">
        <v>11</v>
      </c>
      <c r="D691">
        <v>21179</v>
      </c>
      <c r="E691">
        <v>40</v>
      </c>
      <c r="F691">
        <v>4553.1000000000004</v>
      </c>
      <c r="G691">
        <v>1838.65</v>
      </c>
      <c r="H691" t="str">
        <f>VLOOKUP(myynnit[[#This Row],[TuoteID]],ohjaus!$A$4:$B$20,2,FALSE)</f>
        <v>Rahi</v>
      </c>
    </row>
    <row r="692" spans="1:8" x14ac:dyDescent="0.35">
      <c r="A692" t="s">
        <v>37</v>
      </c>
      <c r="B692">
        <v>2012</v>
      </c>
      <c r="C692">
        <v>11</v>
      </c>
      <c r="D692">
        <v>21260</v>
      </c>
      <c r="E692">
        <v>60</v>
      </c>
      <c r="F692">
        <v>11639.51</v>
      </c>
      <c r="G692">
        <v>3678.02</v>
      </c>
      <c r="H692" t="str">
        <f>VLOOKUP(myynnit[[#This Row],[TuoteID]],ohjaus!$A$4:$B$20,2,FALSE)</f>
        <v>Lepotuoli</v>
      </c>
    </row>
    <row r="693" spans="1:8" x14ac:dyDescent="0.35">
      <c r="A693" t="s">
        <v>37</v>
      </c>
      <c r="B693">
        <v>2012</v>
      </c>
      <c r="C693">
        <v>11</v>
      </c>
      <c r="D693">
        <v>22317</v>
      </c>
      <c r="E693">
        <v>53</v>
      </c>
      <c r="F693">
        <v>3914.56</v>
      </c>
      <c r="G693">
        <v>1392.66</v>
      </c>
      <c r="H693" t="str">
        <f>VLOOKUP(myynnit[[#This Row],[TuoteID]],ohjaus!$A$4:$B$20,2,FALSE)</f>
        <v>Säkkituoli</v>
      </c>
    </row>
    <row r="694" spans="1:8" x14ac:dyDescent="0.35">
      <c r="A694" t="s">
        <v>37</v>
      </c>
      <c r="B694">
        <v>2012</v>
      </c>
      <c r="C694">
        <v>11</v>
      </c>
      <c r="D694">
        <v>22940</v>
      </c>
      <c r="E694">
        <v>963</v>
      </c>
      <c r="F694">
        <v>129193.15</v>
      </c>
      <c r="G694">
        <v>24403.46</v>
      </c>
      <c r="H694" t="str">
        <f>VLOOKUP(myynnit[[#This Row],[TuoteID]],ohjaus!$A$4:$B$20,2,FALSE)</f>
        <v>Pinnatuoli</v>
      </c>
    </row>
    <row r="695" spans="1:8" x14ac:dyDescent="0.35">
      <c r="A695" t="s">
        <v>37</v>
      </c>
      <c r="B695">
        <v>2012</v>
      </c>
      <c r="C695">
        <v>11</v>
      </c>
      <c r="D695">
        <v>23178</v>
      </c>
      <c r="E695">
        <v>405</v>
      </c>
      <c r="F695">
        <v>72110.990000000005</v>
      </c>
      <c r="G695">
        <v>14614.92</v>
      </c>
      <c r="H695" t="str">
        <f>VLOOKUP(myynnit[[#This Row],[TuoteID]],ohjaus!$A$4:$B$20,2,FALSE)</f>
        <v>Pinnatuoli</v>
      </c>
    </row>
    <row r="696" spans="1:8" x14ac:dyDescent="0.35">
      <c r="A696" t="s">
        <v>37</v>
      </c>
      <c r="B696">
        <v>2012</v>
      </c>
      <c r="C696">
        <v>11</v>
      </c>
      <c r="D696">
        <v>23600</v>
      </c>
      <c r="E696">
        <v>894</v>
      </c>
      <c r="F696">
        <v>88978.13</v>
      </c>
      <c r="G696">
        <v>22383.47</v>
      </c>
      <c r="H696" t="str">
        <f>VLOOKUP(myynnit[[#This Row],[TuoteID]],ohjaus!$A$4:$B$20,2,FALSE)</f>
        <v>Pinnatuoli</v>
      </c>
    </row>
    <row r="697" spans="1:8" x14ac:dyDescent="0.35">
      <c r="A697" t="s">
        <v>37</v>
      </c>
      <c r="B697">
        <v>2012</v>
      </c>
      <c r="C697">
        <v>11</v>
      </c>
      <c r="D697">
        <v>23756</v>
      </c>
      <c r="E697">
        <v>111</v>
      </c>
      <c r="F697">
        <v>20328.63</v>
      </c>
      <c r="G697">
        <v>10872.76</v>
      </c>
      <c r="H697" t="str">
        <f>VLOOKUP(myynnit[[#This Row],[TuoteID]],ohjaus!$A$4:$B$20,2,FALSE)</f>
        <v>Pianotuoli</v>
      </c>
    </row>
    <row r="698" spans="1:8" x14ac:dyDescent="0.35">
      <c r="A698" t="s">
        <v>37</v>
      </c>
      <c r="B698">
        <v>2012</v>
      </c>
      <c r="C698">
        <v>11</v>
      </c>
      <c r="D698">
        <v>24326</v>
      </c>
      <c r="E698">
        <v>183</v>
      </c>
      <c r="F698">
        <v>24455.94</v>
      </c>
      <c r="G698">
        <v>7448.15</v>
      </c>
      <c r="H698" t="str">
        <f>VLOOKUP(myynnit[[#This Row],[TuoteID]],ohjaus!$A$4:$B$20,2,FALSE)</f>
        <v>Lepotuoli</v>
      </c>
    </row>
    <row r="699" spans="1:8" x14ac:dyDescent="0.35">
      <c r="A699" t="s">
        <v>40</v>
      </c>
      <c r="B699">
        <v>2012</v>
      </c>
      <c r="C699">
        <v>11</v>
      </c>
      <c r="D699">
        <v>12184</v>
      </c>
      <c r="E699">
        <v>40</v>
      </c>
      <c r="F699">
        <v>4643.5200000000004</v>
      </c>
      <c r="G699">
        <v>2118.11</v>
      </c>
      <c r="H699" t="str">
        <f>VLOOKUP(myynnit[[#This Row],[TuoteID]],ohjaus!$A$4:$B$20,2,FALSE)</f>
        <v>Rahi</v>
      </c>
    </row>
    <row r="700" spans="1:8" x14ac:dyDescent="0.35">
      <c r="A700" t="s">
        <v>40</v>
      </c>
      <c r="B700">
        <v>2012</v>
      </c>
      <c r="C700">
        <v>11</v>
      </c>
      <c r="D700">
        <v>12622</v>
      </c>
      <c r="E700">
        <v>12</v>
      </c>
      <c r="F700">
        <v>3112.7</v>
      </c>
      <c r="G700">
        <v>1217.94</v>
      </c>
      <c r="H700" t="str">
        <f>VLOOKUP(myynnit[[#This Row],[TuoteID]],ohjaus!$A$4:$B$20,2,FALSE)</f>
        <v>Pianotuoli</v>
      </c>
    </row>
    <row r="701" spans="1:8" x14ac:dyDescent="0.35">
      <c r="A701" t="s">
        <v>40</v>
      </c>
      <c r="B701">
        <v>2012</v>
      </c>
      <c r="C701">
        <v>11</v>
      </c>
      <c r="D701">
        <v>13527</v>
      </c>
      <c r="E701">
        <v>298</v>
      </c>
      <c r="F701">
        <v>44814.8</v>
      </c>
      <c r="G701">
        <v>8930.19</v>
      </c>
      <c r="H701" t="str">
        <f>VLOOKUP(myynnit[[#This Row],[TuoteID]],ohjaus!$A$4:$B$20,2,FALSE)</f>
        <v>Pinnatuoli</v>
      </c>
    </row>
    <row r="702" spans="1:8" x14ac:dyDescent="0.35">
      <c r="A702" t="s">
        <v>40</v>
      </c>
      <c r="B702">
        <v>2012</v>
      </c>
      <c r="C702">
        <v>11</v>
      </c>
      <c r="D702">
        <v>13618</v>
      </c>
      <c r="E702">
        <v>5</v>
      </c>
      <c r="F702">
        <v>1926.54</v>
      </c>
      <c r="G702">
        <v>935.94</v>
      </c>
      <c r="H702" t="str">
        <f>VLOOKUP(myynnit[[#This Row],[TuoteID]],ohjaus!$A$4:$B$20,2,FALSE)</f>
        <v>Pianotuoli</v>
      </c>
    </row>
    <row r="703" spans="1:8" x14ac:dyDescent="0.35">
      <c r="A703" t="s">
        <v>40</v>
      </c>
      <c r="B703">
        <v>2012</v>
      </c>
      <c r="C703">
        <v>11</v>
      </c>
      <c r="D703">
        <v>16024</v>
      </c>
      <c r="E703">
        <v>177</v>
      </c>
      <c r="F703">
        <v>81129.45</v>
      </c>
      <c r="G703">
        <v>23271.46</v>
      </c>
      <c r="H703" t="str">
        <f>VLOOKUP(myynnit[[#This Row],[TuoteID]],ohjaus!$A$4:$B$20,2,FALSE)</f>
        <v>Työtuoli</v>
      </c>
    </row>
    <row r="704" spans="1:8" x14ac:dyDescent="0.35">
      <c r="A704" t="s">
        <v>40</v>
      </c>
      <c r="B704">
        <v>2012</v>
      </c>
      <c r="C704">
        <v>11</v>
      </c>
      <c r="D704">
        <v>16650</v>
      </c>
      <c r="E704">
        <v>32</v>
      </c>
      <c r="F704">
        <v>4521.8</v>
      </c>
      <c r="G704">
        <v>2875.31</v>
      </c>
      <c r="H704" t="str">
        <f>VLOOKUP(myynnit[[#This Row],[TuoteID]],ohjaus!$A$4:$B$20,2,FALSE)</f>
        <v>Rahi</v>
      </c>
    </row>
    <row r="705" spans="1:8" x14ac:dyDescent="0.35">
      <c r="A705" t="s">
        <v>40</v>
      </c>
      <c r="B705">
        <v>2012</v>
      </c>
      <c r="C705">
        <v>11</v>
      </c>
      <c r="D705">
        <v>17892</v>
      </c>
      <c r="E705">
        <v>100</v>
      </c>
      <c r="F705">
        <v>13086.77</v>
      </c>
      <c r="G705">
        <v>3573.87</v>
      </c>
      <c r="H705" t="str">
        <f>VLOOKUP(myynnit[[#This Row],[TuoteID]],ohjaus!$A$4:$B$20,2,FALSE)</f>
        <v>Lepotuoli</v>
      </c>
    </row>
    <row r="706" spans="1:8" x14ac:dyDescent="0.35">
      <c r="A706" t="s">
        <v>40</v>
      </c>
      <c r="B706">
        <v>2012</v>
      </c>
      <c r="C706">
        <v>11</v>
      </c>
      <c r="D706">
        <v>18342</v>
      </c>
      <c r="E706">
        <v>23</v>
      </c>
      <c r="F706">
        <v>20212.759999999998</v>
      </c>
      <c r="G706">
        <v>7038.11</v>
      </c>
      <c r="H706" t="str">
        <f>VLOOKUP(myynnit[[#This Row],[TuoteID]],ohjaus!$A$4:$B$20,2,FALSE)</f>
        <v>Työtuoli</v>
      </c>
    </row>
    <row r="707" spans="1:8" x14ac:dyDescent="0.35">
      <c r="A707" t="s">
        <v>40</v>
      </c>
      <c r="B707">
        <v>2012</v>
      </c>
      <c r="C707">
        <v>11</v>
      </c>
      <c r="D707">
        <v>20177</v>
      </c>
      <c r="E707">
        <v>13</v>
      </c>
      <c r="F707">
        <v>1311.29</v>
      </c>
      <c r="G707">
        <v>490.12</v>
      </c>
      <c r="H707" t="str">
        <f>VLOOKUP(myynnit[[#This Row],[TuoteID]],ohjaus!$A$4:$B$20,2,FALSE)</f>
        <v>Säkkituoli</v>
      </c>
    </row>
    <row r="708" spans="1:8" x14ac:dyDescent="0.35">
      <c r="A708" t="s">
        <v>40</v>
      </c>
      <c r="B708">
        <v>2012</v>
      </c>
      <c r="C708">
        <v>11</v>
      </c>
      <c r="D708">
        <v>21179</v>
      </c>
      <c r="E708">
        <v>35</v>
      </c>
      <c r="F708">
        <v>4291.9799999999996</v>
      </c>
      <c r="G708">
        <v>2104.64</v>
      </c>
      <c r="H708" t="str">
        <f>VLOOKUP(myynnit[[#This Row],[TuoteID]],ohjaus!$A$4:$B$20,2,FALSE)</f>
        <v>Rahi</v>
      </c>
    </row>
    <row r="709" spans="1:8" x14ac:dyDescent="0.35">
      <c r="A709" t="s">
        <v>40</v>
      </c>
      <c r="B709">
        <v>2012</v>
      </c>
      <c r="C709">
        <v>11</v>
      </c>
      <c r="D709">
        <v>21260</v>
      </c>
      <c r="E709">
        <v>44</v>
      </c>
      <c r="F709">
        <v>7745.86</v>
      </c>
      <c r="G709">
        <v>1867.39</v>
      </c>
      <c r="H709" t="str">
        <f>VLOOKUP(myynnit[[#This Row],[TuoteID]],ohjaus!$A$4:$B$20,2,FALSE)</f>
        <v>Lepotuoli</v>
      </c>
    </row>
    <row r="710" spans="1:8" x14ac:dyDescent="0.35">
      <c r="A710" t="s">
        <v>40</v>
      </c>
      <c r="B710">
        <v>2012</v>
      </c>
      <c r="C710">
        <v>11</v>
      </c>
      <c r="D710">
        <v>22317</v>
      </c>
      <c r="E710">
        <v>16</v>
      </c>
      <c r="F710">
        <v>1229.3800000000001</v>
      </c>
      <c r="G710">
        <v>625.73</v>
      </c>
      <c r="H710" t="str">
        <f>VLOOKUP(myynnit[[#This Row],[TuoteID]],ohjaus!$A$4:$B$20,2,FALSE)</f>
        <v>Säkkituoli</v>
      </c>
    </row>
    <row r="711" spans="1:8" x14ac:dyDescent="0.35">
      <c r="A711" t="s">
        <v>40</v>
      </c>
      <c r="B711">
        <v>2012</v>
      </c>
      <c r="C711">
        <v>11</v>
      </c>
      <c r="D711">
        <v>22940</v>
      </c>
      <c r="E711">
        <v>129</v>
      </c>
      <c r="F711">
        <v>18550.12</v>
      </c>
      <c r="G711">
        <v>4206.09</v>
      </c>
      <c r="H711" t="str">
        <f>VLOOKUP(myynnit[[#This Row],[TuoteID]],ohjaus!$A$4:$B$20,2,FALSE)</f>
        <v>Pinnatuoli</v>
      </c>
    </row>
    <row r="712" spans="1:8" x14ac:dyDescent="0.35">
      <c r="A712" t="s">
        <v>40</v>
      </c>
      <c r="B712">
        <v>2012</v>
      </c>
      <c r="C712">
        <v>11</v>
      </c>
      <c r="D712">
        <v>23178</v>
      </c>
      <c r="E712">
        <v>205</v>
      </c>
      <c r="F712">
        <v>37423.08</v>
      </c>
      <c r="G712">
        <v>9575.7199999999993</v>
      </c>
      <c r="H712" t="str">
        <f>VLOOKUP(myynnit[[#This Row],[TuoteID]],ohjaus!$A$4:$B$20,2,FALSE)</f>
        <v>Pinnatuoli</v>
      </c>
    </row>
    <row r="713" spans="1:8" x14ac:dyDescent="0.35">
      <c r="A713" t="s">
        <v>40</v>
      </c>
      <c r="B713">
        <v>2012</v>
      </c>
      <c r="C713">
        <v>11</v>
      </c>
      <c r="D713">
        <v>23600</v>
      </c>
      <c r="E713">
        <v>486</v>
      </c>
      <c r="F713">
        <v>53489.24</v>
      </c>
      <c r="G713">
        <v>14319.7</v>
      </c>
      <c r="H713" t="str">
        <f>VLOOKUP(myynnit[[#This Row],[TuoteID]],ohjaus!$A$4:$B$20,2,FALSE)</f>
        <v>Pinnatuoli</v>
      </c>
    </row>
    <row r="714" spans="1:8" x14ac:dyDescent="0.35">
      <c r="A714" t="s">
        <v>40</v>
      </c>
      <c r="B714">
        <v>2012</v>
      </c>
      <c r="C714">
        <v>11</v>
      </c>
      <c r="D714">
        <v>23756</v>
      </c>
      <c r="E714">
        <v>81</v>
      </c>
      <c r="F714">
        <v>14525.63</v>
      </c>
      <c r="G714">
        <v>5989.12</v>
      </c>
      <c r="H714" t="str">
        <f>VLOOKUP(myynnit[[#This Row],[TuoteID]],ohjaus!$A$4:$B$20,2,FALSE)</f>
        <v>Pianotuoli</v>
      </c>
    </row>
    <row r="715" spans="1:8" x14ac:dyDescent="0.35">
      <c r="A715" t="s">
        <v>40</v>
      </c>
      <c r="B715">
        <v>2012</v>
      </c>
      <c r="C715">
        <v>11</v>
      </c>
      <c r="D715">
        <v>24326</v>
      </c>
      <c r="E715">
        <v>45</v>
      </c>
      <c r="F715">
        <v>6207.35</v>
      </c>
      <c r="G715">
        <v>1886.25</v>
      </c>
      <c r="H715" t="str">
        <f>VLOOKUP(myynnit[[#This Row],[TuoteID]],ohjaus!$A$4:$B$20,2,FALSE)</f>
        <v>Lepotuoli</v>
      </c>
    </row>
    <row r="716" spans="1:8" x14ac:dyDescent="0.35">
      <c r="A716" t="s">
        <v>39</v>
      </c>
      <c r="B716">
        <v>2012</v>
      </c>
      <c r="C716">
        <v>11</v>
      </c>
      <c r="D716">
        <v>12184</v>
      </c>
      <c r="E716">
        <v>93</v>
      </c>
      <c r="F716">
        <v>12503.68</v>
      </c>
      <c r="G716">
        <v>7909.97</v>
      </c>
      <c r="H716" t="str">
        <f>VLOOKUP(myynnit[[#This Row],[TuoteID]],ohjaus!$A$4:$B$20,2,FALSE)</f>
        <v>Rahi</v>
      </c>
    </row>
    <row r="717" spans="1:8" x14ac:dyDescent="0.35">
      <c r="A717" t="s">
        <v>39</v>
      </c>
      <c r="B717">
        <v>2012</v>
      </c>
      <c r="C717">
        <v>11</v>
      </c>
      <c r="D717">
        <v>12622</v>
      </c>
      <c r="E717">
        <v>47</v>
      </c>
      <c r="F717">
        <v>13252.86</v>
      </c>
      <c r="G717">
        <v>8382.02</v>
      </c>
      <c r="H717" t="str">
        <f>VLOOKUP(myynnit[[#This Row],[TuoteID]],ohjaus!$A$4:$B$20,2,FALSE)</f>
        <v>Pianotuoli</v>
      </c>
    </row>
    <row r="718" spans="1:8" x14ac:dyDescent="0.35">
      <c r="A718" t="s">
        <v>39</v>
      </c>
      <c r="B718">
        <v>2012</v>
      </c>
      <c r="C718">
        <v>11</v>
      </c>
      <c r="D718">
        <v>13527</v>
      </c>
      <c r="E718">
        <v>362</v>
      </c>
      <c r="F718">
        <v>64211.39</v>
      </c>
      <c r="G718">
        <v>15319.97</v>
      </c>
      <c r="H718" t="str">
        <f>VLOOKUP(myynnit[[#This Row],[TuoteID]],ohjaus!$A$4:$B$20,2,FALSE)</f>
        <v>Pinnatuoli</v>
      </c>
    </row>
    <row r="719" spans="1:8" x14ac:dyDescent="0.35">
      <c r="A719" t="s">
        <v>39</v>
      </c>
      <c r="B719">
        <v>2012</v>
      </c>
      <c r="C719">
        <v>11</v>
      </c>
      <c r="D719">
        <v>13618</v>
      </c>
      <c r="E719">
        <v>16</v>
      </c>
      <c r="F719">
        <v>5938.55</v>
      </c>
      <c r="G719">
        <v>3486.73</v>
      </c>
      <c r="H719" t="str">
        <f>VLOOKUP(myynnit[[#This Row],[TuoteID]],ohjaus!$A$4:$B$20,2,FALSE)</f>
        <v>Pianotuoli</v>
      </c>
    </row>
    <row r="720" spans="1:8" x14ac:dyDescent="0.35">
      <c r="A720" t="s">
        <v>39</v>
      </c>
      <c r="B720">
        <v>2012</v>
      </c>
      <c r="C720">
        <v>11</v>
      </c>
      <c r="D720">
        <v>16024</v>
      </c>
      <c r="E720">
        <v>211</v>
      </c>
      <c r="F720">
        <v>93232.03</v>
      </c>
      <c r="G720">
        <v>24704.11</v>
      </c>
      <c r="H720" t="str">
        <f>VLOOKUP(myynnit[[#This Row],[TuoteID]],ohjaus!$A$4:$B$20,2,FALSE)</f>
        <v>Työtuoli</v>
      </c>
    </row>
    <row r="721" spans="1:8" x14ac:dyDescent="0.35">
      <c r="A721" t="s">
        <v>39</v>
      </c>
      <c r="B721">
        <v>2012</v>
      </c>
      <c r="C721">
        <v>11</v>
      </c>
      <c r="D721">
        <v>16650</v>
      </c>
      <c r="E721">
        <v>39</v>
      </c>
      <c r="F721">
        <v>6432.99</v>
      </c>
      <c r="G721">
        <v>4162.28</v>
      </c>
      <c r="H721" t="str">
        <f>VLOOKUP(myynnit[[#This Row],[TuoteID]],ohjaus!$A$4:$B$20,2,FALSE)</f>
        <v>Rahi</v>
      </c>
    </row>
    <row r="722" spans="1:8" x14ac:dyDescent="0.35">
      <c r="A722" t="s">
        <v>39</v>
      </c>
      <c r="B722">
        <v>2012</v>
      </c>
      <c r="C722">
        <v>11</v>
      </c>
      <c r="D722">
        <v>17892</v>
      </c>
      <c r="E722">
        <v>93</v>
      </c>
      <c r="F722">
        <v>14294.19</v>
      </c>
      <c r="G722">
        <v>4355.97</v>
      </c>
      <c r="H722" t="str">
        <f>VLOOKUP(myynnit[[#This Row],[TuoteID]],ohjaus!$A$4:$B$20,2,FALSE)</f>
        <v>Lepotuoli</v>
      </c>
    </row>
    <row r="723" spans="1:8" x14ac:dyDescent="0.35">
      <c r="A723" t="s">
        <v>39</v>
      </c>
      <c r="B723">
        <v>2012</v>
      </c>
      <c r="C723">
        <v>11</v>
      </c>
      <c r="D723">
        <v>18342</v>
      </c>
      <c r="E723">
        <v>80</v>
      </c>
      <c r="F723">
        <v>75053.36</v>
      </c>
      <c r="G723">
        <v>19056.55</v>
      </c>
      <c r="H723" t="str">
        <f>VLOOKUP(myynnit[[#This Row],[TuoteID]],ohjaus!$A$4:$B$20,2,FALSE)</f>
        <v>Työtuoli</v>
      </c>
    </row>
    <row r="724" spans="1:8" x14ac:dyDescent="0.35">
      <c r="A724" t="s">
        <v>39</v>
      </c>
      <c r="B724">
        <v>2012</v>
      </c>
      <c r="C724">
        <v>11</v>
      </c>
      <c r="D724">
        <v>20177</v>
      </c>
      <c r="E724">
        <v>31</v>
      </c>
      <c r="F724">
        <v>2781.37</v>
      </c>
      <c r="G724">
        <v>1078.3900000000001</v>
      </c>
      <c r="H724" t="str">
        <f>VLOOKUP(myynnit[[#This Row],[TuoteID]],ohjaus!$A$4:$B$20,2,FALSE)</f>
        <v>Säkkituoli</v>
      </c>
    </row>
    <row r="725" spans="1:8" x14ac:dyDescent="0.35">
      <c r="A725" t="s">
        <v>39</v>
      </c>
      <c r="B725">
        <v>2012</v>
      </c>
      <c r="C725">
        <v>11</v>
      </c>
      <c r="D725">
        <v>21179</v>
      </c>
      <c r="E725">
        <v>32</v>
      </c>
      <c r="F725">
        <v>3540.5</v>
      </c>
      <c r="G725">
        <v>2505.5100000000002</v>
      </c>
      <c r="H725" t="str">
        <f>VLOOKUP(myynnit[[#This Row],[TuoteID]],ohjaus!$A$4:$B$20,2,FALSE)</f>
        <v>Rahi</v>
      </c>
    </row>
    <row r="726" spans="1:8" x14ac:dyDescent="0.35">
      <c r="A726" t="s">
        <v>39</v>
      </c>
      <c r="B726">
        <v>2012</v>
      </c>
      <c r="C726">
        <v>11</v>
      </c>
      <c r="D726">
        <v>21260</v>
      </c>
      <c r="E726">
        <v>61</v>
      </c>
      <c r="F726">
        <v>12808.5</v>
      </c>
      <c r="G726">
        <v>3350.66</v>
      </c>
      <c r="H726" t="str">
        <f>VLOOKUP(myynnit[[#This Row],[TuoteID]],ohjaus!$A$4:$B$20,2,FALSE)</f>
        <v>Lepotuoli</v>
      </c>
    </row>
    <row r="727" spans="1:8" x14ac:dyDescent="0.35">
      <c r="A727" t="s">
        <v>39</v>
      </c>
      <c r="B727">
        <v>2012</v>
      </c>
      <c r="C727">
        <v>11</v>
      </c>
      <c r="D727">
        <v>22317</v>
      </c>
      <c r="E727">
        <v>23</v>
      </c>
      <c r="F727">
        <v>2044.63</v>
      </c>
      <c r="G727">
        <v>907.19</v>
      </c>
      <c r="H727" t="str">
        <f>VLOOKUP(myynnit[[#This Row],[TuoteID]],ohjaus!$A$4:$B$20,2,FALSE)</f>
        <v>Säkkituoli</v>
      </c>
    </row>
    <row r="728" spans="1:8" x14ac:dyDescent="0.35">
      <c r="A728" t="s">
        <v>39</v>
      </c>
      <c r="B728">
        <v>2012</v>
      </c>
      <c r="C728">
        <v>11</v>
      </c>
      <c r="D728">
        <v>22940</v>
      </c>
      <c r="E728">
        <v>648</v>
      </c>
      <c r="F728">
        <v>84615.67</v>
      </c>
      <c r="G728">
        <v>23339.22</v>
      </c>
      <c r="H728" t="str">
        <f>VLOOKUP(myynnit[[#This Row],[TuoteID]],ohjaus!$A$4:$B$20,2,FALSE)</f>
        <v>Pinnatuoli</v>
      </c>
    </row>
    <row r="729" spans="1:8" x14ac:dyDescent="0.35">
      <c r="A729" t="s">
        <v>39</v>
      </c>
      <c r="B729">
        <v>2012</v>
      </c>
      <c r="C729">
        <v>11</v>
      </c>
      <c r="D729">
        <v>23178</v>
      </c>
      <c r="E729">
        <v>93</v>
      </c>
      <c r="F729">
        <v>15975.8</v>
      </c>
      <c r="G729">
        <v>4378.32</v>
      </c>
      <c r="H729" t="str">
        <f>VLOOKUP(myynnit[[#This Row],[TuoteID]],ohjaus!$A$4:$B$20,2,FALSE)</f>
        <v>Pinnatuoli</v>
      </c>
    </row>
    <row r="730" spans="1:8" x14ac:dyDescent="0.35">
      <c r="A730" t="s">
        <v>39</v>
      </c>
      <c r="B730">
        <v>2012</v>
      </c>
      <c r="C730">
        <v>11</v>
      </c>
      <c r="D730">
        <v>23600</v>
      </c>
      <c r="E730">
        <v>548</v>
      </c>
      <c r="F730">
        <v>60534.95</v>
      </c>
      <c r="G730">
        <v>15718.25</v>
      </c>
      <c r="H730" t="str">
        <f>VLOOKUP(myynnit[[#This Row],[TuoteID]],ohjaus!$A$4:$B$20,2,FALSE)</f>
        <v>Pinnatuoli</v>
      </c>
    </row>
    <row r="731" spans="1:8" x14ac:dyDescent="0.35">
      <c r="A731" t="s">
        <v>39</v>
      </c>
      <c r="B731">
        <v>2012</v>
      </c>
      <c r="C731">
        <v>11</v>
      </c>
      <c r="D731">
        <v>23756</v>
      </c>
      <c r="E731">
        <v>132</v>
      </c>
      <c r="F731">
        <v>26670.720000000001</v>
      </c>
      <c r="G731">
        <v>15485.79</v>
      </c>
      <c r="H731" t="str">
        <f>VLOOKUP(myynnit[[#This Row],[TuoteID]],ohjaus!$A$4:$B$20,2,FALSE)</f>
        <v>Pianotuoli</v>
      </c>
    </row>
    <row r="732" spans="1:8" x14ac:dyDescent="0.35">
      <c r="A732" t="s">
        <v>39</v>
      </c>
      <c r="B732">
        <v>2012</v>
      </c>
      <c r="C732">
        <v>11</v>
      </c>
      <c r="D732">
        <v>24326</v>
      </c>
      <c r="E732">
        <v>80</v>
      </c>
      <c r="F732">
        <v>11361.43</v>
      </c>
      <c r="G732">
        <v>3220.99</v>
      </c>
      <c r="H732" t="str">
        <f>VLOOKUP(myynnit[[#This Row],[TuoteID]],ohjaus!$A$4:$B$20,2,FALSE)</f>
        <v>Lepotuoli</v>
      </c>
    </row>
    <row r="733" spans="1:8" x14ac:dyDescent="0.35">
      <c r="A733" t="s">
        <v>38</v>
      </c>
      <c r="B733">
        <v>2012</v>
      </c>
      <c r="C733">
        <v>11</v>
      </c>
      <c r="D733">
        <v>12184</v>
      </c>
      <c r="E733">
        <v>66</v>
      </c>
      <c r="F733">
        <v>8036.58</v>
      </c>
      <c r="G733">
        <v>4401.04</v>
      </c>
      <c r="H733" t="str">
        <f>VLOOKUP(myynnit[[#This Row],[TuoteID]],ohjaus!$A$4:$B$20,2,FALSE)</f>
        <v>Rahi</v>
      </c>
    </row>
    <row r="734" spans="1:8" x14ac:dyDescent="0.35">
      <c r="A734" t="s">
        <v>38</v>
      </c>
      <c r="B734">
        <v>2012</v>
      </c>
      <c r="C734">
        <v>11</v>
      </c>
      <c r="D734">
        <v>12622</v>
      </c>
      <c r="E734">
        <v>57</v>
      </c>
      <c r="F734">
        <v>13746.61</v>
      </c>
      <c r="G734">
        <v>5619.65</v>
      </c>
      <c r="H734" t="str">
        <f>VLOOKUP(myynnit[[#This Row],[TuoteID]],ohjaus!$A$4:$B$20,2,FALSE)</f>
        <v>Pianotuoli</v>
      </c>
    </row>
    <row r="735" spans="1:8" x14ac:dyDescent="0.35">
      <c r="A735" t="s">
        <v>38</v>
      </c>
      <c r="B735">
        <v>2012</v>
      </c>
      <c r="C735">
        <v>11</v>
      </c>
      <c r="D735">
        <v>13527</v>
      </c>
      <c r="E735">
        <v>345</v>
      </c>
      <c r="F735">
        <v>53458.5</v>
      </c>
      <c r="G735">
        <v>9880.57</v>
      </c>
      <c r="H735" t="str">
        <f>VLOOKUP(myynnit[[#This Row],[TuoteID]],ohjaus!$A$4:$B$20,2,FALSE)</f>
        <v>Pinnatuoli</v>
      </c>
    </row>
    <row r="736" spans="1:8" x14ac:dyDescent="0.35">
      <c r="A736" t="s">
        <v>38</v>
      </c>
      <c r="B736">
        <v>2012</v>
      </c>
      <c r="C736">
        <v>11</v>
      </c>
      <c r="D736">
        <v>13618</v>
      </c>
      <c r="E736">
        <v>12</v>
      </c>
      <c r="F736">
        <v>5425.54</v>
      </c>
      <c r="G736">
        <v>2232.48</v>
      </c>
      <c r="H736" t="str">
        <f>VLOOKUP(myynnit[[#This Row],[TuoteID]],ohjaus!$A$4:$B$20,2,FALSE)</f>
        <v>Pianotuoli</v>
      </c>
    </row>
    <row r="737" spans="1:8" x14ac:dyDescent="0.35">
      <c r="A737" t="s">
        <v>38</v>
      </c>
      <c r="B737">
        <v>2012</v>
      </c>
      <c r="C737">
        <v>11</v>
      </c>
      <c r="D737">
        <v>16024</v>
      </c>
      <c r="E737">
        <v>119</v>
      </c>
      <c r="F737">
        <v>47866.559999999998</v>
      </c>
      <c r="G737">
        <v>13545.56</v>
      </c>
      <c r="H737" t="str">
        <f>VLOOKUP(myynnit[[#This Row],[TuoteID]],ohjaus!$A$4:$B$20,2,FALSE)</f>
        <v>Työtuoli</v>
      </c>
    </row>
    <row r="738" spans="1:8" x14ac:dyDescent="0.35">
      <c r="A738" t="s">
        <v>38</v>
      </c>
      <c r="B738">
        <v>2012</v>
      </c>
      <c r="C738">
        <v>11</v>
      </c>
      <c r="D738">
        <v>16650</v>
      </c>
      <c r="E738">
        <v>59</v>
      </c>
      <c r="F738">
        <v>9908.19</v>
      </c>
      <c r="G738">
        <v>6236.03</v>
      </c>
      <c r="H738" t="str">
        <f>VLOOKUP(myynnit[[#This Row],[TuoteID]],ohjaus!$A$4:$B$20,2,FALSE)</f>
        <v>Rahi</v>
      </c>
    </row>
    <row r="739" spans="1:8" x14ac:dyDescent="0.35">
      <c r="A739" t="s">
        <v>38</v>
      </c>
      <c r="B739">
        <v>2012</v>
      </c>
      <c r="C739">
        <v>11</v>
      </c>
      <c r="D739">
        <v>17892</v>
      </c>
      <c r="E739">
        <v>93</v>
      </c>
      <c r="F739">
        <v>12237.32</v>
      </c>
      <c r="G739">
        <v>2679.26</v>
      </c>
      <c r="H739" t="str">
        <f>VLOOKUP(myynnit[[#This Row],[TuoteID]],ohjaus!$A$4:$B$20,2,FALSE)</f>
        <v>Lepotuoli</v>
      </c>
    </row>
    <row r="740" spans="1:8" x14ac:dyDescent="0.35">
      <c r="A740" t="s">
        <v>38</v>
      </c>
      <c r="B740">
        <v>2012</v>
      </c>
      <c r="C740">
        <v>11</v>
      </c>
      <c r="D740">
        <v>18342</v>
      </c>
      <c r="E740">
        <v>90</v>
      </c>
      <c r="F740">
        <v>68377.600000000006</v>
      </c>
      <c r="G740">
        <v>15291.64</v>
      </c>
      <c r="H740" t="str">
        <f>VLOOKUP(myynnit[[#This Row],[TuoteID]],ohjaus!$A$4:$B$20,2,FALSE)</f>
        <v>Työtuoli</v>
      </c>
    </row>
    <row r="741" spans="1:8" x14ac:dyDescent="0.35">
      <c r="A741" t="s">
        <v>38</v>
      </c>
      <c r="B741">
        <v>2012</v>
      </c>
      <c r="C741">
        <v>11</v>
      </c>
      <c r="D741">
        <v>20177</v>
      </c>
      <c r="E741">
        <v>43</v>
      </c>
      <c r="F741">
        <v>4147.2700000000004</v>
      </c>
      <c r="G741">
        <v>1601.68</v>
      </c>
      <c r="H741" t="str">
        <f>VLOOKUP(myynnit[[#This Row],[TuoteID]],ohjaus!$A$4:$B$20,2,FALSE)</f>
        <v>Säkkituoli</v>
      </c>
    </row>
    <row r="742" spans="1:8" x14ac:dyDescent="0.35">
      <c r="A742" t="s">
        <v>38</v>
      </c>
      <c r="B742">
        <v>2012</v>
      </c>
      <c r="C742">
        <v>11</v>
      </c>
      <c r="D742">
        <v>21179</v>
      </c>
      <c r="E742">
        <v>23</v>
      </c>
      <c r="F742">
        <v>2946.31</v>
      </c>
      <c r="G742">
        <v>1636.08</v>
      </c>
      <c r="H742" t="str">
        <f>VLOOKUP(myynnit[[#This Row],[TuoteID]],ohjaus!$A$4:$B$20,2,FALSE)</f>
        <v>Rahi</v>
      </c>
    </row>
    <row r="743" spans="1:8" x14ac:dyDescent="0.35">
      <c r="A743" t="s">
        <v>38</v>
      </c>
      <c r="B743">
        <v>2012</v>
      </c>
      <c r="C743">
        <v>11</v>
      </c>
      <c r="D743">
        <v>21260</v>
      </c>
      <c r="E743">
        <v>84</v>
      </c>
      <c r="F743">
        <v>16696.8</v>
      </c>
      <c r="G743">
        <v>4809.54</v>
      </c>
      <c r="H743" t="str">
        <f>VLOOKUP(myynnit[[#This Row],[TuoteID]],ohjaus!$A$4:$B$20,2,FALSE)</f>
        <v>Lepotuoli</v>
      </c>
    </row>
    <row r="744" spans="1:8" x14ac:dyDescent="0.35">
      <c r="A744" t="s">
        <v>38</v>
      </c>
      <c r="B744">
        <v>2012</v>
      </c>
      <c r="C744">
        <v>11</v>
      </c>
      <c r="D744">
        <v>22317</v>
      </c>
      <c r="E744">
        <v>40</v>
      </c>
      <c r="F744">
        <v>3275.18</v>
      </c>
      <c r="G744">
        <v>1261.08</v>
      </c>
      <c r="H744" t="str">
        <f>VLOOKUP(myynnit[[#This Row],[TuoteID]],ohjaus!$A$4:$B$20,2,FALSE)</f>
        <v>Säkkituoli</v>
      </c>
    </row>
    <row r="745" spans="1:8" x14ac:dyDescent="0.35">
      <c r="A745" t="s">
        <v>38</v>
      </c>
      <c r="B745">
        <v>2012</v>
      </c>
      <c r="C745">
        <v>11</v>
      </c>
      <c r="D745">
        <v>22940</v>
      </c>
      <c r="E745">
        <v>533</v>
      </c>
      <c r="F745">
        <v>69819.06</v>
      </c>
      <c r="G745">
        <v>16294.92</v>
      </c>
      <c r="H745" t="str">
        <f>VLOOKUP(myynnit[[#This Row],[TuoteID]],ohjaus!$A$4:$B$20,2,FALSE)</f>
        <v>Pinnatuoli</v>
      </c>
    </row>
    <row r="746" spans="1:8" x14ac:dyDescent="0.35">
      <c r="A746" t="s">
        <v>38</v>
      </c>
      <c r="B746">
        <v>2012</v>
      </c>
      <c r="C746">
        <v>11</v>
      </c>
      <c r="D746">
        <v>23178</v>
      </c>
      <c r="E746">
        <v>221</v>
      </c>
      <c r="F746">
        <v>40413.269999999997</v>
      </c>
      <c r="G746">
        <v>9479.1200000000008</v>
      </c>
      <c r="H746" t="str">
        <f>VLOOKUP(myynnit[[#This Row],[TuoteID]],ohjaus!$A$4:$B$20,2,FALSE)</f>
        <v>Pinnatuoli</v>
      </c>
    </row>
    <row r="747" spans="1:8" x14ac:dyDescent="0.35">
      <c r="A747" t="s">
        <v>38</v>
      </c>
      <c r="B747">
        <v>2012</v>
      </c>
      <c r="C747">
        <v>11</v>
      </c>
      <c r="D747">
        <v>23600</v>
      </c>
      <c r="E747">
        <v>1239</v>
      </c>
      <c r="F747">
        <v>149456.45000000001</v>
      </c>
      <c r="G747">
        <v>32915.879999999997</v>
      </c>
      <c r="H747" t="str">
        <f>VLOOKUP(myynnit[[#This Row],[TuoteID]],ohjaus!$A$4:$B$20,2,FALSE)</f>
        <v>Pinnatuoli</v>
      </c>
    </row>
    <row r="748" spans="1:8" x14ac:dyDescent="0.35">
      <c r="A748" t="s">
        <v>38</v>
      </c>
      <c r="B748">
        <v>2012</v>
      </c>
      <c r="C748">
        <v>11</v>
      </c>
      <c r="D748">
        <v>23756</v>
      </c>
      <c r="E748">
        <v>106</v>
      </c>
      <c r="F748">
        <v>15651.11</v>
      </c>
      <c r="G748">
        <v>8112.28</v>
      </c>
      <c r="H748" t="str">
        <f>VLOOKUP(myynnit[[#This Row],[TuoteID]],ohjaus!$A$4:$B$20,2,FALSE)</f>
        <v>Pianotuoli</v>
      </c>
    </row>
    <row r="749" spans="1:8" x14ac:dyDescent="0.35">
      <c r="A749" t="s">
        <v>38</v>
      </c>
      <c r="B749">
        <v>2012</v>
      </c>
      <c r="C749">
        <v>11</v>
      </c>
      <c r="D749">
        <v>24326</v>
      </c>
      <c r="E749">
        <v>113</v>
      </c>
      <c r="F749">
        <v>14244.7</v>
      </c>
      <c r="G749">
        <v>3813.34</v>
      </c>
      <c r="H749" t="str">
        <f>VLOOKUP(myynnit[[#This Row],[TuoteID]],ohjaus!$A$4:$B$20,2,FALSE)</f>
        <v>Lepotuoli</v>
      </c>
    </row>
    <row r="750" spans="1:8" x14ac:dyDescent="0.35">
      <c r="A750" t="s">
        <v>37</v>
      </c>
      <c r="B750">
        <v>2012</v>
      </c>
      <c r="C750">
        <v>12</v>
      </c>
      <c r="D750">
        <v>12184</v>
      </c>
      <c r="E750">
        <v>45</v>
      </c>
      <c r="F750">
        <v>6356.08</v>
      </c>
      <c r="G750">
        <v>2972.19</v>
      </c>
      <c r="H750" t="str">
        <f>VLOOKUP(myynnit[[#This Row],[TuoteID]],ohjaus!$A$4:$B$20,2,FALSE)</f>
        <v>Rahi</v>
      </c>
    </row>
    <row r="751" spans="1:8" x14ac:dyDescent="0.35">
      <c r="A751" t="s">
        <v>37</v>
      </c>
      <c r="B751">
        <v>2012</v>
      </c>
      <c r="C751">
        <v>12</v>
      </c>
      <c r="D751">
        <v>12622</v>
      </c>
      <c r="E751">
        <v>44</v>
      </c>
      <c r="F751">
        <v>10140.16</v>
      </c>
      <c r="G751">
        <v>4993.6899999999996</v>
      </c>
      <c r="H751" t="str">
        <f>VLOOKUP(myynnit[[#This Row],[TuoteID]],ohjaus!$A$4:$B$20,2,FALSE)</f>
        <v>Pianotuoli</v>
      </c>
    </row>
    <row r="752" spans="1:8" x14ac:dyDescent="0.35">
      <c r="A752" t="s">
        <v>37</v>
      </c>
      <c r="B752">
        <v>2012</v>
      </c>
      <c r="C752">
        <v>12</v>
      </c>
      <c r="D752">
        <v>13527</v>
      </c>
      <c r="E752">
        <v>590</v>
      </c>
      <c r="F752">
        <v>101744.96000000001</v>
      </c>
      <c r="G752">
        <v>20395.66</v>
      </c>
      <c r="H752" t="str">
        <f>VLOOKUP(myynnit[[#This Row],[TuoteID]],ohjaus!$A$4:$B$20,2,FALSE)</f>
        <v>Pinnatuoli</v>
      </c>
    </row>
    <row r="753" spans="1:8" x14ac:dyDescent="0.35">
      <c r="A753" t="s">
        <v>37</v>
      </c>
      <c r="B753">
        <v>2012</v>
      </c>
      <c r="C753">
        <v>12</v>
      </c>
      <c r="D753">
        <v>13618</v>
      </c>
      <c r="E753">
        <v>25</v>
      </c>
      <c r="F753">
        <v>10507.37</v>
      </c>
      <c r="G753">
        <v>4918.26</v>
      </c>
      <c r="H753" t="str">
        <f>VLOOKUP(myynnit[[#This Row],[TuoteID]],ohjaus!$A$4:$B$20,2,FALSE)</f>
        <v>Pianotuoli</v>
      </c>
    </row>
    <row r="754" spans="1:8" x14ac:dyDescent="0.35">
      <c r="A754" t="s">
        <v>37</v>
      </c>
      <c r="B754">
        <v>2012</v>
      </c>
      <c r="C754">
        <v>12</v>
      </c>
      <c r="D754">
        <v>16024</v>
      </c>
      <c r="E754">
        <v>162</v>
      </c>
      <c r="F754">
        <v>77150.039999999994</v>
      </c>
      <c r="G754">
        <v>21669.67</v>
      </c>
      <c r="H754" t="str">
        <f>VLOOKUP(myynnit[[#This Row],[TuoteID]],ohjaus!$A$4:$B$20,2,FALSE)</f>
        <v>Työtuoli</v>
      </c>
    </row>
    <row r="755" spans="1:8" x14ac:dyDescent="0.35">
      <c r="A755" t="s">
        <v>37</v>
      </c>
      <c r="B755">
        <v>2012</v>
      </c>
      <c r="C755">
        <v>12</v>
      </c>
      <c r="D755">
        <v>16650</v>
      </c>
      <c r="E755">
        <v>80</v>
      </c>
      <c r="F755">
        <v>13302.21</v>
      </c>
      <c r="G755">
        <v>6526.6</v>
      </c>
      <c r="H755" t="str">
        <f>VLOOKUP(myynnit[[#This Row],[TuoteID]],ohjaus!$A$4:$B$20,2,FALSE)</f>
        <v>Rahi</v>
      </c>
    </row>
    <row r="756" spans="1:8" x14ac:dyDescent="0.35">
      <c r="A756" t="s">
        <v>37</v>
      </c>
      <c r="B756">
        <v>2012</v>
      </c>
      <c r="C756">
        <v>12</v>
      </c>
      <c r="D756">
        <v>17892</v>
      </c>
      <c r="E756">
        <v>88</v>
      </c>
      <c r="F756">
        <v>13803.23</v>
      </c>
      <c r="G756">
        <v>4196.55</v>
      </c>
      <c r="H756" t="str">
        <f>VLOOKUP(myynnit[[#This Row],[TuoteID]],ohjaus!$A$4:$B$20,2,FALSE)</f>
        <v>Lepotuoli</v>
      </c>
    </row>
    <row r="757" spans="1:8" x14ac:dyDescent="0.35">
      <c r="A757" t="s">
        <v>37</v>
      </c>
      <c r="B757">
        <v>2012</v>
      </c>
      <c r="C757">
        <v>12</v>
      </c>
      <c r="D757">
        <v>18342</v>
      </c>
      <c r="E757">
        <v>151</v>
      </c>
      <c r="F757">
        <v>129436.9</v>
      </c>
      <c r="G757">
        <v>38553.730000000003</v>
      </c>
      <c r="H757" t="str">
        <f>VLOOKUP(myynnit[[#This Row],[TuoteID]],ohjaus!$A$4:$B$20,2,FALSE)</f>
        <v>Työtuoli</v>
      </c>
    </row>
    <row r="758" spans="1:8" x14ac:dyDescent="0.35">
      <c r="A758" t="s">
        <v>37</v>
      </c>
      <c r="B758">
        <v>2012</v>
      </c>
      <c r="C758">
        <v>12</v>
      </c>
      <c r="D758">
        <v>20177</v>
      </c>
      <c r="E758">
        <v>71</v>
      </c>
      <c r="F758">
        <v>6197.62</v>
      </c>
      <c r="G758">
        <v>2173.96</v>
      </c>
      <c r="H758" t="str">
        <f>VLOOKUP(myynnit[[#This Row],[TuoteID]],ohjaus!$A$4:$B$20,2,FALSE)</f>
        <v>Säkkituoli</v>
      </c>
    </row>
    <row r="759" spans="1:8" x14ac:dyDescent="0.35">
      <c r="A759" t="s">
        <v>37</v>
      </c>
      <c r="B759">
        <v>2012</v>
      </c>
      <c r="C759">
        <v>12</v>
      </c>
      <c r="D759">
        <v>21179</v>
      </c>
      <c r="E759">
        <v>33</v>
      </c>
      <c r="F759">
        <v>3812.34</v>
      </c>
      <c r="G759">
        <v>1838.13</v>
      </c>
      <c r="H759" t="str">
        <f>VLOOKUP(myynnit[[#This Row],[TuoteID]],ohjaus!$A$4:$B$20,2,FALSE)</f>
        <v>Rahi</v>
      </c>
    </row>
    <row r="760" spans="1:8" x14ac:dyDescent="0.35">
      <c r="A760" t="s">
        <v>37</v>
      </c>
      <c r="B760">
        <v>2012</v>
      </c>
      <c r="C760">
        <v>12</v>
      </c>
      <c r="D760">
        <v>21260</v>
      </c>
      <c r="E760">
        <v>91</v>
      </c>
      <c r="F760">
        <v>19282.150000000001</v>
      </c>
      <c r="G760">
        <v>5116.84</v>
      </c>
      <c r="H760" t="str">
        <f>VLOOKUP(myynnit[[#This Row],[TuoteID]],ohjaus!$A$4:$B$20,2,FALSE)</f>
        <v>Lepotuoli</v>
      </c>
    </row>
    <row r="761" spans="1:8" x14ac:dyDescent="0.35">
      <c r="A761" t="s">
        <v>37</v>
      </c>
      <c r="B761">
        <v>2012</v>
      </c>
      <c r="C761">
        <v>12</v>
      </c>
      <c r="D761">
        <v>22317</v>
      </c>
      <c r="E761">
        <v>116</v>
      </c>
      <c r="F761">
        <v>9625.9599999999991</v>
      </c>
      <c r="G761">
        <v>4112.57</v>
      </c>
      <c r="H761" t="str">
        <f>VLOOKUP(myynnit[[#This Row],[TuoteID]],ohjaus!$A$4:$B$20,2,FALSE)</f>
        <v>Säkkituoli</v>
      </c>
    </row>
    <row r="762" spans="1:8" x14ac:dyDescent="0.35">
      <c r="A762" t="s">
        <v>37</v>
      </c>
      <c r="B762">
        <v>2012</v>
      </c>
      <c r="C762">
        <v>12</v>
      </c>
      <c r="D762">
        <v>22940</v>
      </c>
      <c r="E762">
        <v>427</v>
      </c>
      <c r="F762">
        <v>54080</v>
      </c>
      <c r="G762">
        <v>9995.5</v>
      </c>
      <c r="H762" t="str">
        <f>VLOOKUP(myynnit[[#This Row],[TuoteID]],ohjaus!$A$4:$B$20,2,FALSE)</f>
        <v>Pinnatuoli</v>
      </c>
    </row>
    <row r="763" spans="1:8" x14ac:dyDescent="0.35">
      <c r="A763" t="s">
        <v>37</v>
      </c>
      <c r="B763">
        <v>2012</v>
      </c>
      <c r="C763">
        <v>12</v>
      </c>
      <c r="D763">
        <v>23178</v>
      </c>
      <c r="E763">
        <v>163</v>
      </c>
      <c r="F763">
        <v>30411.86</v>
      </c>
      <c r="G763">
        <v>5073.51</v>
      </c>
      <c r="H763" t="str">
        <f>VLOOKUP(myynnit[[#This Row],[TuoteID]],ohjaus!$A$4:$B$20,2,FALSE)</f>
        <v>Pinnatuoli</v>
      </c>
    </row>
    <row r="764" spans="1:8" x14ac:dyDescent="0.35">
      <c r="A764" t="s">
        <v>37</v>
      </c>
      <c r="B764">
        <v>2012</v>
      </c>
      <c r="C764">
        <v>12</v>
      </c>
      <c r="D764">
        <v>23600</v>
      </c>
      <c r="E764">
        <v>709</v>
      </c>
      <c r="F764">
        <v>81694.789999999994</v>
      </c>
      <c r="G764">
        <v>21062.9</v>
      </c>
      <c r="H764" t="str">
        <f>VLOOKUP(myynnit[[#This Row],[TuoteID]],ohjaus!$A$4:$B$20,2,FALSE)</f>
        <v>Pinnatuoli</v>
      </c>
    </row>
    <row r="765" spans="1:8" x14ac:dyDescent="0.35">
      <c r="A765" t="s">
        <v>37</v>
      </c>
      <c r="B765">
        <v>2012</v>
      </c>
      <c r="C765">
        <v>12</v>
      </c>
      <c r="D765">
        <v>23756</v>
      </c>
      <c r="E765">
        <v>111</v>
      </c>
      <c r="F765">
        <v>22153.84</v>
      </c>
      <c r="G765">
        <v>11651.75</v>
      </c>
      <c r="H765" t="str">
        <f>VLOOKUP(myynnit[[#This Row],[TuoteID]],ohjaus!$A$4:$B$20,2,FALSE)</f>
        <v>Pianotuoli</v>
      </c>
    </row>
    <row r="766" spans="1:8" x14ac:dyDescent="0.35">
      <c r="A766" t="s">
        <v>37</v>
      </c>
      <c r="B766">
        <v>2012</v>
      </c>
      <c r="C766">
        <v>12</v>
      </c>
      <c r="D766">
        <v>24326</v>
      </c>
      <c r="E766">
        <v>88</v>
      </c>
      <c r="F766">
        <v>11951.5</v>
      </c>
      <c r="G766">
        <v>3844.1</v>
      </c>
      <c r="H766" t="str">
        <f>VLOOKUP(myynnit[[#This Row],[TuoteID]],ohjaus!$A$4:$B$20,2,FALSE)</f>
        <v>Lepotuoli</v>
      </c>
    </row>
    <row r="767" spans="1:8" x14ac:dyDescent="0.35">
      <c r="A767" t="s">
        <v>40</v>
      </c>
      <c r="B767">
        <v>2012</v>
      </c>
      <c r="C767">
        <v>12</v>
      </c>
      <c r="D767">
        <v>12184</v>
      </c>
      <c r="E767">
        <v>15</v>
      </c>
      <c r="F767">
        <v>1740.67</v>
      </c>
      <c r="G767">
        <v>925.23</v>
      </c>
      <c r="H767" t="str">
        <f>VLOOKUP(myynnit[[#This Row],[TuoteID]],ohjaus!$A$4:$B$20,2,FALSE)</f>
        <v>Rahi</v>
      </c>
    </row>
    <row r="768" spans="1:8" x14ac:dyDescent="0.35">
      <c r="A768" t="s">
        <v>40</v>
      </c>
      <c r="B768">
        <v>2012</v>
      </c>
      <c r="C768">
        <v>12</v>
      </c>
      <c r="D768">
        <v>12622</v>
      </c>
      <c r="E768">
        <v>23</v>
      </c>
      <c r="F768">
        <v>5262.66</v>
      </c>
      <c r="G768">
        <v>2505.4699999999998</v>
      </c>
      <c r="H768" t="str">
        <f>VLOOKUP(myynnit[[#This Row],[TuoteID]],ohjaus!$A$4:$B$20,2,FALSE)</f>
        <v>Pianotuoli</v>
      </c>
    </row>
    <row r="769" spans="1:8" x14ac:dyDescent="0.35">
      <c r="A769" t="s">
        <v>40</v>
      </c>
      <c r="B769">
        <v>2012</v>
      </c>
      <c r="C769">
        <v>12</v>
      </c>
      <c r="D769">
        <v>13527</v>
      </c>
      <c r="E769">
        <v>212</v>
      </c>
      <c r="F769">
        <v>33193.64</v>
      </c>
      <c r="G769">
        <v>5254.4</v>
      </c>
      <c r="H769" t="str">
        <f>VLOOKUP(myynnit[[#This Row],[TuoteID]],ohjaus!$A$4:$B$20,2,FALSE)</f>
        <v>Pinnatuoli</v>
      </c>
    </row>
    <row r="770" spans="1:8" x14ac:dyDescent="0.35">
      <c r="A770" t="s">
        <v>40</v>
      </c>
      <c r="B770">
        <v>2012</v>
      </c>
      <c r="C770">
        <v>12</v>
      </c>
      <c r="D770">
        <v>13618</v>
      </c>
      <c r="E770">
        <v>6</v>
      </c>
      <c r="F770">
        <v>2268.02</v>
      </c>
      <c r="G770">
        <v>1055.23</v>
      </c>
      <c r="H770" t="str">
        <f>VLOOKUP(myynnit[[#This Row],[TuoteID]],ohjaus!$A$4:$B$20,2,FALSE)</f>
        <v>Pianotuoli</v>
      </c>
    </row>
    <row r="771" spans="1:8" x14ac:dyDescent="0.35">
      <c r="A771" t="s">
        <v>40</v>
      </c>
      <c r="B771">
        <v>2012</v>
      </c>
      <c r="C771">
        <v>12</v>
      </c>
      <c r="D771">
        <v>16024</v>
      </c>
      <c r="E771">
        <v>154</v>
      </c>
      <c r="F771">
        <v>63689.77</v>
      </c>
      <c r="G771">
        <v>21578.61</v>
      </c>
      <c r="H771" t="str">
        <f>VLOOKUP(myynnit[[#This Row],[TuoteID]],ohjaus!$A$4:$B$20,2,FALSE)</f>
        <v>Työtuoli</v>
      </c>
    </row>
    <row r="772" spans="1:8" x14ac:dyDescent="0.35">
      <c r="A772" t="s">
        <v>40</v>
      </c>
      <c r="B772">
        <v>2012</v>
      </c>
      <c r="C772">
        <v>12</v>
      </c>
      <c r="D772">
        <v>16650</v>
      </c>
      <c r="E772">
        <v>12</v>
      </c>
      <c r="F772">
        <v>1672.25</v>
      </c>
      <c r="G772">
        <v>1021.9</v>
      </c>
      <c r="H772" t="str">
        <f>VLOOKUP(myynnit[[#This Row],[TuoteID]],ohjaus!$A$4:$B$20,2,FALSE)</f>
        <v>Rahi</v>
      </c>
    </row>
    <row r="773" spans="1:8" x14ac:dyDescent="0.35">
      <c r="A773" t="s">
        <v>40</v>
      </c>
      <c r="B773">
        <v>2012</v>
      </c>
      <c r="C773">
        <v>12</v>
      </c>
      <c r="D773">
        <v>17892</v>
      </c>
      <c r="E773">
        <v>67</v>
      </c>
      <c r="F773">
        <v>9926.57</v>
      </c>
      <c r="G773">
        <v>2078.86</v>
      </c>
      <c r="H773" t="str">
        <f>VLOOKUP(myynnit[[#This Row],[TuoteID]],ohjaus!$A$4:$B$20,2,FALSE)</f>
        <v>Lepotuoli</v>
      </c>
    </row>
    <row r="774" spans="1:8" x14ac:dyDescent="0.35">
      <c r="A774" t="s">
        <v>40</v>
      </c>
      <c r="B774">
        <v>2012</v>
      </c>
      <c r="C774">
        <v>12</v>
      </c>
      <c r="D774">
        <v>18342</v>
      </c>
      <c r="E774">
        <v>25</v>
      </c>
      <c r="F774">
        <v>21819.41</v>
      </c>
      <c r="G774">
        <v>6421.41</v>
      </c>
      <c r="H774" t="str">
        <f>VLOOKUP(myynnit[[#This Row],[TuoteID]],ohjaus!$A$4:$B$20,2,FALSE)</f>
        <v>Työtuoli</v>
      </c>
    </row>
    <row r="775" spans="1:8" x14ac:dyDescent="0.35">
      <c r="A775" t="s">
        <v>40</v>
      </c>
      <c r="B775">
        <v>2012</v>
      </c>
      <c r="C775">
        <v>12</v>
      </c>
      <c r="D775">
        <v>20177</v>
      </c>
      <c r="E775">
        <v>27</v>
      </c>
      <c r="F775">
        <v>2338.83</v>
      </c>
      <c r="G775">
        <v>810.22</v>
      </c>
      <c r="H775" t="str">
        <f>VLOOKUP(myynnit[[#This Row],[TuoteID]],ohjaus!$A$4:$B$20,2,FALSE)</f>
        <v>Säkkituoli</v>
      </c>
    </row>
    <row r="776" spans="1:8" x14ac:dyDescent="0.35">
      <c r="A776" t="s">
        <v>40</v>
      </c>
      <c r="B776">
        <v>2012</v>
      </c>
      <c r="C776">
        <v>12</v>
      </c>
      <c r="D776">
        <v>21179</v>
      </c>
      <c r="E776">
        <v>31</v>
      </c>
      <c r="F776">
        <v>3230.64</v>
      </c>
      <c r="G776">
        <v>1577.39</v>
      </c>
      <c r="H776" t="str">
        <f>VLOOKUP(myynnit[[#This Row],[TuoteID]],ohjaus!$A$4:$B$20,2,FALSE)</f>
        <v>Rahi</v>
      </c>
    </row>
    <row r="777" spans="1:8" x14ac:dyDescent="0.35">
      <c r="A777" t="s">
        <v>40</v>
      </c>
      <c r="B777">
        <v>2012</v>
      </c>
      <c r="C777">
        <v>12</v>
      </c>
      <c r="D777">
        <v>21260</v>
      </c>
      <c r="E777">
        <v>27</v>
      </c>
      <c r="F777">
        <v>5076.3</v>
      </c>
      <c r="G777">
        <v>1186.58</v>
      </c>
      <c r="H777" t="str">
        <f>VLOOKUP(myynnit[[#This Row],[TuoteID]],ohjaus!$A$4:$B$20,2,FALSE)</f>
        <v>Lepotuoli</v>
      </c>
    </row>
    <row r="778" spans="1:8" x14ac:dyDescent="0.35">
      <c r="A778" t="s">
        <v>40</v>
      </c>
      <c r="B778">
        <v>2012</v>
      </c>
      <c r="C778">
        <v>12</v>
      </c>
      <c r="D778">
        <v>22317</v>
      </c>
      <c r="E778">
        <v>17</v>
      </c>
      <c r="F778">
        <v>1369.51</v>
      </c>
      <c r="G778">
        <v>681.38</v>
      </c>
      <c r="H778" t="str">
        <f>VLOOKUP(myynnit[[#This Row],[TuoteID]],ohjaus!$A$4:$B$20,2,FALSE)</f>
        <v>Säkkituoli</v>
      </c>
    </row>
    <row r="779" spans="1:8" x14ac:dyDescent="0.35">
      <c r="A779" t="s">
        <v>40</v>
      </c>
      <c r="B779">
        <v>2012</v>
      </c>
      <c r="C779">
        <v>12</v>
      </c>
      <c r="D779">
        <v>22940</v>
      </c>
      <c r="E779">
        <v>198</v>
      </c>
      <c r="F779">
        <v>23211.86</v>
      </c>
      <c r="G779">
        <v>5509.45</v>
      </c>
      <c r="H779" t="str">
        <f>VLOOKUP(myynnit[[#This Row],[TuoteID]],ohjaus!$A$4:$B$20,2,FALSE)</f>
        <v>Pinnatuoli</v>
      </c>
    </row>
    <row r="780" spans="1:8" x14ac:dyDescent="0.35">
      <c r="A780" t="s">
        <v>40</v>
      </c>
      <c r="B780">
        <v>2012</v>
      </c>
      <c r="C780">
        <v>12</v>
      </c>
      <c r="D780">
        <v>23178</v>
      </c>
      <c r="E780">
        <v>238</v>
      </c>
      <c r="F780">
        <v>43593.03</v>
      </c>
      <c r="G780">
        <v>12838.87</v>
      </c>
      <c r="H780" t="str">
        <f>VLOOKUP(myynnit[[#This Row],[TuoteID]],ohjaus!$A$4:$B$20,2,FALSE)</f>
        <v>Pinnatuoli</v>
      </c>
    </row>
    <row r="781" spans="1:8" x14ac:dyDescent="0.35">
      <c r="A781" t="s">
        <v>40</v>
      </c>
      <c r="B781">
        <v>2012</v>
      </c>
      <c r="C781">
        <v>12</v>
      </c>
      <c r="D781">
        <v>23600</v>
      </c>
      <c r="E781">
        <v>355</v>
      </c>
      <c r="F781">
        <v>39675.11</v>
      </c>
      <c r="G781">
        <v>12201.71</v>
      </c>
      <c r="H781" t="str">
        <f>VLOOKUP(myynnit[[#This Row],[TuoteID]],ohjaus!$A$4:$B$20,2,FALSE)</f>
        <v>Pinnatuoli</v>
      </c>
    </row>
    <row r="782" spans="1:8" x14ac:dyDescent="0.35">
      <c r="A782" t="s">
        <v>40</v>
      </c>
      <c r="B782">
        <v>2012</v>
      </c>
      <c r="C782">
        <v>12</v>
      </c>
      <c r="D782">
        <v>23756</v>
      </c>
      <c r="E782">
        <v>97</v>
      </c>
      <c r="F782">
        <v>19576.02</v>
      </c>
      <c r="G782">
        <v>7923.94</v>
      </c>
      <c r="H782" t="str">
        <f>VLOOKUP(myynnit[[#This Row],[TuoteID]],ohjaus!$A$4:$B$20,2,FALSE)</f>
        <v>Pianotuoli</v>
      </c>
    </row>
    <row r="783" spans="1:8" x14ac:dyDescent="0.35">
      <c r="A783" t="s">
        <v>40</v>
      </c>
      <c r="B783">
        <v>2012</v>
      </c>
      <c r="C783">
        <v>12</v>
      </c>
      <c r="D783">
        <v>24326</v>
      </c>
      <c r="E783">
        <v>16</v>
      </c>
      <c r="F783">
        <v>2005.54</v>
      </c>
      <c r="G783">
        <v>669.19</v>
      </c>
      <c r="H783" t="str">
        <f>VLOOKUP(myynnit[[#This Row],[TuoteID]],ohjaus!$A$4:$B$20,2,FALSE)</f>
        <v>Lepotuoli</v>
      </c>
    </row>
    <row r="784" spans="1:8" x14ac:dyDescent="0.35">
      <c r="A784" t="s">
        <v>39</v>
      </c>
      <c r="B784">
        <v>2012</v>
      </c>
      <c r="C784">
        <v>12</v>
      </c>
      <c r="D784">
        <v>12184</v>
      </c>
      <c r="E784">
        <v>88</v>
      </c>
      <c r="F784">
        <v>14052.37</v>
      </c>
      <c r="G784">
        <v>10783.23</v>
      </c>
      <c r="H784" t="str">
        <f>VLOOKUP(myynnit[[#This Row],[TuoteID]],ohjaus!$A$4:$B$20,2,FALSE)</f>
        <v>Rahi</v>
      </c>
    </row>
    <row r="785" spans="1:8" x14ac:dyDescent="0.35">
      <c r="A785" t="s">
        <v>39</v>
      </c>
      <c r="B785">
        <v>2012</v>
      </c>
      <c r="C785">
        <v>12</v>
      </c>
      <c r="D785">
        <v>12622</v>
      </c>
      <c r="E785">
        <v>41</v>
      </c>
      <c r="F785">
        <v>9385.09</v>
      </c>
      <c r="G785">
        <v>5007.8100000000004</v>
      </c>
      <c r="H785" t="str">
        <f>VLOOKUP(myynnit[[#This Row],[TuoteID]],ohjaus!$A$4:$B$20,2,FALSE)</f>
        <v>Pianotuoli</v>
      </c>
    </row>
    <row r="786" spans="1:8" x14ac:dyDescent="0.35">
      <c r="A786" t="s">
        <v>39</v>
      </c>
      <c r="B786">
        <v>2012</v>
      </c>
      <c r="C786">
        <v>12</v>
      </c>
      <c r="D786">
        <v>13527</v>
      </c>
      <c r="E786">
        <v>486</v>
      </c>
      <c r="F786">
        <v>73906.19</v>
      </c>
      <c r="G786">
        <v>19368.95</v>
      </c>
      <c r="H786" t="str">
        <f>VLOOKUP(myynnit[[#This Row],[TuoteID]],ohjaus!$A$4:$B$20,2,FALSE)</f>
        <v>Pinnatuoli</v>
      </c>
    </row>
    <row r="787" spans="1:8" x14ac:dyDescent="0.35">
      <c r="A787" t="s">
        <v>39</v>
      </c>
      <c r="B787">
        <v>2012</v>
      </c>
      <c r="C787">
        <v>12</v>
      </c>
      <c r="D787">
        <v>13618</v>
      </c>
      <c r="E787">
        <v>23</v>
      </c>
      <c r="F787">
        <v>10801.97</v>
      </c>
      <c r="G787">
        <v>5914.32</v>
      </c>
      <c r="H787" t="str">
        <f>VLOOKUP(myynnit[[#This Row],[TuoteID]],ohjaus!$A$4:$B$20,2,FALSE)</f>
        <v>Pianotuoli</v>
      </c>
    </row>
    <row r="788" spans="1:8" x14ac:dyDescent="0.35">
      <c r="A788" t="s">
        <v>39</v>
      </c>
      <c r="B788">
        <v>2012</v>
      </c>
      <c r="C788">
        <v>12</v>
      </c>
      <c r="D788">
        <v>16024</v>
      </c>
      <c r="E788">
        <v>167</v>
      </c>
      <c r="F788">
        <v>65646.460000000006</v>
      </c>
      <c r="G788">
        <v>20972.46</v>
      </c>
      <c r="H788" t="str">
        <f>VLOOKUP(myynnit[[#This Row],[TuoteID]],ohjaus!$A$4:$B$20,2,FALSE)</f>
        <v>Työtuoli</v>
      </c>
    </row>
    <row r="789" spans="1:8" x14ac:dyDescent="0.35">
      <c r="A789" t="s">
        <v>39</v>
      </c>
      <c r="B789">
        <v>2012</v>
      </c>
      <c r="C789">
        <v>12</v>
      </c>
      <c r="D789">
        <v>16650</v>
      </c>
      <c r="E789">
        <v>32</v>
      </c>
      <c r="F789">
        <v>6371.2</v>
      </c>
      <c r="G789">
        <v>4259.29</v>
      </c>
      <c r="H789" t="str">
        <f>VLOOKUP(myynnit[[#This Row],[TuoteID]],ohjaus!$A$4:$B$20,2,FALSE)</f>
        <v>Rahi</v>
      </c>
    </row>
    <row r="790" spans="1:8" x14ac:dyDescent="0.35">
      <c r="A790" t="s">
        <v>39</v>
      </c>
      <c r="B790">
        <v>2012</v>
      </c>
      <c r="C790">
        <v>12</v>
      </c>
      <c r="D790">
        <v>17892</v>
      </c>
      <c r="E790">
        <v>55</v>
      </c>
      <c r="F790">
        <v>7015.29</v>
      </c>
      <c r="G790">
        <v>1953.73</v>
      </c>
      <c r="H790" t="str">
        <f>VLOOKUP(myynnit[[#This Row],[TuoteID]],ohjaus!$A$4:$B$20,2,FALSE)</f>
        <v>Lepotuoli</v>
      </c>
    </row>
    <row r="791" spans="1:8" x14ac:dyDescent="0.35">
      <c r="A791" t="s">
        <v>39</v>
      </c>
      <c r="B791">
        <v>2012</v>
      </c>
      <c r="C791">
        <v>12</v>
      </c>
      <c r="D791">
        <v>18342</v>
      </c>
      <c r="E791">
        <v>105</v>
      </c>
      <c r="F791">
        <v>91211.8</v>
      </c>
      <c r="G791">
        <v>24480.02</v>
      </c>
      <c r="H791" t="str">
        <f>VLOOKUP(myynnit[[#This Row],[TuoteID]],ohjaus!$A$4:$B$20,2,FALSE)</f>
        <v>Työtuoli</v>
      </c>
    </row>
    <row r="792" spans="1:8" x14ac:dyDescent="0.35">
      <c r="A792" t="s">
        <v>39</v>
      </c>
      <c r="B792">
        <v>2012</v>
      </c>
      <c r="C792">
        <v>12</v>
      </c>
      <c r="D792">
        <v>20177</v>
      </c>
      <c r="E792">
        <v>49</v>
      </c>
      <c r="F792">
        <v>4710.09</v>
      </c>
      <c r="G792">
        <v>2471</v>
      </c>
      <c r="H792" t="str">
        <f>VLOOKUP(myynnit[[#This Row],[TuoteID]],ohjaus!$A$4:$B$20,2,FALSE)</f>
        <v>Säkkituoli</v>
      </c>
    </row>
    <row r="793" spans="1:8" x14ac:dyDescent="0.35">
      <c r="A793" t="s">
        <v>39</v>
      </c>
      <c r="B793">
        <v>2012</v>
      </c>
      <c r="C793">
        <v>12</v>
      </c>
      <c r="D793">
        <v>21179</v>
      </c>
      <c r="E793">
        <v>61</v>
      </c>
      <c r="F793">
        <v>7491.94</v>
      </c>
      <c r="G793">
        <v>5411.45</v>
      </c>
      <c r="H793" t="str">
        <f>VLOOKUP(myynnit[[#This Row],[TuoteID]],ohjaus!$A$4:$B$20,2,FALSE)</f>
        <v>Rahi</v>
      </c>
    </row>
    <row r="794" spans="1:8" x14ac:dyDescent="0.35">
      <c r="A794" t="s">
        <v>39</v>
      </c>
      <c r="B794">
        <v>2012</v>
      </c>
      <c r="C794">
        <v>12</v>
      </c>
      <c r="D794">
        <v>21260</v>
      </c>
      <c r="E794">
        <v>35</v>
      </c>
      <c r="F794">
        <v>7595.1</v>
      </c>
      <c r="G794">
        <v>1971.96</v>
      </c>
      <c r="H794" t="str">
        <f>VLOOKUP(myynnit[[#This Row],[TuoteID]],ohjaus!$A$4:$B$20,2,FALSE)</f>
        <v>Lepotuoli</v>
      </c>
    </row>
    <row r="795" spans="1:8" x14ac:dyDescent="0.35">
      <c r="A795" t="s">
        <v>39</v>
      </c>
      <c r="B795">
        <v>2012</v>
      </c>
      <c r="C795">
        <v>12</v>
      </c>
      <c r="D795">
        <v>22317</v>
      </c>
      <c r="E795">
        <v>52</v>
      </c>
      <c r="F795">
        <v>4043.58</v>
      </c>
      <c r="G795">
        <v>1629.71</v>
      </c>
      <c r="H795" t="str">
        <f>VLOOKUP(myynnit[[#This Row],[TuoteID]],ohjaus!$A$4:$B$20,2,FALSE)</f>
        <v>Säkkituoli</v>
      </c>
    </row>
    <row r="796" spans="1:8" x14ac:dyDescent="0.35">
      <c r="A796" t="s">
        <v>39</v>
      </c>
      <c r="B796">
        <v>2012</v>
      </c>
      <c r="C796">
        <v>12</v>
      </c>
      <c r="D796">
        <v>22940</v>
      </c>
      <c r="E796">
        <v>426</v>
      </c>
      <c r="F796">
        <v>49717.16</v>
      </c>
      <c r="G796">
        <v>11293.66</v>
      </c>
      <c r="H796" t="str">
        <f>VLOOKUP(myynnit[[#This Row],[TuoteID]],ohjaus!$A$4:$B$20,2,FALSE)</f>
        <v>Pinnatuoli</v>
      </c>
    </row>
    <row r="797" spans="1:8" x14ac:dyDescent="0.35">
      <c r="A797" t="s">
        <v>39</v>
      </c>
      <c r="B797">
        <v>2012</v>
      </c>
      <c r="C797">
        <v>12</v>
      </c>
      <c r="D797">
        <v>23178</v>
      </c>
      <c r="E797">
        <v>192</v>
      </c>
      <c r="F797">
        <v>35011.64</v>
      </c>
      <c r="G797">
        <v>7429.98</v>
      </c>
      <c r="H797" t="str">
        <f>VLOOKUP(myynnit[[#This Row],[TuoteID]],ohjaus!$A$4:$B$20,2,FALSE)</f>
        <v>Pinnatuoli</v>
      </c>
    </row>
    <row r="798" spans="1:8" x14ac:dyDescent="0.35">
      <c r="A798" t="s">
        <v>39</v>
      </c>
      <c r="B798">
        <v>2012</v>
      </c>
      <c r="C798">
        <v>12</v>
      </c>
      <c r="D798">
        <v>23600</v>
      </c>
      <c r="E798">
        <v>975</v>
      </c>
      <c r="F798">
        <v>103660.34</v>
      </c>
      <c r="G798">
        <v>25267.360000000001</v>
      </c>
      <c r="H798" t="str">
        <f>VLOOKUP(myynnit[[#This Row],[TuoteID]],ohjaus!$A$4:$B$20,2,FALSE)</f>
        <v>Pinnatuoli</v>
      </c>
    </row>
    <row r="799" spans="1:8" x14ac:dyDescent="0.35">
      <c r="A799" t="s">
        <v>39</v>
      </c>
      <c r="B799">
        <v>2012</v>
      </c>
      <c r="C799">
        <v>12</v>
      </c>
      <c r="D799">
        <v>23756</v>
      </c>
      <c r="E799">
        <v>114</v>
      </c>
      <c r="F799">
        <v>24888.49</v>
      </c>
      <c r="G799">
        <v>13698.56</v>
      </c>
      <c r="H799" t="str">
        <f>VLOOKUP(myynnit[[#This Row],[TuoteID]],ohjaus!$A$4:$B$20,2,FALSE)</f>
        <v>Pianotuoli</v>
      </c>
    </row>
    <row r="800" spans="1:8" x14ac:dyDescent="0.35">
      <c r="A800" t="s">
        <v>39</v>
      </c>
      <c r="B800">
        <v>2012</v>
      </c>
      <c r="C800">
        <v>12</v>
      </c>
      <c r="D800">
        <v>24326</v>
      </c>
      <c r="E800">
        <v>120</v>
      </c>
      <c r="F800">
        <v>17422.96</v>
      </c>
      <c r="G800">
        <v>5322.84</v>
      </c>
      <c r="H800" t="str">
        <f>VLOOKUP(myynnit[[#This Row],[TuoteID]],ohjaus!$A$4:$B$20,2,FALSE)</f>
        <v>Lepotuoli</v>
      </c>
    </row>
    <row r="801" spans="1:8" x14ac:dyDescent="0.35">
      <c r="A801" t="s">
        <v>38</v>
      </c>
      <c r="B801">
        <v>2012</v>
      </c>
      <c r="C801">
        <v>12</v>
      </c>
      <c r="D801">
        <v>12184</v>
      </c>
      <c r="E801">
        <v>56</v>
      </c>
      <c r="F801">
        <v>8326.16</v>
      </c>
      <c r="G801">
        <v>5440.48</v>
      </c>
      <c r="H801" t="str">
        <f>VLOOKUP(myynnit[[#This Row],[TuoteID]],ohjaus!$A$4:$B$20,2,FALSE)</f>
        <v>Rahi</v>
      </c>
    </row>
    <row r="802" spans="1:8" x14ac:dyDescent="0.35">
      <c r="A802" t="s">
        <v>38</v>
      </c>
      <c r="B802">
        <v>2012</v>
      </c>
      <c r="C802">
        <v>12</v>
      </c>
      <c r="D802">
        <v>12622</v>
      </c>
      <c r="E802">
        <v>51</v>
      </c>
      <c r="F802">
        <v>13913.21</v>
      </c>
      <c r="G802">
        <v>6787.53</v>
      </c>
      <c r="H802" t="str">
        <f>VLOOKUP(myynnit[[#This Row],[TuoteID]],ohjaus!$A$4:$B$20,2,FALSE)</f>
        <v>Pianotuoli</v>
      </c>
    </row>
    <row r="803" spans="1:8" x14ac:dyDescent="0.35">
      <c r="A803" t="s">
        <v>38</v>
      </c>
      <c r="B803">
        <v>2012</v>
      </c>
      <c r="C803">
        <v>12</v>
      </c>
      <c r="D803">
        <v>13527</v>
      </c>
      <c r="E803">
        <v>404</v>
      </c>
      <c r="F803">
        <v>66438.19</v>
      </c>
      <c r="G803">
        <v>13251.09</v>
      </c>
      <c r="H803" t="str">
        <f>VLOOKUP(myynnit[[#This Row],[TuoteID]],ohjaus!$A$4:$B$20,2,FALSE)</f>
        <v>Pinnatuoli</v>
      </c>
    </row>
    <row r="804" spans="1:8" x14ac:dyDescent="0.35">
      <c r="A804" t="s">
        <v>38</v>
      </c>
      <c r="B804">
        <v>2012</v>
      </c>
      <c r="C804">
        <v>12</v>
      </c>
      <c r="D804">
        <v>13618</v>
      </c>
      <c r="E804">
        <v>8</v>
      </c>
      <c r="F804">
        <v>3428.27</v>
      </c>
      <c r="G804">
        <v>1438.96</v>
      </c>
      <c r="H804" t="str">
        <f>VLOOKUP(myynnit[[#This Row],[TuoteID]],ohjaus!$A$4:$B$20,2,FALSE)</f>
        <v>Pianotuoli</v>
      </c>
    </row>
    <row r="805" spans="1:8" x14ac:dyDescent="0.35">
      <c r="A805" t="s">
        <v>38</v>
      </c>
      <c r="B805">
        <v>2012</v>
      </c>
      <c r="C805">
        <v>12</v>
      </c>
      <c r="D805">
        <v>16024</v>
      </c>
      <c r="E805">
        <v>145</v>
      </c>
      <c r="F805">
        <v>61919.97</v>
      </c>
      <c r="G805">
        <v>14605.28</v>
      </c>
      <c r="H805" t="str">
        <f>VLOOKUP(myynnit[[#This Row],[TuoteID]],ohjaus!$A$4:$B$20,2,FALSE)</f>
        <v>Työtuoli</v>
      </c>
    </row>
    <row r="806" spans="1:8" x14ac:dyDescent="0.35">
      <c r="A806" t="s">
        <v>38</v>
      </c>
      <c r="B806">
        <v>2012</v>
      </c>
      <c r="C806">
        <v>12</v>
      </c>
      <c r="D806">
        <v>16650</v>
      </c>
      <c r="E806">
        <v>37</v>
      </c>
      <c r="F806">
        <v>6585.99</v>
      </c>
      <c r="G806">
        <v>3496.97</v>
      </c>
      <c r="H806" t="str">
        <f>VLOOKUP(myynnit[[#This Row],[TuoteID]],ohjaus!$A$4:$B$20,2,FALSE)</f>
        <v>Rahi</v>
      </c>
    </row>
    <row r="807" spans="1:8" x14ac:dyDescent="0.35">
      <c r="A807" t="s">
        <v>38</v>
      </c>
      <c r="B807">
        <v>2012</v>
      </c>
      <c r="C807">
        <v>12</v>
      </c>
      <c r="D807">
        <v>17892</v>
      </c>
      <c r="E807">
        <v>90</v>
      </c>
      <c r="F807">
        <v>12698.66</v>
      </c>
      <c r="G807">
        <v>3572.96</v>
      </c>
      <c r="H807" t="str">
        <f>VLOOKUP(myynnit[[#This Row],[TuoteID]],ohjaus!$A$4:$B$20,2,FALSE)</f>
        <v>Lepotuoli</v>
      </c>
    </row>
    <row r="808" spans="1:8" x14ac:dyDescent="0.35">
      <c r="A808" t="s">
        <v>38</v>
      </c>
      <c r="B808">
        <v>2012</v>
      </c>
      <c r="C808">
        <v>12</v>
      </c>
      <c r="D808">
        <v>18342</v>
      </c>
      <c r="E808">
        <v>212</v>
      </c>
      <c r="F808">
        <v>158344.01999999999</v>
      </c>
      <c r="G808">
        <v>43306.03</v>
      </c>
      <c r="H808" t="str">
        <f>VLOOKUP(myynnit[[#This Row],[TuoteID]],ohjaus!$A$4:$B$20,2,FALSE)</f>
        <v>Työtuoli</v>
      </c>
    </row>
    <row r="809" spans="1:8" x14ac:dyDescent="0.35">
      <c r="A809" t="s">
        <v>38</v>
      </c>
      <c r="B809">
        <v>2012</v>
      </c>
      <c r="C809">
        <v>12</v>
      </c>
      <c r="D809">
        <v>20177</v>
      </c>
      <c r="E809">
        <v>104</v>
      </c>
      <c r="F809">
        <v>10668.52</v>
      </c>
      <c r="G809">
        <v>4480.66</v>
      </c>
      <c r="H809" t="str">
        <f>VLOOKUP(myynnit[[#This Row],[TuoteID]],ohjaus!$A$4:$B$20,2,FALSE)</f>
        <v>Säkkituoli</v>
      </c>
    </row>
    <row r="810" spans="1:8" x14ac:dyDescent="0.35">
      <c r="A810" t="s">
        <v>38</v>
      </c>
      <c r="B810">
        <v>2012</v>
      </c>
      <c r="C810">
        <v>12</v>
      </c>
      <c r="D810">
        <v>21179</v>
      </c>
      <c r="E810">
        <v>61</v>
      </c>
      <c r="F810">
        <v>8188.61</v>
      </c>
      <c r="G810">
        <v>4899.59</v>
      </c>
      <c r="H810" t="str">
        <f>VLOOKUP(myynnit[[#This Row],[TuoteID]],ohjaus!$A$4:$B$20,2,FALSE)</f>
        <v>Rahi</v>
      </c>
    </row>
    <row r="811" spans="1:8" x14ac:dyDescent="0.35">
      <c r="A811" t="s">
        <v>38</v>
      </c>
      <c r="B811">
        <v>2012</v>
      </c>
      <c r="C811">
        <v>12</v>
      </c>
      <c r="D811">
        <v>21260</v>
      </c>
      <c r="E811">
        <v>80</v>
      </c>
      <c r="F811">
        <v>15180.47</v>
      </c>
      <c r="G811">
        <v>3827.64</v>
      </c>
      <c r="H811" t="str">
        <f>VLOOKUP(myynnit[[#This Row],[TuoteID]],ohjaus!$A$4:$B$20,2,FALSE)</f>
        <v>Lepotuoli</v>
      </c>
    </row>
    <row r="812" spans="1:8" x14ac:dyDescent="0.35">
      <c r="A812" t="s">
        <v>38</v>
      </c>
      <c r="B812">
        <v>2012</v>
      </c>
      <c r="C812">
        <v>12</v>
      </c>
      <c r="D812">
        <v>22317</v>
      </c>
      <c r="E812">
        <v>69</v>
      </c>
      <c r="F812">
        <v>6765</v>
      </c>
      <c r="G812">
        <v>2609.12</v>
      </c>
      <c r="H812" t="str">
        <f>VLOOKUP(myynnit[[#This Row],[TuoteID]],ohjaus!$A$4:$B$20,2,FALSE)</f>
        <v>Säkkituoli</v>
      </c>
    </row>
    <row r="813" spans="1:8" x14ac:dyDescent="0.35">
      <c r="A813" t="s">
        <v>38</v>
      </c>
      <c r="B813">
        <v>2012</v>
      </c>
      <c r="C813">
        <v>12</v>
      </c>
      <c r="D813">
        <v>22940</v>
      </c>
      <c r="E813">
        <v>269</v>
      </c>
      <c r="F813">
        <v>32485.08</v>
      </c>
      <c r="G813">
        <v>7519.36</v>
      </c>
      <c r="H813" t="str">
        <f>VLOOKUP(myynnit[[#This Row],[TuoteID]],ohjaus!$A$4:$B$20,2,FALSE)</f>
        <v>Pinnatuoli</v>
      </c>
    </row>
    <row r="814" spans="1:8" x14ac:dyDescent="0.35">
      <c r="A814" t="s">
        <v>38</v>
      </c>
      <c r="B814">
        <v>2012</v>
      </c>
      <c r="C814">
        <v>12</v>
      </c>
      <c r="D814">
        <v>23178</v>
      </c>
      <c r="E814">
        <v>129</v>
      </c>
      <c r="F814">
        <v>21805.97</v>
      </c>
      <c r="G814">
        <v>4828.4399999999996</v>
      </c>
      <c r="H814" t="str">
        <f>VLOOKUP(myynnit[[#This Row],[TuoteID]],ohjaus!$A$4:$B$20,2,FALSE)</f>
        <v>Pinnatuoli</v>
      </c>
    </row>
    <row r="815" spans="1:8" x14ac:dyDescent="0.35">
      <c r="A815" t="s">
        <v>38</v>
      </c>
      <c r="B815">
        <v>2012</v>
      </c>
      <c r="C815">
        <v>12</v>
      </c>
      <c r="D815">
        <v>23600</v>
      </c>
      <c r="E815">
        <v>1035</v>
      </c>
      <c r="F815">
        <v>122940.75</v>
      </c>
      <c r="G815">
        <v>27926.080000000002</v>
      </c>
      <c r="H815" t="str">
        <f>VLOOKUP(myynnit[[#This Row],[TuoteID]],ohjaus!$A$4:$B$20,2,FALSE)</f>
        <v>Pinnatuoli</v>
      </c>
    </row>
    <row r="816" spans="1:8" x14ac:dyDescent="0.35">
      <c r="A816" t="s">
        <v>38</v>
      </c>
      <c r="B816">
        <v>2012</v>
      </c>
      <c r="C816">
        <v>12</v>
      </c>
      <c r="D816">
        <v>23756</v>
      </c>
      <c r="E816">
        <v>126</v>
      </c>
      <c r="F816">
        <v>19298.3</v>
      </c>
      <c r="G816">
        <v>9838.93</v>
      </c>
      <c r="H816" t="str">
        <f>VLOOKUP(myynnit[[#This Row],[TuoteID]],ohjaus!$A$4:$B$20,2,FALSE)</f>
        <v>Pianotuoli</v>
      </c>
    </row>
    <row r="817" spans="1:8" x14ac:dyDescent="0.35">
      <c r="A817" t="s">
        <v>38</v>
      </c>
      <c r="B817">
        <v>2012</v>
      </c>
      <c r="C817">
        <v>12</v>
      </c>
      <c r="D817">
        <v>24326</v>
      </c>
      <c r="E817">
        <v>64</v>
      </c>
      <c r="F817">
        <v>9025.77</v>
      </c>
      <c r="G817">
        <v>2468.58</v>
      </c>
      <c r="H817" t="str">
        <f>VLOOKUP(myynnit[[#This Row],[TuoteID]],ohjaus!$A$4:$B$20,2,FALSE)</f>
        <v>Lepotuoli</v>
      </c>
    </row>
    <row r="818" spans="1:8" x14ac:dyDescent="0.35">
      <c r="A818" t="s">
        <v>37</v>
      </c>
      <c r="B818">
        <v>2013</v>
      </c>
      <c r="C818">
        <v>1</v>
      </c>
      <c r="D818">
        <v>12184</v>
      </c>
      <c r="E818">
        <v>74</v>
      </c>
      <c r="F818">
        <v>7843.1</v>
      </c>
      <c r="G818">
        <v>3157.6</v>
      </c>
      <c r="H818" t="str">
        <f>VLOOKUP(myynnit[[#This Row],[TuoteID]],ohjaus!$A$4:$B$20,2,FALSE)</f>
        <v>Rahi</v>
      </c>
    </row>
    <row r="819" spans="1:8" x14ac:dyDescent="0.35">
      <c r="A819" t="s">
        <v>37</v>
      </c>
      <c r="B819">
        <v>2013</v>
      </c>
      <c r="C819">
        <v>1</v>
      </c>
      <c r="D819">
        <v>12622</v>
      </c>
      <c r="E819">
        <v>78</v>
      </c>
      <c r="F819">
        <v>22005.88</v>
      </c>
      <c r="G819">
        <v>9124.9599999999991</v>
      </c>
      <c r="H819" t="str">
        <f>VLOOKUP(myynnit[[#This Row],[TuoteID]],ohjaus!$A$4:$B$20,2,FALSE)</f>
        <v>Pianotuoli</v>
      </c>
    </row>
    <row r="820" spans="1:8" x14ac:dyDescent="0.35">
      <c r="A820" t="s">
        <v>37</v>
      </c>
      <c r="B820">
        <v>2013</v>
      </c>
      <c r="C820">
        <v>1</v>
      </c>
      <c r="D820">
        <v>13527</v>
      </c>
      <c r="E820">
        <v>708</v>
      </c>
      <c r="F820">
        <v>106701.48</v>
      </c>
      <c r="G820">
        <v>19260.37</v>
      </c>
      <c r="H820" t="str">
        <f>VLOOKUP(myynnit[[#This Row],[TuoteID]],ohjaus!$A$4:$B$20,2,FALSE)</f>
        <v>Pinnatuoli</v>
      </c>
    </row>
    <row r="821" spans="1:8" x14ac:dyDescent="0.35">
      <c r="A821" t="s">
        <v>37</v>
      </c>
      <c r="B821">
        <v>2013</v>
      </c>
      <c r="C821">
        <v>1</v>
      </c>
      <c r="D821">
        <v>13618</v>
      </c>
      <c r="E821">
        <v>31</v>
      </c>
      <c r="F821">
        <v>13253.73</v>
      </c>
      <c r="G821">
        <v>6815.28</v>
      </c>
      <c r="H821" t="str">
        <f>VLOOKUP(myynnit[[#This Row],[TuoteID]],ohjaus!$A$4:$B$20,2,FALSE)</f>
        <v>Pianotuoli</v>
      </c>
    </row>
    <row r="822" spans="1:8" x14ac:dyDescent="0.35">
      <c r="A822" t="s">
        <v>37</v>
      </c>
      <c r="B822">
        <v>2013</v>
      </c>
      <c r="C822">
        <v>1</v>
      </c>
      <c r="D822">
        <v>16024</v>
      </c>
      <c r="E822">
        <v>199</v>
      </c>
      <c r="F822">
        <v>78753.91</v>
      </c>
      <c r="G822">
        <v>21583.79</v>
      </c>
      <c r="H822" t="str">
        <f>VLOOKUP(myynnit[[#This Row],[TuoteID]],ohjaus!$A$4:$B$20,2,FALSE)</f>
        <v>Työtuoli</v>
      </c>
    </row>
    <row r="823" spans="1:8" x14ac:dyDescent="0.35">
      <c r="A823" t="s">
        <v>37</v>
      </c>
      <c r="B823">
        <v>2013</v>
      </c>
      <c r="C823">
        <v>1</v>
      </c>
      <c r="D823">
        <v>16650</v>
      </c>
      <c r="E823">
        <v>38</v>
      </c>
      <c r="F823">
        <v>4711.38</v>
      </c>
      <c r="G823">
        <v>2313.64</v>
      </c>
      <c r="H823" t="str">
        <f>VLOOKUP(myynnit[[#This Row],[TuoteID]],ohjaus!$A$4:$B$20,2,FALSE)</f>
        <v>Rahi</v>
      </c>
    </row>
    <row r="824" spans="1:8" x14ac:dyDescent="0.35">
      <c r="A824" t="s">
        <v>37</v>
      </c>
      <c r="B824">
        <v>2013</v>
      </c>
      <c r="C824">
        <v>1</v>
      </c>
      <c r="D824">
        <v>17892</v>
      </c>
      <c r="E824">
        <v>139</v>
      </c>
      <c r="F824">
        <v>21864.02</v>
      </c>
      <c r="G824">
        <v>5591.91</v>
      </c>
      <c r="H824" t="str">
        <f>VLOOKUP(myynnit[[#This Row],[TuoteID]],ohjaus!$A$4:$B$20,2,FALSE)</f>
        <v>Lepotuoli</v>
      </c>
    </row>
    <row r="825" spans="1:8" x14ac:dyDescent="0.35">
      <c r="A825" t="s">
        <v>37</v>
      </c>
      <c r="B825">
        <v>2013</v>
      </c>
      <c r="C825">
        <v>1</v>
      </c>
      <c r="D825">
        <v>18342</v>
      </c>
      <c r="E825">
        <v>172</v>
      </c>
      <c r="F825">
        <v>141440.13</v>
      </c>
      <c r="G825">
        <v>43233.58</v>
      </c>
      <c r="H825" t="str">
        <f>VLOOKUP(myynnit[[#This Row],[TuoteID]],ohjaus!$A$4:$B$20,2,FALSE)</f>
        <v>Työtuoli</v>
      </c>
    </row>
    <row r="826" spans="1:8" x14ac:dyDescent="0.35">
      <c r="A826" t="s">
        <v>37</v>
      </c>
      <c r="B826">
        <v>2013</v>
      </c>
      <c r="C826">
        <v>1</v>
      </c>
      <c r="D826">
        <v>20177</v>
      </c>
      <c r="E826">
        <v>131</v>
      </c>
      <c r="F826">
        <v>11244.4</v>
      </c>
      <c r="G826">
        <v>4107.51</v>
      </c>
      <c r="H826" t="str">
        <f>VLOOKUP(myynnit[[#This Row],[TuoteID]],ohjaus!$A$4:$B$20,2,FALSE)</f>
        <v>Säkkituoli</v>
      </c>
    </row>
    <row r="827" spans="1:8" x14ac:dyDescent="0.35">
      <c r="A827" t="s">
        <v>37</v>
      </c>
      <c r="B827">
        <v>2013</v>
      </c>
      <c r="C827">
        <v>1</v>
      </c>
      <c r="D827">
        <v>21179</v>
      </c>
      <c r="E827">
        <v>75</v>
      </c>
      <c r="F827">
        <v>7772.85</v>
      </c>
      <c r="G827">
        <v>4267.6899999999996</v>
      </c>
      <c r="H827" t="str">
        <f>VLOOKUP(myynnit[[#This Row],[TuoteID]],ohjaus!$A$4:$B$20,2,FALSE)</f>
        <v>Rahi</v>
      </c>
    </row>
    <row r="828" spans="1:8" x14ac:dyDescent="0.35">
      <c r="A828" t="s">
        <v>37</v>
      </c>
      <c r="B828">
        <v>2013</v>
      </c>
      <c r="C828">
        <v>1</v>
      </c>
      <c r="D828">
        <v>21260</v>
      </c>
      <c r="E828">
        <v>88</v>
      </c>
      <c r="F828">
        <v>18799.41</v>
      </c>
      <c r="G828">
        <v>4851.32</v>
      </c>
      <c r="H828" t="str">
        <f>VLOOKUP(myynnit[[#This Row],[TuoteID]],ohjaus!$A$4:$B$20,2,FALSE)</f>
        <v>Lepotuoli</v>
      </c>
    </row>
    <row r="829" spans="1:8" x14ac:dyDescent="0.35">
      <c r="A829" t="s">
        <v>37</v>
      </c>
      <c r="B829">
        <v>2013</v>
      </c>
      <c r="C829">
        <v>1</v>
      </c>
      <c r="D829">
        <v>22317</v>
      </c>
      <c r="E829">
        <v>73</v>
      </c>
      <c r="F829">
        <v>7063.14</v>
      </c>
      <c r="G829">
        <v>3002.7</v>
      </c>
      <c r="H829" t="str">
        <f>VLOOKUP(myynnit[[#This Row],[TuoteID]],ohjaus!$A$4:$B$20,2,FALSE)</f>
        <v>Säkkituoli</v>
      </c>
    </row>
    <row r="830" spans="1:8" x14ac:dyDescent="0.35">
      <c r="A830" t="s">
        <v>37</v>
      </c>
      <c r="B830">
        <v>2013</v>
      </c>
      <c r="C830">
        <v>1</v>
      </c>
      <c r="D830">
        <v>22940</v>
      </c>
      <c r="E830">
        <v>911</v>
      </c>
      <c r="F830">
        <v>124449.95</v>
      </c>
      <c r="G830">
        <v>26912.1</v>
      </c>
      <c r="H830" t="str">
        <f>VLOOKUP(myynnit[[#This Row],[TuoteID]],ohjaus!$A$4:$B$20,2,FALSE)</f>
        <v>Pinnatuoli</v>
      </c>
    </row>
    <row r="831" spans="1:8" x14ac:dyDescent="0.35">
      <c r="A831" t="s">
        <v>37</v>
      </c>
      <c r="B831">
        <v>2013</v>
      </c>
      <c r="C831">
        <v>1</v>
      </c>
      <c r="D831">
        <v>23178</v>
      </c>
      <c r="E831">
        <v>386</v>
      </c>
      <c r="F831">
        <v>65130.38</v>
      </c>
      <c r="G831">
        <v>12621.74</v>
      </c>
      <c r="H831" t="str">
        <f>VLOOKUP(myynnit[[#This Row],[TuoteID]],ohjaus!$A$4:$B$20,2,FALSE)</f>
        <v>Pinnatuoli</v>
      </c>
    </row>
    <row r="832" spans="1:8" x14ac:dyDescent="0.35">
      <c r="A832" t="s">
        <v>37</v>
      </c>
      <c r="B832">
        <v>2013</v>
      </c>
      <c r="C832">
        <v>1</v>
      </c>
      <c r="D832">
        <v>23600</v>
      </c>
      <c r="E832">
        <v>1415</v>
      </c>
      <c r="F832">
        <v>160704.22</v>
      </c>
      <c r="G832">
        <v>40224.730000000003</v>
      </c>
      <c r="H832" t="str">
        <f>VLOOKUP(myynnit[[#This Row],[TuoteID]],ohjaus!$A$4:$B$20,2,FALSE)</f>
        <v>Pinnatuoli</v>
      </c>
    </row>
    <row r="833" spans="1:8" x14ac:dyDescent="0.35">
      <c r="A833" t="s">
        <v>37</v>
      </c>
      <c r="B833">
        <v>2013</v>
      </c>
      <c r="C833">
        <v>1</v>
      </c>
      <c r="D833">
        <v>23756</v>
      </c>
      <c r="E833">
        <v>51</v>
      </c>
      <c r="F833">
        <v>8607.6299999999992</v>
      </c>
      <c r="G833">
        <v>4382.16</v>
      </c>
      <c r="H833" t="str">
        <f>VLOOKUP(myynnit[[#This Row],[TuoteID]],ohjaus!$A$4:$B$20,2,FALSE)</f>
        <v>Pianotuoli</v>
      </c>
    </row>
    <row r="834" spans="1:8" x14ac:dyDescent="0.35">
      <c r="A834" t="s">
        <v>37</v>
      </c>
      <c r="B834">
        <v>2013</v>
      </c>
      <c r="C834">
        <v>1</v>
      </c>
      <c r="D834">
        <v>24326</v>
      </c>
      <c r="E834">
        <v>213</v>
      </c>
      <c r="F834">
        <v>31986.31</v>
      </c>
      <c r="G834">
        <v>9828.41</v>
      </c>
      <c r="H834" t="str">
        <f>VLOOKUP(myynnit[[#This Row],[TuoteID]],ohjaus!$A$4:$B$20,2,FALSE)</f>
        <v>Lepotuoli</v>
      </c>
    </row>
    <row r="835" spans="1:8" x14ac:dyDescent="0.35">
      <c r="A835" t="s">
        <v>40</v>
      </c>
      <c r="B835">
        <v>2013</v>
      </c>
      <c r="C835">
        <v>1</v>
      </c>
      <c r="D835">
        <v>12184</v>
      </c>
      <c r="E835">
        <v>35</v>
      </c>
      <c r="F835">
        <v>4364.22</v>
      </c>
      <c r="G835">
        <v>2317.5</v>
      </c>
      <c r="H835" t="str">
        <f>VLOOKUP(myynnit[[#This Row],[TuoteID]],ohjaus!$A$4:$B$20,2,FALSE)</f>
        <v>Rahi</v>
      </c>
    </row>
    <row r="836" spans="1:8" x14ac:dyDescent="0.35">
      <c r="A836" t="s">
        <v>40</v>
      </c>
      <c r="B836">
        <v>2013</v>
      </c>
      <c r="C836">
        <v>1</v>
      </c>
      <c r="D836">
        <v>12622</v>
      </c>
      <c r="E836">
        <v>18</v>
      </c>
      <c r="F836">
        <v>3989.09</v>
      </c>
      <c r="G836">
        <v>1510.71</v>
      </c>
      <c r="H836" t="str">
        <f>VLOOKUP(myynnit[[#This Row],[TuoteID]],ohjaus!$A$4:$B$20,2,FALSE)</f>
        <v>Pianotuoli</v>
      </c>
    </row>
    <row r="837" spans="1:8" x14ac:dyDescent="0.35">
      <c r="A837" t="s">
        <v>40</v>
      </c>
      <c r="B837">
        <v>2013</v>
      </c>
      <c r="C837">
        <v>1</v>
      </c>
      <c r="D837">
        <v>13527</v>
      </c>
      <c r="E837">
        <v>282</v>
      </c>
      <c r="F837">
        <v>43041.04</v>
      </c>
      <c r="G837">
        <v>8781.41</v>
      </c>
      <c r="H837" t="str">
        <f>VLOOKUP(myynnit[[#This Row],[TuoteID]],ohjaus!$A$4:$B$20,2,FALSE)</f>
        <v>Pinnatuoli</v>
      </c>
    </row>
    <row r="838" spans="1:8" x14ac:dyDescent="0.35">
      <c r="A838" t="s">
        <v>40</v>
      </c>
      <c r="B838">
        <v>2013</v>
      </c>
      <c r="C838">
        <v>1</v>
      </c>
      <c r="D838">
        <v>13618</v>
      </c>
      <c r="E838">
        <v>4</v>
      </c>
      <c r="F838">
        <v>1416.46</v>
      </c>
      <c r="G838">
        <v>586.52</v>
      </c>
      <c r="H838" t="str">
        <f>VLOOKUP(myynnit[[#This Row],[TuoteID]],ohjaus!$A$4:$B$20,2,FALSE)</f>
        <v>Pianotuoli</v>
      </c>
    </row>
    <row r="839" spans="1:8" x14ac:dyDescent="0.35">
      <c r="A839" t="s">
        <v>40</v>
      </c>
      <c r="B839">
        <v>2013</v>
      </c>
      <c r="C839">
        <v>1</v>
      </c>
      <c r="D839">
        <v>16024</v>
      </c>
      <c r="E839">
        <v>172</v>
      </c>
      <c r="F839">
        <v>68914.06</v>
      </c>
      <c r="G839">
        <v>17934.36</v>
      </c>
      <c r="H839" t="str">
        <f>VLOOKUP(myynnit[[#This Row],[TuoteID]],ohjaus!$A$4:$B$20,2,FALSE)</f>
        <v>Työtuoli</v>
      </c>
    </row>
    <row r="840" spans="1:8" x14ac:dyDescent="0.35">
      <c r="A840" t="s">
        <v>40</v>
      </c>
      <c r="B840">
        <v>2013</v>
      </c>
      <c r="C840">
        <v>1</v>
      </c>
      <c r="D840">
        <v>16650</v>
      </c>
      <c r="E840">
        <v>33</v>
      </c>
      <c r="F840">
        <v>5740.72</v>
      </c>
      <c r="G840">
        <v>3801.49</v>
      </c>
      <c r="H840" t="str">
        <f>VLOOKUP(myynnit[[#This Row],[TuoteID]],ohjaus!$A$4:$B$20,2,FALSE)</f>
        <v>Rahi</v>
      </c>
    </row>
    <row r="841" spans="1:8" x14ac:dyDescent="0.35">
      <c r="A841" t="s">
        <v>40</v>
      </c>
      <c r="B841">
        <v>2013</v>
      </c>
      <c r="C841">
        <v>1</v>
      </c>
      <c r="D841">
        <v>17892</v>
      </c>
      <c r="E841">
        <v>105</v>
      </c>
      <c r="F841">
        <v>15840.71</v>
      </c>
      <c r="G841">
        <v>3803.29</v>
      </c>
      <c r="H841" t="str">
        <f>VLOOKUP(myynnit[[#This Row],[TuoteID]],ohjaus!$A$4:$B$20,2,FALSE)</f>
        <v>Lepotuoli</v>
      </c>
    </row>
    <row r="842" spans="1:8" x14ac:dyDescent="0.35">
      <c r="A842" t="s">
        <v>40</v>
      </c>
      <c r="B842">
        <v>2013</v>
      </c>
      <c r="C842">
        <v>1</v>
      </c>
      <c r="D842">
        <v>18342</v>
      </c>
      <c r="E842">
        <v>26</v>
      </c>
      <c r="F842">
        <v>23629.26</v>
      </c>
      <c r="G842">
        <v>8199.5499999999993</v>
      </c>
      <c r="H842" t="str">
        <f>VLOOKUP(myynnit[[#This Row],[TuoteID]],ohjaus!$A$4:$B$20,2,FALSE)</f>
        <v>Työtuoli</v>
      </c>
    </row>
    <row r="843" spans="1:8" x14ac:dyDescent="0.35">
      <c r="A843" t="s">
        <v>40</v>
      </c>
      <c r="B843">
        <v>2013</v>
      </c>
      <c r="C843">
        <v>1</v>
      </c>
      <c r="D843">
        <v>20177</v>
      </c>
      <c r="E843">
        <v>30</v>
      </c>
      <c r="F843">
        <v>2629.35</v>
      </c>
      <c r="G843">
        <v>902.27</v>
      </c>
      <c r="H843" t="str">
        <f>VLOOKUP(myynnit[[#This Row],[TuoteID]],ohjaus!$A$4:$B$20,2,FALSE)</f>
        <v>Säkkituoli</v>
      </c>
    </row>
    <row r="844" spans="1:8" x14ac:dyDescent="0.35">
      <c r="A844" t="s">
        <v>40</v>
      </c>
      <c r="B844">
        <v>2013</v>
      </c>
      <c r="C844">
        <v>1</v>
      </c>
      <c r="D844">
        <v>21179</v>
      </c>
      <c r="E844">
        <v>37</v>
      </c>
      <c r="F844">
        <v>3867.22</v>
      </c>
      <c r="G844">
        <v>2369.2399999999998</v>
      </c>
      <c r="H844" t="str">
        <f>VLOOKUP(myynnit[[#This Row],[TuoteID]],ohjaus!$A$4:$B$20,2,FALSE)</f>
        <v>Rahi</v>
      </c>
    </row>
    <row r="845" spans="1:8" x14ac:dyDescent="0.35">
      <c r="A845" t="s">
        <v>40</v>
      </c>
      <c r="B845">
        <v>2013</v>
      </c>
      <c r="C845">
        <v>1</v>
      </c>
      <c r="D845">
        <v>21260</v>
      </c>
      <c r="E845">
        <v>31</v>
      </c>
      <c r="F845">
        <v>5761.16</v>
      </c>
      <c r="G845">
        <v>1520.16</v>
      </c>
      <c r="H845" t="str">
        <f>VLOOKUP(myynnit[[#This Row],[TuoteID]],ohjaus!$A$4:$B$20,2,FALSE)</f>
        <v>Lepotuoli</v>
      </c>
    </row>
    <row r="846" spans="1:8" x14ac:dyDescent="0.35">
      <c r="A846" t="s">
        <v>40</v>
      </c>
      <c r="B846">
        <v>2013</v>
      </c>
      <c r="C846">
        <v>1</v>
      </c>
      <c r="D846">
        <v>22317</v>
      </c>
      <c r="E846">
        <v>7</v>
      </c>
      <c r="F846">
        <v>608.03</v>
      </c>
      <c r="G846">
        <v>255.47</v>
      </c>
      <c r="H846" t="str">
        <f>VLOOKUP(myynnit[[#This Row],[TuoteID]],ohjaus!$A$4:$B$20,2,FALSE)</f>
        <v>Säkkituoli</v>
      </c>
    </row>
    <row r="847" spans="1:8" x14ac:dyDescent="0.35">
      <c r="A847" t="s">
        <v>40</v>
      </c>
      <c r="B847">
        <v>2013</v>
      </c>
      <c r="C847">
        <v>1</v>
      </c>
      <c r="D847">
        <v>22940</v>
      </c>
      <c r="E847">
        <v>229</v>
      </c>
      <c r="F847">
        <v>32061.75</v>
      </c>
      <c r="G847">
        <v>7392.73</v>
      </c>
      <c r="H847" t="str">
        <f>VLOOKUP(myynnit[[#This Row],[TuoteID]],ohjaus!$A$4:$B$20,2,FALSE)</f>
        <v>Pinnatuoli</v>
      </c>
    </row>
    <row r="848" spans="1:8" x14ac:dyDescent="0.35">
      <c r="A848" t="s">
        <v>40</v>
      </c>
      <c r="B848">
        <v>2013</v>
      </c>
      <c r="C848">
        <v>1</v>
      </c>
      <c r="D848">
        <v>23178</v>
      </c>
      <c r="E848">
        <v>214</v>
      </c>
      <c r="F848">
        <v>36949.769999999997</v>
      </c>
      <c r="G848">
        <v>9006.8700000000008</v>
      </c>
      <c r="H848" t="str">
        <f>VLOOKUP(myynnit[[#This Row],[TuoteID]],ohjaus!$A$4:$B$20,2,FALSE)</f>
        <v>Pinnatuoli</v>
      </c>
    </row>
    <row r="849" spans="1:8" x14ac:dyDescent="0.35">
      <c r="A849" t="s">
        <v>40</v>
      </c>
      <c r="B849">
        <v>2013</v>
      </c>
      <c r="C849">
        <v>1</v>
      </c>
      <c r="D849">
        <v>23600</v>
      </c>
      <c r="E849">
        <v>501</v>
      </c>
      <c r="F849">
        <v>50775</v>
      </c>
      <c r="G849">
        <v>14728.51</v>
      </c>
      <c r="H849" t="str">
        <f>VLOOKUP(myynnit[[#This Row],[TuoteID]],ohjaus!$A$4:$B$20,2,FALSE)</f>
        <v>Pinnatuoli</v>
      </c>
    </row>
    <row r="850" spans="1:8" x14ac:dyDescent="0.35">
      <c r="A850" t="s">
        <v>40</v>
      </c>
      <c r="B850">
        <v>2013</v>
      </c>
      <c r="C850">
        <v>1</v>
      </c>
      <c r="D850">
        <v>23756</v>
      </c>
      <c r="E850">
        <v>41</v>
      </c>
      <c r="F850">
        <v>8059.13</v>
      </c>
      <c r="G850">
        <v>3355.93</v>
      </c>
      <c r="H850" t="str">
        <f>VLOOKUP(myynnit[[#This Row],[TuoteID]],ohjaus!$A$4:$B$20,2,FALSE)</f>
        <v>Pianotuoli</v>
      </c>
    </row>
    <row r="851" spans="1:8" x14ac:dyDescent="0.35">
      <c r="A851" t="s">
        <v>40</v>
      </c>
      <c r="B851">
        <v>2013</v>
      </c>
      <c r="C851">
        <v>1</v>
      </c>
      <c r="D851">
        <v>24326</v>
      </c>
      <c r="E851">
        <v>29</v>
      </c>
      <c r="F851">
        <v>4149.7700000000004</v>
      </c>
      <c r="G851">
        <v>1371.41</v>
      </c>
      <c r="H851" t="str">
        <f>VLOOKUP(myynnit[[#This Row],[TuoteID]],ohjaus!$A$4:$B$20,2,FALSE)</f>
        <v>Lepotuoli</v>
      </c>
    </row>
    <row r="852" spans="1:8" x14ac:dyDescent="0.35">
      <c r="A852" t="s">
        <v>39</v>
      </c>
      <c r="B852">
        <v>2013</v>
      </c>
      <c r="C852">
        <v>1</v>
      </c>
      <c r="D852">
        <v>12184</v>
      </c>
      <c r="E852">
        <v>75</v>
      </c>
      <c r="F852">
        <v>9652.89</v>
      </c>
      <c r="G852">
        <v>7146.73</v>
      </c>
      <c r="H852" t="str">
        <f>VLOOKUP(myynnit[[#This Row],[TuoteID]],ohjaus!$A$4:$B$20,2,FALSE)</f>
        <v>Rahi</v>
      </c>
    </row>
    <row r="853" spans="1:8" x14ac:dyDescent="0.35">
      <c r="A853" t="s">
        <v>39</v>
      </c>
      <c r="B853">
        <v>2013</v>
      </c>
      <c r="C853">
        <v>1</v>
      </c>
      <c r="D853">
        <v>12622</v>
      </c>
      <c r="E853">
        <v>48</v>
      </c>
      <c r="F853">
        <v>11270.23</v>
      </c>
      <c r="G853">
        <v>6190.11</v>
      </c>
      <c r="H853" t="str">
        <f>VLOOKUP(myynnit[[#This Row],[TuoteID]],ohjaus!$A$4:$B$20,2,FALSE)</f>
        <v>Pianotuoli</v>
      </c>
    </row>
    <row r="854" spans="1:8" x14ac:dyDescent="0.35">
      <c r="A854" t="s">
        <v>39</v>
      </c>
      <c r="B854">
        <v>2013</v>
      </c>
      <c r="C854">
        <v>1</v>
      </c>
      <c r="D854">
        <v>13527</v>
      </c>
      <c r="E854">
        <v>431</v>
      </c>
      <c r="F854">
        <v>63928.6</v>
      </c>
      <c r="G854">
        <v>14423.16</v>
      </c>
      <c r="H854" t="str">
        <f>VLOOKUP(myynnit[[#This Row],[TuoteID]],ohjaus!$A$4:$B$20,2,FALSE)</f>
        <v>Pinnatuoli</v>
      </c>
    </row>
    <row r="855" spans="1:8" x14ac:dyDescent="0.35">
      <c r="A855" t="s">
        <v>39</v>
      </c>
      <c r="B855">
        <v>2013</v>
      </c>
      <c r="C855">
        <v>1</v>
      </c>
      <c r="D855">
        <v>13618</v>
      </c>
      <c r="E855">
        <v>20</v>
      </c>
      <c r="F855">
        <v>7594.42</v>
      </c>
      <c r="G855">
        <v>4072.99</v>
      </c>
      <c r="H855" t="str">
        <f>VLOOKUP(myynnit[[#This Row],[TuoteID]],ohjaus!$A$4:$B$20,2,FALSE)</f>
        <v>Pianotuoli</v>
      </c>
    </row>
    <row r="856" spans="1:8" x14ac:dyDescent="0.35">
      <c r="A856" t="s">
        <v>39</v>
      </c>
      <c r="B856">
        <v>2013</v>
      </c>
      <c r="C856">
        <v>1</v>
      </c>
      <c r="D856">
        <v>16024</v>
      </c>
      <c r="E856">
        <v>297</v>
      </c>
      <c r="F856">
        <v>131358.78</v>
      </c>
      <c r="G856">
        <v>35001.42</v>
      </c>
      <c r="H856" t="str">
        <f>VLOOKUP(myynnit[[#This Row],[TuoteID]],ohjaus!$A$4:$B$20,2,FALSE)</f>
        <v>Työtuoli</v>
      </c>
    </row>
    <row r="857" spans="1:8" x14ac:dyDescent="0.35">
      <c r="A857" t="s">
        <v>39</v>
      </c>
      <c r="B857">
        <v>2013</v>
      </c>
      <c r="C857">
        <v>1</v>
      </c>
      <c r="D857">
        <v>16650</v>
      </c>
      <c r="E857">
        <v>44</v>
      </c>
      <c r="F857">
        <v>5440.06</v>
      </c>
      <c r="G857">
        <v>4305.57</v>
      </c>
      <c r="H857" t="str">
        <f>VLOOKUP(myynnit[[#This Row],[TuoteID]],ohjaus!$A$4:$B$20,2,FALSE)</f>
        <v>Rahi</v>
      </c>
    </row>
    <row r="858" spans="1:8" x14ac:dyDescent="0.35">
      <c r="A858" t="s">
        <v>39</v>
      </c>
      <c r="B858">
        <v>2013</v>
      </c>
      <c r="C858">
        <v>1</v>
      </c>
      <c r="D858">
        <v>17892</v>
      </c>
      <c r="E858">
        <v>81</v>
      </c>
      <c r="F858">
        <v>12983.71</v>
      </c>
      <c r="G858">
        <v>3606.02</v>
      </c>
      <c r="H858" t="str">
        <f>VLOOKUP(myynnit[[#This Row],[TuoteID]],ohjaus!$A$4:$B$20,2,FALSE)</f>
        <v>Lepotuoli</v>
      </c>
    </row>
    <row r="859" spans="1:8" x14ac:dyDescent="0.35">
      <c r="A859" t="s">
        <v>39</v>
      </c>
      <c r="B859">
        <v>2013</v>
      </c>
      <c r="C859">
        <v>1</v>
      </c>
      <c r="D859">
        <v>18342</v>
      </c>
      <c r="E859">
        <v>156</v>
      </c>
      <c r="F859">
        <v>147374.94</v>
      </c>
      <c r="G859">
        <v>39900.58</v>
      </c>
      <c r="H859" t="str">
        <f>VLOOKUP(myynnit[[#This Row],[TuoteID]],ohjaus!$A$4:$B$20,2,FALSE)</f>
        <v>Työtuoli</v>
      </c>
    </row>
    <row r="860" spans="1:8" x14ac:dyDescent="0.35">
      <c r="A860" t="s">
        <v>39</v>
      </c>
      <c r="B860">
        <v>2013</v>
      </c>
      <c r="C860">
        <v>1</v>
      </c>
      <c r="D860">
        <v>20177</v>
      </c>
      <c r="E860">
        <v>65</v>
      </c>
      <c r="F860">
        <v>5971.4</v>
      </c>
      <c r="G860">
        <v>2884.06</v>
      </c>
      <c r="H860" t="str">
        <f>VLOOKUP(myynnit[[#This Row],[TuoteID]],ohjaus!$A$4:$B$20,2,FALSE)</f>
        <v>Säkkituoli</v>
      </c>
    </row>
    <row r="861" spans="1:8" x14ac:dyDescent="0.35">
      <c r="A861" t="s">
        <v>39</v>
      </c>
      <c r="B861">
        <v>2013</v>
      </c>
      <c r="C861">
        <v>1</v>
      </c>
      <c r="D861">
        <v>21179</v>
      </c>
      <c r="E861">
        <v>35</v>
      </c>
      <c r="F861">
        <v>4540.37</v>
      </c>
      <c r="G861">
        <v>2679.74</v>
      </c>
      <c r="H861" t="str">
        <f>VLOOKUP(myynnit[[#This Row],[TuoteID]],ohjaus!$A$4:$B$20,2,FALSE)</f>
        <v>Rahi</v>
      </c>
    </row>
    <row r="862" spans="1:8" x14ac:dyDescent="0.35">
      <c r="A862" t="s">
        <v>39</v>
      </c>
      <c r="B862">
        <v>2013</v>
      </c>
      <c r="C862">
        <v>1</v>
      </c>
      <c r="D862">
        <v>21260</v>
      </c>
      <c r="E862">
        <v>64</v>
      </c>
      <c r="F862">
        <v>10917.27</v>
      </c>
      <c r="G862">
        <v>3386.2</v>
      </c>
      <c r="H862" t="str">
        <f>VLOOKUP(myynnit[[#This Row],[TuoteID]],ohjaus!$A$4:$B$20,2,FALSE)</f>
        <v>Lepotuoli</v>
      </c>
    </row>
    <row r="863" spans="1:8" x14ac:dyDescent="0.35">
      <c r="A863" t="s">
        <v>39</v>
      </c>
      <c r="B863">
        <v>2013</v>
      </c>
      <c r="C863">
        <v>1</v>
      </c>
      <c r="D863">
        <v>22317</v>
      </c>
      <c r="E863">
        <v>24</v>
      </c>
      <c r="F863">
        <v>2531.35</v>
      </c>
      <c r="G863">
        <v>1157.19</v>
      </c>
      <c r="H863" t="str">
        <f>VLOOKUP(myynnit[[#This Row],[TuoteID]],ohjaus!$A$4:$B$20,2,FALSE)</f>
        <v>Säkkituoli</v>
      </c>
    </row>
    <row r="864" spans="1:8" x14ac:dyDescent="0.35">
      <c r="A864" t="s">
        <v>39</v>
      </c>
      <c r="B864">
        <v>2013</v>
      </c>
      <c r="C864">
        <v>1</v>
      </c>
      <c r="D864">
        <v>22940</v>
      </c>
      <c r="E864">
        <v>699</v>
      </c>
      <c r="F864">
        <v>83181.919999999998</v>
      </c>
      <c r="G864">
        <v>20792.28</v>
      </c>
      <c r="H864" t="str">
        <f>VLOOKUP(myynnit[[#This Row],[TuoteID]],ohjaus!$A$4:$B$20,2,FALSE)</f>
        <v>Pinnatuoli</v>
      </c>
    </row>
    <row r="865" spans="1:8" x14ac:dyDescent="0.35">
      <c r="A865" t="s">
        <v>39</v>
      </c>
      <c r="B865">
        <v>2013</v>
      </c>
      <c r="C865">
        <v>1</v>
      </c>
      <c r="D865">
        <v>23178</v>
      </c>
      <c r="E865">
        <v>224</v>
      </c>
      <c r="F865">
        <v>42170.5</v>
      </c>
      <c r="G865">
        <v>11540.47</v>
      </c>
      <c r="H865" t="str">
        <f>VLOOKUP(myynnit[[#This Row],[TuoteID]],ohjaus!$A$4:$B$20,2,FALSE)</f>
        <v>Pinnatuoli</v>
      </c>
    </row>
    <row r="866" spans="1:8" x14ac:dyDescent="0.35">
      <c r="A866" t="s">
        <v>39</v>
      </c>
      <c r="B866">
        <v>2013</v>
      </c>
      <c r="C866">
        <v>1</v>
      </c>
      <c r="D866">
        <v>23600</v>
      </c>
      <c r="E866">
        <v>707</v>
      </c>
      <c r="F866">
        <v>74293.759999999995</v>
      </c>
      <c r="G866">
        <v>24049.33</v>
      </c>
      <c r="H866" t="str">
        <f>VLOOKUP(myynnit[[#This Row],[TuoteID]],ohjaus!$A$4:$B$20,2,FALSE)</f>
        <v>Pinnatuoli</v>
      </c>
    </row>
    <row r="867" spans="1:8" x14ac:dyDescent="0.35">
      <c r="A867" t="s">
        <v>39</v>
      </c>
      <c r="B867">
        <v>2013</v>
      </c>
      <c r="C867">
        <v>1</v>
      </c>
      <c r="D867">
        <v>23756</v>
      </c>
      <c r="E867">
        <v>86</v>
      </c>
      <c r="F867">
        <v>18463.310000000001</v>
      </c>
      <c r="G867">
        <v>10922.01</v>
      </c>
      <c r="H867" t="str">
        <f>VLOOKUP(myynnit[[#This Row],[TuoteID]],ohjaus!$A$4:$B$20,2,FALSE)</f>
        <v>Pianotuoli</v>
      </c>
    </row>
    <row r="868" spans="1:8" x14ac:dyDescent="0.35">
      <c r="A868" t="s">
        <v>39</v>
      </c>
      <c r="B868">
        <v>2013</v>
      </c>
      <c r="C868">
        <v>1</v>
      </c>
      <c r="D868">
        <v>24326</v>
      </c>
      <c r="E868">
        <v>81</v>
      </c>
      <c r="F868">
        <v>11899.4</v>
      </c>
      <c r="G868">
        <v>3998.89</v>
      </c>
      <c r="H868" t="str">
        <f>VLOOKUP(myynnit[[#This Row],[TuoteID]],ohjaus!$A$4:$B$20,2,FALSE)</f>
        <v>Lepotuoli</v>
      </c>
    </row>
    <row r="869" spans="1:8" x14ac:dyDescent="0.35">
      <c r="A869" t="s">
        <v>38</v>
      </c>
      <c r="B869">
        <v>2013</v>
      </c>
      <c r="C869">
        <v>1</v>
      </c>
      <c r="D869">
        <v>12184</v>
      </c>
      <c r="E869">
        <v>94</v>
      </c>
      <c r="F869">
        <v>12958.45</v>
      </c>
      <c r="G869">
        <v>7643.67</v>
      </c>
      <c r="H869" t="str">
        <f>VLOOKUP(myynnit[[#This Row],[TuoteID]],ohjaus!$A$4:$B$20,2,FALSE)</f>
        <v>Rahi</v>
      </c>
    </row>
    <row r="870" spans="1:8" x14ac:dyDescent="0.35">
      <c r="A870" t="s">
        <v>38</v>
      </c>
      <c r="B870">
        <v>2013</v>
      </c>
      <c r="C870">
        <v>1</v>
      </c>
      <c r="D870">
        <v>12622</v>
      </c>
      <c r="E870">
        <v>33</v>
      </c>
      <c r="F870">
        <v>10408.44</v>
      </c>
      <c r="G870">
        <v>5307.41</v>
      </c>
      <c r="H870" t="str">
        <f>VLOOKUP(myynnit[[#This Row],[TuoteID]],ohjaus!$A$4:$B$20,2,FALSE)</f>
        <v>Pianotuoli</v>
      </c>
    </row>
    <row r="871" spans="1:8" x14ac:dyDescent="0.35">
      <c r="A871" t="s">
        <v>38</v>
      </c>
      <c r="B871">
        <v>2013</v>
      </c>
      <c r="C871">
        <v>1</v>
      </c>
      <c r="D871">
        <v>13527</v>
      </c>
      <c r="E871">
        <v>469</v>
      </c>
      <c r="F871">
        <v>74816.81</v>
      </c>
      <c r="G871">
        <v>15385.23</v>
      </c>
      <c r="H871" t="str">
        <f>VLOOKUP(myynnit[[#This Row],[TuoteID]],ohjaus!$A$4:$B$20,2,FALSE)</f>
        <v>Pinnatuoli</v>
      </c>
    </row>
    <row r="872" spans="1:8" x14ac:dyDescent="0.35">
      <c r="A872" t="s">
        <v>38</v>
      </c>
      <c r="B872">
        <v>2013</v>
      </c>
      <c r="C872">
        <v>1</v>
      </c>
      <c r="D872">
        <v>13618</v>
      </c>
      <c r="E872">
        <v>7</v>
      </c>
      <c r="F872">
        <v>2688.32</v>
      </c>
      <c r="G872">
        <v>1108.3599999999999</v>
      </c>
      <c r="H872" t="str">
        <f>VLOOKUP(myynnit[[#This Row],[TuoteID]],ohjaus!$A$4:$B$20,2,FALSE)</f>
        <v>Pianotuoli</v>
      </c>
    </row>
    <row r="873" spans="1:8" x14ac:dyDescent="0.35">
      <c r="A873" t="s">
        <v>38</v>
      </c>
      <c r="B873">
        <v>2013</v>
      </c>
      <c r="C873">
        <v>1</v>
      </c>
      <c r="D873">
        <v>16024</v>
      </c>
      <c r="E873">
        <v>125</v>
      </c>
      <c r="F873">
        <v>50728.480000000003</v>
      </c>
      <c r="G873">
        <v>12822.25</v>
      </c>
      <c r="H873" t="str">
        <f>VLOOKUP(myynnit[[#This Row],[TuoteID]],ohjaus!$A$4:$B$20,2,FALSE)</f>
        <v>Työtuoli</v>
      </c>
    </row>
    <row r="874" spans="1:8" x14ac:dyDescent="0.35">
      <c r="A874" t="s">
        <v>38</v>
      </c>
      <c r="B874">
        <v>2013</v>
      </c>
      <c r="C874">
        <v>1</v>
      </c>
      <c r="D874">
        <v>16650</v>
      </c>
      <c r="E874">
        <v>36</v>
      </c>
      <c r="F874">
        <v>5794.22</v>
      </c>
      <c r="G874">
        <v>2839.83</v>
      </c>
      <c r="H874" t="str">
        <f>VLOOKUP(myynnit[[#This Row],[TuoteID]],ohjaus!$A$4:$B$20,2,FALSE)</f>
        <v>Rahi</v>
      </c>
    </row>
    <row r="875" spans="1:8" x14ac:dyDescent="0.35">
      <c r="A875" t="s">
        <v>38</v>
      </c>
      <c r="B875">
        <v>2013</v>
      </c>
      <c r="C875">
        <v>1</v>
      </c>
      <c r="D875">
        <v>17892</v>
      </c>
      <c r="E875">
        <v>109</v>
      </c>
      <c r="F875">
        <v>16238.01</v>
      </c>
      <c r="G875">
        <v>4014.64</v>
      </c>
      <c r="H875" t="str">
        <f>VLOOKUP(myynnit[[#This Row],[TuoteID]],ohjaus!$A$4:$B$20,2,FALSE)</f>
        <v>Lepotuoli</v>
      </c>
    </row>
    <row r="876" spans="1:8" x14ac:dyDescent="0.35">
      <c r="A876" t="s">
        <v>38</v>
      </c>
      <c r="B876">
        <v>2013</v>
      </c>
      <c r="C876">
        <v>1</v>
      </c>
      <c r="D876">
        <v>18342</v>
      </c>
      <c r="E876">
        <v>209</v>
      </c>
      <c r="F876">
        <v>159070.09</v>
      </c>
      <c r="G876">
        <v>38738.81</v>
      </c>
      <c r="H876" t="str">
        <f>VLOOKUP(myynnit[[#This Row],[TuoteID]],ohjaus!$A$4:$B$20,2,FALSE)</f>
        <v>Työtuoli</v>
      </c>
    </row>
    <row r="877" spans="1:8" x14ac:dyDescent="0.35">
      <c r="A877" t="s">
        <v>38</v>
      </c>
      <c r="B877">
        <v>2013</v>
      </c>
      <c r="C877">
        <v>1</v>
      </c>
      <c r="D877">
        <v>20177</v>
      </c>
      <c r="E877">
        <v>56</v>
      </c>
      <c r="F877">
        <v>6360.16</v>
      </c>
      <c r="G877">
        <v>2584.91</v>
      </c>
      <c r="H877" t="str">
        <f>VLOOKUP(myynnit[[#This Row],[TuoteID]],ohjaus!$A$4:$B$20,2,FALSE)</f>
        <v>Säkkituoli</v>
      </c>
    </row>
    <row r="878" spans="1:8" x14ac:dyDescent="0.35">
      <c r="A878" t="s">
        <v>38</v>
      </c>
      <c r="B878">
        <v>2013</v>
      </c>
      <c r="C878">
        <v>1</v>
      </c>
      <c r="D878">
        <v>21179</v>
      </c>
      <c r="E878">
        <v>53</v>
      </c>
      <c r="F878">
        <v>5873.38</v>
      </c>
      <c r="G878">
        <v>2928.77</v>
      </c>
      <c r="H878" t="str">
        <f>VLOOKUP(myynnit[[#This Row],[TuoteID]],ohjaus!$A$4:$B$20,2,FALSE)</f>
        <v>Rahi</v>
      </c>
    </row>
    <row r="879" spans="1:8" x14ac:dyDescent="0.35">
      <c r="A879" t="s">
        <v>38</v>
      </c>
      <c r="B879">
        <v>2013</v>
      </c>
      <c r="C879">
        <v>1</v>
      </c>
      <c r="D879">
        <v>21260</v>
      </c>
      <c r="E879">
        <v>73</v>
      </c>
      <c r="F879">
        <v>14840.32</v>
      </c>
      <c r="G879">
        <v>3440.42</v>
      </c>
      <c r="H879" t="str">
        <f>VLOOKUP(myynnit[[#This Row],[TuoteID]],ohjaus!$A$4:$B$20,2,FALSE)</f>
        <v>Lepotuoli</v>
      </c>
    </row>
    <row r="880" spans="1:8" x14ac:dyDescent="0.35">
      <c r="A880" t="s">
        <v>38</v>
      </c>
      <c r="B880">
        <v>2013</v>
      </c>
      <c r="C880">
        <v>1</v>
      </c>
      <c r="D880">
        <v>22317</v>
      </c>
      <c r="E880">
        <v>71</v>
      </c>
      <c r="F880">
        <v>5887.11</v>
      </c>
      <c r="G880">
        <v>2357.7600000000002</v>
      </c>
      <c r="H880" t="str">
        <f>VLOOKUP(myynnit[[#This Row],[TuoteID]],ohjaus!$A$4:$B$20,2,FALSE)</f>
        <v>Säkkituoli</v>
      </c>
    </row>
    <row r="881" spans="1:8" x14ac:dyDescent="0.35">
      <c r="A881" t="s">
        <v>38</v>
      </c>
      <c r="B881">
        <v>2013</v>
      </c>
      <c r="C881">
        <v>1</v>
      </c>
      <c r="D881">
        <v>22940</v>
      </c>
      <c r="E881">
        <v>254</v>
      </c>
      <c r="F881">
        <v>32668.51</v>
      </c>
      <c r="G881">
        <v>6696.75</v>
      </c>
      <c r="H881" t="str">
        <f>VLOOKUP(myynnit[[#This Row],[TuoteID]],ohjaus!$A$4:$B$20,2,FALSE)</f>
        <v>Pinnatuoli</v>
      </c>
    </row>
    <row r="882" spans="1:8" x14ac:dyDescent="0.35">
      <c r="A882" t="s">
        <v>38</v>
      </c>
      <c r="B882">
        <v>2013</v>
      </c>
      <c r="C882">
        <v>1</v>
      </c>
      <c r="D882">
        <v>23178</v>
      </c>
      <c r="E882">
        <v>135</v>
      </c>
      <c r="F882">
        <v>24545.07</v>
      </c>
      <c r="G882">
        <v>4420.01</v>
      </c>
      <c r="H882" t="str">
        <f>VLOOKUP(myynnit[[#This Row],[TuoteID]],ohjaus!$A$4:$B$20,2,FALSE)</f>
        <v>Pinnatuoli</v>
      </c>
    </row>
    <row r="883" spans="1:8" x14ac:dyDescent="0.35">
      <c r="A883" t="s">
        <v>38</v>
      </c>
      <c r="B883">
        <v>2013</v>
      </c>
      <c r="C883">
        <v>1</v>
      </c>
      <c r="D883">
        <v>23600</v>
      </c>
      <c r="E883">
        <v>665</v>
      </c>
      <c r="F883">
        <v>65981.289999999994</v>
      </c>
      <c r="G883">
        <v>17514.66</v>
      </c>
      <c r="H883" t="str">
        <f>VLOOKUP(myynnit[[#This Row],[TuoteID]],ohjaus!$A$4:$B$20,2,FALSE)</f>
        <v>Pinnatuoli</v>
      </c>
    </row>
    <row r="884" spans="1:8" x14ac:dyDescent="0.35">
      <c r="A884" t="s">
        <v>38</v>
      </c>
      <c r="B884">
        <v>2013</v>
      </c>
      <c r="C884">
        <v>1</v>
      </c>
      <c r="D884">
        <v>23756</v>
      </c>
      <c r="E884">
        <v>109</v>
      </c>
      <c r="F884">
        <v>20708.09</v>
      </c>
      <c r="G884">
        <v>10301.64</v>
      </c>
      <c r="H884" t="str">
        <f>VLOOKUP(myynnit[[#This Row],[TuoteID]],ohjaus!$A$4:$B$20,2,FALSE)</f>
        <v>Pianotuoli</v>
      </c>
    </row>
    <row r="885" spans="1:8" x14ac:dyDescent="0.35">
      <c r="A885" t="s">
        <v>38</v>
      </c>
      <c r="B885">
        <v>2013</v>
      </c>
      <c r="C885">
        <v>1</v>
      </c>
      <c r="D885">
        <v>24326</v>
      </c>
      <c r="E885">
        <v>81</v>
      </c>
      <c r="F885">
        <v>10503.38</v>
      </c>
      <c r="G885">
        <v>2984.33</v>
      </c>
      <c r="H885" t="str">
        <f>VLOOKUP(myynnit[[#This Row],[TuoteID]],ohjaus!$A$4:$B$20,2,FALSE)</f>
        <v>Lepotuoli</v>
      </c>
    </row>
    <row r="886" spans="1:8" x14ac:dyDescent="0.35">
      <c r="A886" t="s">
        <v>37</v>
      </c>
      <c r="B886">
        <v>2013</v>
      </c>
      <c r="C886">
        <v>2</v>
      </c>
      <c r="D886">
        <v>12184</v>
      </c>
      <c r="E886">
        <v>97</v>
      </c>
      <c r="F886">
        <v>9697.76</v>
      </c>
      <c r="G886">
        <v>5139.05</v>
      </c>
      <c r="H886" t="str">
        <f>VLOOKUP(myynnit[[#This Row],[TuoteID]],ohjaus!$A$4:$B$20,2,FALSE)</f>
        <v>Rahi</v>
      </c>
    </row>
    <row r="887" spans="1:8" x14ac:dyDescent="0.35">
      <c r="A887" t="s">
        <v>37</v>
      </c>
      <c r="B887">
        <v>2013</v>
      </c>
      <c r="C887">
        <v>2</v>
      </c>
      <c r="D887">
        <v>12622</v>
      </c>
      <c r="E887">
        <v>33</v>
      </c>
      <c r="F887">
        <v>7506.52</v>
      </c>
      <c r="G887">
        <v>3440.61</v>
      </c>
      <c r="H887" t="str">
        <f>VLOOKUP(myynnit[[#This Row],[TuoteID]],ohjaus!$A$4:$B$20,2,FALSE)</f>
        <v>Pianotuoli</v>
      </c>
    </row>
    <row r="888" spans="1:8" x14ac:dyDescent="0.35">
      <c r="A888" t="s">
        <v>37</v>
      </c>
      <c r="B888">
        <v>2013</v>
      </c>
      <c r="C888">
        <v>2</v>
      </c>
      <c r="D888">
        <v>13527</v>
      </c>
      <c r="E888">
        <v>764</v>
      </c>
      <c r="F888">
        <v>117675.69</v>
      </c>
      <c r="G888">
        <v>21969.74</v>
      </c>
      <c r="H888" t="str">
        <f>VLOOKUP(myynnit[[#This Row],[TuoteID]],ohjaus!$A$4:$B$20,2,FALSE)</f>
        <v>Pinnatuoli</v>
      </c>
    </row>
    <row r="889" spans="1:8" x14ac:dyDescent="0.35">
      <c r="A889" t="s">
        <v>37</v>
      </c>
      <c r="B889">
        <v>2013</v>
      </c>
      <c r="C889">
        <v>2</v>
      </c>
      <c r="D889">
        <v>13618</v>
      </c>
      <c r="E889">
        <v>13</v>
      </c>
      <c r="F889">
        <v>5787.73</v>
      </c>
      <c r="G889">
        <v>2434.52</v>
      </c>
      <c r="H889" t="str">
        <f>VLOOKUP(myynnit[[#This Row],[TuoteID]],ohjaus!$A$4:$B$20,2,FALSE)</f>
        <v>Pianotuoli</v>
      </c>
    </row>
    <row r="890" spans="1:8" x14ac:dyDescent="0.35">
      <c r="A890" t="s">
        <v>37</v>
      </c>
      <c r="B890">
        <v>2013</v>
      </c>
      <c r="C890">
        <v>2</v>
      </c>
      <c r="D890">
        <v>16024</v>
      </c>
      <c r="E890">
        <v>208</v>
      </c>
      <c r="F890">
        <v>86727.14</v>
      </c>
      <c r="G890">
        <v>21973.15</v>
      </c>
      <c r="H890" t="str">
        <f>VLOOKUP(myynnit[[#This Row],[TuoteID]],ohjaus!$A$4:$B$20,2,FALSE)</f>
        <v>Työtuoli</v>
      </c>
    </row>
    <row r="891" spans="1:8" x14ac:dyDescent="0.35">
      <c r="A891" t="s">
        <v>37</v>
      </c>
      <c r="B891">
        <v>2013</v>
      </c>
      <c r="C891">
        <v>2</v>
      </c>
      <c r="D891">
        <v>16650</v>
      </c>
      <c r="E891">
        <v>54</v>
      </c>
      <c r="F891">
        <v>9251.2800000000007</v>
      </c>
      <c r="G891">
        <v>4098.37</v>
      </c>
      <c r="H891" t="str">
        <f>VLOOKUP(myynnit[[#This Row],[TuoteID]],ohjaus!$A$4:$B$20,2,FALSE)</f>
        <v>Rahi</v>
      </c>
    </row>
    <row r="892" spans="1:8" x14ac:dyDescent="0.35">
      <c r="A892" t="s">
        <v>37</v>
      </c>
      <c r="B892">
        <v>2013</v>
      </c>
      <c r="C892">
        <v>2</v>
      </c>
      <c r="D892">
        <v>17892</v>
      </c>
      <c r="E892">
        <v>117</v>
      </c>
      <c r="F892">
        <v>15773.1</v>
      </c>
      <c r="G892">
        <v>4195.59</v>
      </c>
      <c r="H892" t="str">
        <f>VLOOKUP(myynnit[[#This Row],[TuoteID]],ohjaus!$A$4:$B$20,2,FALSE)</f>
        <v>Lepotuoli</v>
      </c>
    </row>
    <row r="893" spans="1:8" x14ac:dyDescent="0.35">
      <c r="A893" t="s">
        <v>37</v>
      </c>
      <c r="B893">
        <v>2013</v>
      </c>
      <c r="C893">
        <v>2</v>
      </c>
      <c r="D893">
        <v>18342</v>
      </c>
      <c r="E893">
        <v>91</v>
      </c>
      <c r="F893">
        <v>72890.31</v>
      </c>
      <c r="G893">
        <v>18213.43</v>
      </c>
      <c r="H893" t="str">
        <f>VLOOKUP(myynnit[[#This Row],[TuoteID]],ohjaus!$A$4:$B$20,2,FALSE)</f>
        <v>Työtuoli</v>
      </c>
    </row>
    <row r="894" spans="1:8" x14ac:dyDescent="0.35">
      <c r="A894" t="s">
        <v>37</v>
      </c>
      <c r="B894">
        <v>2013</v>
      </c>
      <c r="C894">
        <v>2</v>
      </c>
      <c r="D894">
        <v>20177</v>
      </c>
      <c r="E894">
        <v>71</v>
      </c>
      <c r="F894">
        <v>7351.65</v>
      </c>
      <c r="G894">
        <v>2914.46</v>
      </c>
      <c r="H894" t="str">
        <f>VLOOKUP(myynnit[[#This Row],[TuoteID]],ohjaus!$A$4:$B$20,2,FALSE)</f>
        <v>Säkkituoli</v>
      </c>
    </row>
    <row r="895" spans="1:8" x14ac:dyDescent="0.35">
      <c r="A895" t="s">
        <v>37</v>
      </c>
      <c r="B895">
        <v>2013</v>
      </c>
      <c r="C895">
        <v>2</v>
      </c>
      <c r="D895">
        <v>21179</v>
      </c>
      <c r="E895">
        <v>73</v>
      </c>
      <c r="F895">
        <v>9842.94</v>
      </c>
      <c r="G895">
        <v>5085.68</v>
      </c>
      <c r="H895" t="str">
        <f>VLOOKUP(myynnit[[#This Row],[TuoteID]],ohjaus!$A$4:$B$20,2,FALSE)</f>
        <v>Rahi</v>
      </c>
    </row>
    <row r="896" spans="1:8" x14ac:dyDescent="0.35">
      <c r="A896" t="s">
        <v>37</v>
      </c>
      <c r="B896">
        <v>2013</v>
      </c>
      <c r="C896">
        <v>2</v>
      </c>
      <c r="D896">
        <v>21260</v>
      </c>
      <c r="E896">
        <v>49</v>
      </c>
      <c r="F896">
        <v>8814.39</v>
      </c>
      <c r="G896">
        <v>2575.2399999999998</v>
      </c>
      <c r="H896" t="str">
        <f>VLOOKUP(myynnit[[#This Row],[TuoteID]],ohjaus!$A$4:$B$20,2,FALSE)</f>
        <v>Lepotuoli</v>
      </c>
    </row>
    <row r="897" spans="1:8" x14ac:dyDescent="0.35">
      <c r="A897" t="s">
        <v>37</v>
      </c>
      <c r="B897">
        <v>2013</v>
      </c>
      <c r="C897">
        <v>2</v>
      </c>
      <c r="D897">
        <v>22317</v>
      </c>
      <c r="E897">
        <v>117</v>
      </c>
      <c r="F897">
        <v>10527.92</v>
      </c>
      <c r="G897">
        <v>3952.74</v>
      </c>
      <c r="H897" t="str">
        <f>VLOOKUP(myynnit[[#This Row],[TuoteID]],ohjaus!$A$4:$B$20,2,FALSE)</f>
        <v>Säkkituoli</v>
      </c>
    </row>
    <row r="898" spans="1:8" x14ac:dyDescent="0.35">
      <c r="A898" t="s">
        <v>37</v>
      </c>
      <c r="B898">
        <v>2013</v>
      </c>
      <c r="C898">
        <v>2</v>
      </c>
      <c r="D898">
        <v>22940</v>
      </c>
      <c r="E898">
        <v>598</v>
      </c>
      <c r="F898">
        <v>79409.95</v>
      </c>
      <c r="G898">
        <v>13657.06</v>
      </c>
      <c r="H898" t="str">
        <f>VLOOKUP(myynnit[[#This Row],[TuoteID]],ohjaus!$A$4:$B$20,2,FALSE)</f>
        <v>Pinnatuoli</v>
      </c>
    </row>
    <row r="899" spans="1:8" x14ac:dyDescent="0.35">
      <c r="A899" t="s">
        <v>37</v>
      </c>
      <c r="B899">
        <v>2013</v>
      </c>
      <c r="C899">
        <v>2</v>
      </c>
      <c r="D899">
        <v>23178</v>
      </c>
      <c r="E899">
        <v>236</v>
      </c>
      <c r="F899">
        <v>42173.01</v>
      </c>
      <c r="G899">
        <v>7604.8</v>
      </c>
      <c r="H899" t="str">
        <f>VLOOKUP(myynnit[[#This Row],[TuoteID]],ohjaus!$A$4:$B$20,2,FALSE)</f>
        <v>Pinnatuoli</v>
      </c>
    </row>
    <row r="900" spans="1:8" x14ac:dyDescent="0.35">
      <c r="A900" t="s">
        <v>37</v>
      </c>
      <c r="B900">
        <v>2013</v>
      </c>
      <c r="C900">
        <v>2</v>
      </c>
      <c r="D900">
        <v>23600</v>
      </c>
      <c r="E900">
        <v>1068</v>
      </c>
      <c r="F900">
        <v>120284.13</v>
      </c>
      <c r="G900">
        <v>31992.89</v>
      </c>
      <c r="H900" t="str">
        <f>VLOOKUP(myynnit[[#This Row],[TuoteID]],ohjaus!$A$4:$B$20,2,FALSE)</f>
        <v>Pinnatuoli</v>
      </c>
    </row>
    <row r="901" spans="1:8" x14ac:dyDescent="0.35">
      <c r="A901" t="s">
        <v>37</v>
      </c>
      <c r="B901">
        <v>2013</v>
      </c>
      <c r="C901">
        <v>2</v>
      </c>
      <c r="D901">
        <v>23756</v>
      </c>
      <c r="E901">
        <v>150</v>
      </c>
      <c r="F901">
        <v>27054.95</v>
      </c>
      <c r="G901">
        <v>11288.38</v>
      </c>
      <c r="H901" t="str">
        <f>VLOOKUP(myynnit[[#This Row],[TuoteID]],ohjaus!$A$4:$B$20,2,FALSE)</f>
        <v>Pianotuoli</v>
      </c>
    </row>
    <row r="902" spans="1:8" x14ac:dyDescent="0.35">
      <c r="A902" t="s">
        <v>37</v>
      </c>
      <c r="B902">
        <v>2013</v>
      </c>
      <c r="C902">
        <v>2</v>
      </c>
      <c r="D902">
        <v>24326</v>
      </c>
      <c r="E902">
        <v>196</v>
      </c>
      <c r="F902">
        <v>25442.43</v>
      </c>
      <c r="G902">
        <v>6230.45</v>
      </c>
      <c r="H902" t="str">
        <f>VLOOKUP(myynnit[[#This Row],[TuoteID]],ohjaus!$A$4:$B$20,2,FALSE)</f>
        <v>Lepotuoli</v>
      </c>
    </row>
    <row r="903" spans="1:8" x14ac:dyDescent="0.35">
      <c r="A903" t="s">
        <v>40</v>
      </c>
      <c r="B903">
        <v>2013</v>
      </c>
      <c r="C903">
        <v>2</v>
      </c>
      <c r="D903">
        <v>12184</v>
      </c>
      <c r="E903">
        <v>16</v>
      </c>
      <c r="F903">
        <v>2227.2600000000002</v>
      </c>
      <c r="G903">
        <v>1224.22</v>
      </c>
      <c r="H903" t="str">
        <f>VLOOKUP(myynnit[[#This Row],[TuoteID]],ohjaus!$A$4:$B$20,2,FALSE)</f>
        <v>Rahi</v>
      </c>
    </row>
    <row r="904" spans="1:8" x14ac:dyDescent="0.35">
      <c r="A904" t="s">
        <v>40</v>
      </c>
      <c r="B904">
        <v>2013</v>
      </c>
      <c r="C904">
        <v>2</v>
      </c>
      <c r="D904">
        <v>12622</v>
      </c>
      <c r="E904">
        <v>21</v>
      </c>
      <c r="F904">
        <v>5207.22</v>
      </c>
      <c r="G904">
        <v>2081.73</v>
      </c>
      <c r="H904" t="str">
        <f>VLOOKUP(myynnit[[#This Row],[TuoteID]],ohjaus!$A$4:$B$20,2,FALSE)</f>
        <v>Pianotuoli</v>
      </c>
    </row>
    <row r="905" spans="1:8" x14ac:dyDescent="0.35">
      <c r="A905" t="s">
        <v>40</v>
      </c>
      <c r="B905">
        <v>2013</v>
      </c>
      <c r="C905">
        <v>2</v>
      </c>
      <c r="D905">
        <v>13527</v>
      </c>
      <c r="E905">
        <v>364</v>
      </c>
      <c r="F905">
        <v>54842.86</v>
      </c>
      <c r="G905">
        <v>8723.98</v>
      </c>
      <c r="H905" t="str">
        <f>VLOOKUP(myynnit[[#This Row],[TuoteID]],ohjaus!$A$4:$B$20,2,FALSE)</f>
        <v>Pinnatuoli</v>
      </c>
    </row>
    <row r="906" spans="1:8" x14ac:dyDescent="0.35">
      <c r="A906" t="s">
        <v>40</v>
      </c>
      <c r="B906">
        <v>2013</v>
      </c>
      <c r="C906">
        <v>2</v>
      </c>
      <c r="D906">
        <v>13618</v>
      </c>
      <c r="E906">
        <v>5</v>
      </c>
      <c r="F906">
        <v>2228.0500000000002</v>
      </c>
      <c r="G906">
        <v>968.45</v>
      </c>
      <c r="H906" t="str">
        <f>VLOOKUP(myynnit[[#This Row],[TuoteID]],ohjaus!$A$4:$B$20,2,FALSE)</f>
        <v>Pianotuoli</v>
      </c>
    </row>
    <row r="907" spans="1:8" x14ac:dyDescent="0.35">
      <c r="A907" t="s">
        <v>40</v>
      </c>
      <c r="B907">
        <v>2013</v>
      </c>
      <c r="C907">
        <v>2</v>
      </c>
      <c r="D907">
        <v>16024</v>
      </c>
      <c r="E907">
        <v>136</v>
      </c>
      <c r="F907">
        <v>57123.26</v>
      </c>
      <c r="G907">
        <v>18272.419999999998</v>
      </c>
      <c r="H907" t="str">
        <f>VLOOKUP(myynnit[[#This Row],[TuoteID]],ohjaus!$A$4:$B$20,2,FALSE)</f>
        <v>Työtuoli</v>
      </c>
    </row>
    <row r="908" spans="1:8" x14ac:dyDescent="0.35">
      <c r="A908" t="s">
        <v>40</v>
      </c>
      <c r="B908">
        <v>2013</v>
      </c>
      <c r="C908">
        <v>2</v>
      </c>
      <c r="D908">
        <v>16650</v>
      </c>
      <c r="E908">
        <v>26</v>
      </c>
      <c r="F908">
        <v>4210.2700000000004</v>
      </c>
      <c r="G908">
        <v>2938.06</v>
      </c>
      <c r="H908" t="str">
        <f>VLOOKUP(myynnit[[#This Row],[TuoteID]],ohjaus!$A$4:$B$20,2,FALSE)</f>
        <v>Rahi</v>
      </c>
    </row>
    <row r="909" spans="1:8" x14ac:dyDescent="0.35">
      <c r="A909" t="s">
        <v>40</v>
      </c>
      <c r="B909">
        <v>2013</v>
      </c>
      <c r="C909">
        <v>2</v>
      </c>
      <c r="D909">
        <v>17892</v>
      </c>
      <c r="E909">
        <v>96</v>
      </c>
      <c r="F909">
        <v>14390.66</v>
      </c>
      <c r="G909">
        <v>3809.87</v>
      </c>
      <c r="H909" t="str">
        <f>VLOOKUP(myynnit[[#This Row],[TuoteID]],ohjaus!$A$4:$B$20,2,FALSE)</f>
        <v>Lepotuoli</v>
      </c>
    </row>
    <row r="910" spans="1:8" x14ac:dyDescent="0.35">
      <c r="A910" t="s">
        <v>40</v>
      </c>
      <c r="B910">
        <v>2013</v>
      </c>
      <c r="C910">
        <v>2</v>
      </c>
      <c r="D910">
        <v>18342</v>
      </c>
      <c r="E910">
        <v>20</v>
      </c>
      <c r="F910">
        <v>17343.97</v>
      </c>
      <c r="G910">
        <v>4702.3100000000004</v>
      </c>
      <c r="H910" t="str">
        <f>VLOOKUP(myynnit[[#This Row],[TuoteID]],ohjaus!$A$4:$B$20,2,FALSE)</f>
        <v>Työtuoli</v>
      </c>
    </row>
    <row r="911" spans="1:8" x14ac:dyDescent="0.35">
      <c r="A911" t="s">
        <v>40</v>
      </c>
      <c r="B911">
        <v>2013</v>
      </c>
      <c r="C911">
        <v>2</v>
      </c>
      <c r="D911">
        <v>20177</v>
      </c>
      <c r="E911">
        <v>23</v>
      </c>
      <c r="F911">
        <v>2175.14</v>
      </c>
      <c r="G911">
        <v>760.27</v>
      </c>
      <c r="H911" t="str">
        <f>VLOOKUP(myynnit[[#This Row],[TuoteID]],ohjaus!$A$4:$B$20,2,FALSE)</f>
        <v>Säkkituoli</v>
      </c>
    </row>
    <row r="912" spans="1:8" x14ac:dyDescent="0.35">
      <c r="A912" t="s">
        <v>40</v>
      </c>
      <c r="B912">
        <v>2013</v>
      </c>
      <c r="C912">
        <v>2</v>
      </c>
      <c r="D912">
        <v>21179</v>
      </c>
      <c r="E912">
        <v>43</v>
      </c>
      <c r="F912">
        <v>5648.86</v>
      </c>
      <c r="G912">
        <v>3246.64</v>
      </c>
      <c r="H912" t="str">
        <f>VLOOKUP(myynnit[[#This Row],[TuoteID]],ohjaus!$A$4:$B$20,2,FALSE)</f>
        <v>Rahi</v>
      </c>
    </row>
    <row r="913" spans="1:8" x14ac:dyDescent="0.35">
      <c r="A913" t="s">
        <v>40</v>
      </c>
      <c r="B913">
        <v>2013</v>
      </c>
      <c r="C913">
        <v>2</v>
      </c>
      <c r="D913">
        <v>21260</v>
      </c>
      <c r="E913">
        <v>26</v>
      </c>
      <c r="F913">
        <v>5238.97</v>
      </c>
      <c r="G913">
        <v>1091.58</v>
      </c>
      <c r="H913" t="str">
        <f>VLOOKUP(myynnit[[#This Row],[TuoteID]],ohjaus!$A$4:$B$20,2,FALSE)</f>
        <v>Lepotuoli</v>
      </c>
    </row>
    <row r="914" spans="1:8" x14ac:dyDescent="0.35">
      <c r="A914" t="s">
        <v>40</v>
      </c>
      <c r="B914">
        <v>2013</v>
      </c>
      <c r="C914">
        <v>2</v>
      </c>
      <c r="D914">
        <v>22317</v>
      </c>
      <c r="E914">
        <v>18</v>
      </c>
      <c r="F914">
        <v>1342.96</v>
      </c>
      <c r="G914">
        <v>712.36</v>
      </c>
      <c r="H914" t="str">
        <f>VLOOKUP(myynnit[[#This Row],[TuoteID]],ohjaus!$A$4:$B$20,2,FALSE)</f>
        <v>Säkkituoli</v>
      </c>
    </row>
    <row r="915" spans="1:8" x14ac:dyDescent="0.35">
      <c r="A915" t="s">
        <v>40</v>
      </c>
      <c r="B915">
        <v>2013</v>
      </c>
      <c r="C915">
        <v>2</v>
      </c>
      <c r="D915">
        <v>22940</v>
      </c>
      <c r="E915">
        <v>157</v>
      </c>
      <c r="F915">
        <v>20033.240000000002</v>
      </c>
      <c r="G915">
        <v>5818.03</v>
      </c>
      <c r="H915" t="str">
        <f>VLOOKUP(myynnit[[#This Row],[TuoteID]],ohjaus!$A$4:$B$20,2,FALSE)</f>
        <v>Pinnatuoli</v>
      </c>
    </row>
    <row r="916" spans="1:8" x14ac:dyDescent="0.35">
      <c r="A916" t="s">
        <v>40</v>
      </c>
      <c r="B916">
        <v>2013</v>
      </c>
      <c r="C916">
        <v>2</v>
      </c>
      <c r="D916">
        <v>23178</v>
      </c>
      <c r="E916">
        <v>313</v>
      </c>
      <c r="F916">
        <v>52939.46</v>
      </c>
      <c r="G916">
        <v>15056.49</v>
      </c>
      <c r="H916" t="str">
        <f>VLOOKUP(myynnit[[#This Row],[TuoteID]],ohjaus!$A$4:$B$20,2,FALSE)</f>
        <v>Pinnatuoli</v>
      </c>
    </row>
    <row r="917" spans="1:8" x14ac:dyDescent="0.35">
      <c r="A917" t="s">
        <v>40</v>
      </c>
      <c r="B917">
        <v>2013</v>
      </c>
      <c r="C917">
        <v>2</v>
      </c>
      <c r="D917">
        <v>23600</v>
      </c>
      <c r="E917">
        <v>585</v>
      </c>
      <c r="F917">
        <v>68612.740000000005</v>
      </c>
      <c r="G917">
        <v>16327.52</v>
      </c>
      <c r="H917" t="str">
        <f>VLOOKUP(myynnit[[#This Row],[TuoteID]],ohjaus!$A$4:$B$20,2,FALSE)</f>
        <v>Pinnatuoli</v>
      </c>
    </row>
    <row r="918" spans="1:8" x14ac:dyDescent="0.35">
      <c r="A918" t="s">
        <v>40</v>
      </c>
      <c r="B918">
        <v>2013</v>
      </c>
      <c r="C918">
        <v>2</v>
      </c>
      <c r="D918">
        <v>23756</v>
      </c>
      <c r="E918">
        <v>94</v>
      </c>
      <c r="F918">
        <v>15702.34</v>
      </c>
      <c r="G918">
        <v>7638.95</v>
      </c>
      <c r="H918" t="str">
        <f>VLOOKUP(myynnit[[#This Row],[TuoteID]],ohjaus!$A$4:$B$20,2,FALSE)</f>
        <v>Pianotuoli</v>
      </c>
    </row>
    <row r="919" spans="1:8" x14ac:dyDescent="0.35">
      <c r="A919" t="s">
        <v>40</v>
      </c>
      <c r="B919">
        <v>2013</v>
      </c>
      <c r="C919">
        <v>2</v>
      </c>
      <c r="D919">
        <v>24326</v>
      </c>
      <c r="E919">
        <v>33</v>
      </c>
      <c r="F919">
        <v>4162.4399999999996</v>
      </c>
      <c r="G919">
        <v>1353.47</v>
      </c>
      <c r="H919" t="str">
        <f>VLOOKUP(myynnit[[#This Row],[TuoteID]],ohjaus!$A$4:$B$20,2,FALSE)</f>
        <v>Lepotuoli</v>
      </c>
    </row>
    <row r="920" spans="1:8" x14ac:dyDescent="0.35">
      <c r="A920" t="s">
        <v>39</v>
      </c>
      <c r="B920">
        <v>2013</v>
      </c>
      <c r="C920">
        <v>2</v>
      </c>
      <c r="D920">
        <v>12184</v>
      </c>
      <c r="E920">
        <v>48</v>
      </c>
      <c r="F920">
        <v>5591.15</v>
      </c>
      <c r="G920">
        <v>3949.11</v>
      </c>
      <c r="H920" t="str">
        <f>VLOOKUP(myynnit[[#This Row],[TuoteID]],ohjaus!$A$4:$B$20,2,FALSE)</f>
        <v>Rahi</v>
      </c>
    </row>
    <row r="921" spans="1:8" x14ac:dyDescent="0.35">
      <c r="A921" t="s">
        <v>39</v>
      </c>
      <c r="B921">
        <v>2013</v>
      </c>
      <c r="C921">
        <v>2</v>
      </c>
      <c r="D921">
        <v>12622</v>
      </c>
      <c r="E921">
        <v>27</v>
      </c>
      <c r="F921">
        <v>6643.86</v>
      </c>
      <c r="G921">
        <v>3602.3</v>
      </c>
      <c r="H921" t="str">
        <f>VLOOKUP(myynnit[[#This Row],[TuoteID]],ohjaus!$A$4:$B$20,2,FALSE)</f>
        <v>Pianotuoli</v>
      </c>
    </row>
    <row r="922" spans="1:8" x14ac:dyDescent="0.35">
      <c r="A922" t="s">
        <v>39</v>
      </c>
      <c r="B922">
        <v>2013</v>
      </c>
      <c r="C922">
        <v>2</v>
      </c>
      <c r="D922">
        <v>13527</v>
      </c>
      <c r="E922">
        <v>213</v>
      </c>
      <c r="F922">
        <v>34512.85</v>
      </c>
      <c r="G922">
        <v>8046.73</v>
      </c>
      <c r="H922" t="str">
        <f>VLOOKUP(myynnit[[#This Row],[TuoteID]],ohjaus!$A$4:$B$20,2,FALSE)</f>
        <v>Pinnatuoli</v>
      </c>
    </row>
    <row r="923" spans="1:8" x14ac:dyDescent="0.35">
      <c r="A923" t="s">
        <v>39</v>
      </c>
      <c r="B923">
        <v>2013</v>
      </c>
      <c r="C923">
        <v>2</v>
      </c>
      <c r="D923">
        <v>13618</v>
      </c>
      <c r="E923">
        <v>28</v>
      </c>
      <c r="F923">
        <v>13234.01</v>
      </c>
      <c r="G923">
        <v>7083.25</v>
      </c>
      <c r="H923" t="str">
        <f>VLOOKUP(myynnit[[#This Row],[TuoteID]],ohjaus!$A$4:$B$20,2,FALSE)</f>
        <v>Pianotuoli</v>
      </c>
    </row>
    <row r="924" spans="1:8" x14ac:dyDescent="0.35">
      <c r="A924" t="s">
        <v>39</v>
      </c>
      <c r="B924">
        <v>2013</v>
      </c>
      <c r="C924">
        <v>2</v>
      </c>
      <c r="D924">
        <v>16024</v>
      </c>
      <c r="E924">
        <v>229</v>
      </c>
      <c r="F924">
        <v>99289.06</v>
      </c>
      <c r="G924">
        <v>25708.66</v>
      </c>
      <c r="H924" t="str">
        <f>VLOOKUP(myynnit[[#This Row],[TuoteID]],ohjaus!$A$4:$B$20,2,FALSE)</f>
        <v>Työtuoli</v>
      </c>
    </row>
    <row r="925" spans="1:8" x14ac:dyDescent="0.35">
      <c r="A925" t="s">
        <v>39</v>
      </c>
      <c r="B925">
        <v>2013</v>
      </c>
      <c r="C925">
        <v>2</v>
      </c>
      <c r="D925">
        <v>16650</v>
      </c>
      <c r="E925">
        <v>22</v>
      </c>
      <c r="F925">
        <v>4024.75</v>
      </c>
      <c r="G925">
        <v>2941.24</v>
      </c>
      <c r="H925" t="str">
        <f>VLOOKUP(myynnit[[#This Row],[TuoteID]],ohjaus!$A$4:$B$20,2,FALSE)</f>
        <v>Rahi</v>
      </c>
    </row>
    <row r="926" spans="1:8" x14ac:dyDescent="0.35">
      <c r="A926" t="s">
        <v>39</v>
      </c>
      <c r="B926">
        <v>2013</v>
      </c>
      <c r="C926">
        <v>2</v>
      </c>
      <c r="D926">
        <v>17892</v>
      </c>
      <c r="E926">
        <v>77</v>
      </c>
      <c r="F926">
        <v>10163.549999999999</v>
      </c>
      <c r="G926">
        <v>3480.7</v>
      </c>
      <c r="H926" t="str">
        <f>VLOOKUP(myynnit[[#This Row],[TuoteID]],ohjaus!$A$4:$B$20,2,FALSE)</f>
        <v>Lepotuoli</v>
      </c>
    </row>
    <row r="927" spans="1:8" x14ac:dyDescent="0.35">
      <c r="A927" t="s">
        <v>39</v>
      </c>
      <c r="B927">
        <v>2013</v>
      </c>
      <c r="C927">
        <v>2</v>
      </c>
      <c r="D927">
        <v>18342</v>
      </c>
      <c r="E927">
        <v>187</v>
      </c>
      <c r="F927">
        <v>138896.51999999999</v>
      </c>
      <c r="G927">
        <v>37182.11</v>
      </c>
      <c r="H927" t="str">
        <f>VLOOKUP(myynnit[[#This Row],[TuoteID]],ohjaus!$A$4:$B$20,2,FALSE)</f>
        <v>Työtuoli</v>
      </c>
    </row>
    <row r="928" spans="1:8" x14ac:dyDescent="0.35">
      <c r="A928" t="s">
        <v>39</v>
      </c>
      <c r="B928">
        <v>2013</v>
      </c>
      <c r="C928">
        <v>2</v>
      </c>
      <c r="D928">
        <v>20177</v>
      </c>
      <c r="E928">
        <v>64</v>
      </c>
      <c r="F928">
        <v>6906.6</v>
      </c>
      <c r="G928">
        <v>3277.4</v>
      </c>
      <c r="H928" t="str">
        <f>VLOOKUP(myynnit[[#This Row],[TuoteID]],ohjaus!$A$4:$B$20,2,FALSE)</f>
        <v>Säkkituoli</v>
      </c>
    </row>
    <row r="929" spans="1:8" x14ac:dyDescent="0.35">
      <c r="A929" t="s">
        <v>39</v>
      </c>
      <c r="B929">
        <v>2013</v>
      </c>
      <c r="C929">
        <v>2</v>
      </c>
      <c r="D929">
        <v>21179</v>
      </c>
      <c r="E929">
        <v>64</v>
      </c>
      <c r="F929">
        <v>6745.95</v>
      </c>
      <c r="G929">
        <v>4454.8500000000004</v>
      </c>
      <c r="H929" t="str">
        <f>VLOOKUP(myynnit[[#This Row],[TuoteID]],ohjaus!$A$4:$B$20,2,FALSE)</f>
        <v>Rahi</v>
      </c>
    </row>
    <row r="930" spans="1:8" x14ac:dyDescent="0.35">
      <c r="A930" t="s">
        <v>39</v>
      </c>
      <c r="B930">
        <v>2013</v>
      </c>
      <c r="C930">
        <v>2</v>
      </c>
      <c r="D930">
        <v>21260</v>
      </c>
      <c r="E930">
        <v>53</v>
      </c>
      <c r="F930">
        <v>10808.57</v>
      </c>
      <c r="G930">
        <v>3224.92</v>
      </c>
      <c r="H930" t="str">
        <f>VLOOKUP(myynnit[[#This Row],[TuoteID]],ohjaus!$A$4:$B$20,2,FALSE)</f>
        <v>Lepotuoli</v>
      </c>
    </row>
    <row r="931" spans="1:8" x14ac:dyDescent="0.35">
      <c r="A931" t="s">
        <v>39</v>
      </c>
      <c r="B931">
        <v>2013</v>
      </c>
      <c r="C931">
        <v>2</v>
      </c>
      <c r="D931">
        <v>22317</v>
      </c>
      <c r="E931">
        <v>38</v>
      </c>
      <c r="F931">
        <v>2883.81</v>
      </c>
      <c r="G931">
        <v>1336.95</v>
      </c>
      <c r="H931" t="str">
        <f>VLOOKUP(myynnit[[#This Row],[TuoteID]],ohjaus!$A$4:$B$20,2,FALSE)</f>
        <v>Säkkituoli</v>
      </c>
    </row>
    <row r="932" spans="1:8" x14ac:dyDescent="0.35">
      <c r="A932" t="s">
        <v>39</v>
      </c>
      <c r="B932">
        <v>2013</v>
      </c>
      <c r="C932">
        <v>2</v>
      </c>
      <c r="D932">
        <v>22940</v>
      </c>
      <c r="E932">
        <v>730</v>
      </c>
      <c r="F932">
        <v>100093.49</v>
      </c>
      <c r="G932">
        <v>23769.83</v>
      </c>
      <c r="H932" t="str">
        <f>VLOOKUP(myynnit[[#This Row],[TuoteID]],ohjaus!$A$4:$B$20,2,FALSE)</f>
        <v>Pinnatuoli</v>
      </c>
    </row>
    <row r="933" spans="1:8" x14ac:dyDescent="0.35">
      <c r="A933" t="s">
        <v>39</v>
      </c>
      <c r="B933">
        <v>2013</v>
      </c>
      <c r="C933">
        <v>2</v>
      </c>
      <c r="D933">
        <v>23178</v>
      </c>
      <c r="E933">
        <v>129</v>
      </c>
      <c r="F933">
        <v>24157.14</v>
      </c>
      <c r="G933">
        <v>6077.44</v>
      </c>
      <c r="H933" t="str">
        <f>VLOOKUP(myynnit[[#This Row],[TuoteID]],ohjaus!$A$4:$B$20,2,FALSE)</f>
        <v>Pinnatuoli</v>
      </c>
    </row>
    <row r="934" spans="1:8" x14ac:dyDescent="0.35">
      <c r="A934" t="s">
        <v>39</v>
      </c>
      <c r="B934">
        <v>2013</v>
      </c>
      <c r="C934">
        <v>2</v>
      </c>
      <c r="D934">
        <v>23600</v>
      </c>
      <c r="E934">
        <v>1095</v>
      </c>
      <c r="F934">
        <v>135035.23000000001</v>
      </c>
      <c r="G934">
        <v>35831.99</v>
      </c>
      <c r="H934" t="str">
        <f>VLOOKUP(myynnit[[#This Row],[TuoteID]],ohjaus!$A$4:$B$20,2,FALSE)</f>
        <v>Pinnatuoli</v>
      </c>
    </row>
    <row r="935" spans="1:8" x14ac:dyDescent="0.35">
      <c r="A935" t="s">
        <v>39</v>
      </c>
      <c r="B935">
        <v>2013</v>
      </c>
      <c r="C935">
        <v>2</v>
      </c>
      <c r="D935">
        <v>23756</v>
      </c>
      <c r="E935">
        <v>105</v>
      </c>
      <c r="F935">
        <v>20640.810000000001</v>
      </c>
      <c r="G935">
        <v>12419.03</v>
      </c>
      <c r="H935" t="str">
        <f>VLOOKUP(myynnit[[#This Row],[TuoteID]],ohjaus!$A$4:$B$20,2,FALSE)</f>
        <v>Pianotuoli</v>
      </c>
    </row>
    <row r="936" spans="1:8" x14ac:dyDescent="0.35">
      <c r="A936" t="s">
        <v>39</v>
      </c>
      <c r="B936">
        <v>2013</v>
      </c>
      <c r="C936">
        <v>2</v>
      </c>
      <c r="D936">
        <v>24326</v>
      </c>
      <c r="E936">
        <v>70</v>
      </c>
      <c r="F936">
        <v>10088.879999999999</v>
      </c>
      <c r="G936">
        <v>3403.72</v>
      </c>
      <c r="H936" t="str">
        <f>VLOOKUP(myynnit[[#This Row],[TuoteID]],ohjaus!$A$4:$B$20,2,FALSE)</f>
        <v>Lepotuoli</v>
      </c>
    </row>
    <row r="937" spans="1:8" x14ac:dyDescent="0.35">
      <c r="A937" t="s">
        <v>38</v>
      </c>
      <c r="B937">
        <v>2013</v>
      </c>
      <c r="C937">
        <v>2</v>
      </c>
      <c r="D937">
        <v>12184</v>
      </c>
      <c r="E937">
        <v>51</v>
      </c>
      <c r="F937">
        <v>5962.84</v>
      </c>
      <c r="G937">
        <v>3291.01</v>
      </c>
      <c r="H937" t="str">
        <f>VLOOKUP(myynnit[[#This Row],[TuoteID]],ohjaus!$A$4:$B$20,2,FALSE)</f>
        <v>Rahi</v>
      </c>
    </row>
    <row r="938" spans="1:8" x14ac:dyDescent="0.35">
      <c r="A938" t="s">
        <v>38</v>
      </c>
      <c r="B938">
        <v>2013</v>
      </c>
      <c r="C938">
        <v>2</v>
      </c>
      <c r="D938">
        <v>12622</v>
      </c>
      <c r="E938">
        <v>37</v>
      </c>
      <c r="F938">
        <v>8846.2900000000009</v>
      </c>
      <c r="G938">
        <v>4316.22</v>
      </c>
      <c r="H938" t="str">
        <f>VLOOKUP(myynnit[[#This Row],[TuoteID]],ohjaus!$A$4:$B$20,2,FALSE)</f>
        <v>Pianotuoli</v>
      </c>
    </row>
    <row r="939" spans="1:8" x14ac:dyDescent="0.35">
      <c r="A939" t="s">
        <v>38</v>
      </c>
      <c r="B939">
        <v>2013</v>
      </c>
      <c r="C939">
        <v>2</v>
      </c>
      <c r="D939">
        <v>13527</v>
      </c>
      <c r="E939">
        <v>429</v>
      </c>
      <c r="F939">
        <v>73098.240000000005</v>
      </c>
      <c r="G939">
        <v>17663.919999999998</v>
      </c>
      <c r="H939" t="str">
        <f>VLOOKUP(myynnit[[#This Row],[TuoteID]],ohjaus!$A$4:$B$20,2,FALSE)</f>
        <v>Pinnatuoli</v>
      </c>
    </row>
    <row r="940" spans="1:8" x14ac:dyDescent="0.35">
      <c r="A940" t="s">
        <v>38</v>
      </c>
      <c r="B940">
        <v>2013</v>
      </c>
      <c r="C940">
        <v>2</v>
      </c>
      <c r="D940">
        <v>13618</v>
      </c>
      <c r="E940">
        <v>11</v>
      </c>
      <c r="F940">
        <v>4947.42</v>
      </c>
      <c r="G940">
        <v>2262.41</v>
      </c>
      <c r="H940" t="str">
        <f>VLOOKUP(myynnit[[#This Row],[TuoteID]],ohjaus!$A$4:$B$20,2,FALSE)</f>
        <v>Pianotuoli</v>
      </c>
    </row>
    <row r="941" spans="1:8" x14ac:dyDescent="0.35">
      <c r="A941" t="s">
        <v>38</v>
      </c>
      <c r="B941">
        <v>2013</v>
      </c>
      <c r="C941">
        <v>2</v>
      </c>
      <c r="D941">
        <v>16024</v>
      </c>
      <c r="E941">
        <v>145</v>
      </c>
      <c r="F941">
        <v>65482.74</v>
      </c>
      <c r="G941">
        <v>13870.12</v>
      </c>
      <c r="H941" t="str">
        <f>VLOOKUP(myynnit[[#This Row],[TuoteID]],ohjaus!$A$4:$B$20,2,FALSE)</f>
        <v>Työtuoli</v>
      </c>
    </row>
    <row r="942" spans="1:8" x14ac:dyDescent="0.35">
      <c r="A942" t="s">
        <v>38</v>
      </c>
      <c r="B942">
        <v>2013</v>
      </c>
      <c r="C942">
        <v>2</v>
      </c>
      <c r="D942">
        <v>16650</v>
      </c>
      <c r="E942">
        <v>49</v>
      </c>
      <c r="F942">
        <v>6146.49</v>
      </c>
      <c r="G942">
        <v>3715.05</v>
      </c>
      <c r="H942" t="str">
        <f>VLOOKUP(myynnit[[#This Row],[TuoteID]],ohjaus!$A$4:$B$20,2,FALSE)</f>
        <v>Rahi</v>
      </c>
    </row>
    <row r="943" spans="1:8" x14ac:dyDescent="0.35">
      <c r="A943" t="s">
        <v>38</v>
      </c>
      <c r="B943">
        <v>2013</v>
      </c>
      <c r="C943">
        <v>2</v>
      </c>
      <c r="D943">
        <v>17892</v>
      </c>
      <c r="E943">
        <v>104</v>
      </c>
      <c r="F943">
        <v>15684.76</v>
      </c>
      <c r="G943">
        <v>4080.12</v>
      </c>
      <c r="H943" t="str">
        <f>VLOOKUP(myynnit[[#This Row],[TuoteID]],ohjaus!$A$4:$B$20,2,FALSE)</f>
        <v>Lepotuoli</v>
      </c>
    </row>
    <row r="944" spans="1:8" x14ac:dyDescent="0.35">
      <c r="A944" t="s">
        <v>38</v>
      </c>
      <c r="B944">
        <v>2013</v>
      </c>
      <c r="C944">
        <v>2</v>
      </c>
      <c r="D944">
        <v>18342</v>
      </c>
      <c r="E944">
        <v>214</v>
      </c>
      <c r="F944">
        <v>173626.04</v>
      </c>
      <c r="G944">
        <v>47593.87</v>
      </c>
      <c r="H944" t="str">
        <f>VLOOKUP(myynnit[[#This Row],[TuoteID]],ohjaus!$A$4:$B$20,2,FALSE)</f>
        <v>Työtuoli</v>
      </c>
    </row>
    <row r="945" spans="1:8" x14ac:dyDescent="0.35">
      <c r="A945" t="s">
        <v>38</v>
      </c>
      <c r="B945">
        <v>2013</v>
      </c>
      <c r="C945">
        <v>2</v>
      </c>
      <c r="D945">
        <v>20177</v>
      </c>
      <c r="E945">
        <v>69</v>
      </c>
      <c r="F945">
        <v>7645.84</v>
      </c>
      <c r="G945">
        <v>2636.63</v>
      </c>
      <c r="H945" t="str">
        <f>VLOOKUP(myynnit[[#This Row],[TuoteID]],ohjaus!$A$4:$B$20,2,FALSE)</f>
        <v>Säkkituoli</v>
      </c>
    </row>
    <row r="946" spans="1:8" x14ac:dyDescent="0.35">
      <c r="A946" t="s">
        <v>38</v>
      </c>
      <c r="B946">
        <v>2013</v>
      </c>
      <c r="C946">
        <v>2</v>
      </c>
      <c r="D946">
        <v>21179</v>
      </c>
      <c r="E946">
        <v>58</v>
      </c>
      <c r="F946">
        <v>7104.46</v>
      </c>
      <c r="G946">
        <v>3574.08</v>
      </c>
      <c r="H946" t="str">
        <f>VLOOKUP(myynnit[[#This Row],[TuoteID]],ohjaus!$A$4:$B$20,2,FALSE)</f>
        <v>Rahi</v>
      </c>
    </row>
    <row r="947" spans="1:8" x14ac:dyDescent="0.35">
      <c r="A947" t="s">
        <v>38</v>
      </c>
      <c r="B947">
        <v>2013</v>
      </c>
      <c r="C947">
        <v>2</v>
      </c>
      <c r="D947">
        <v>21260</v>
      </c>
      <c r="E947">
        <v>80</v>
      </c>
      <c r="F947">
        <v>15650.1</v>
      </c>
      <c r="G947">
        <v>3884.13</v>
      </c>
      <c r="H947" t="str">
        <f>VLOOKUP(myynnit[[#This Row],[TuoteID]],ohjaus!$A$4:$B$20,2,FALSE)</f>
        <v>Lepotuoli</v>
      </c>
    </row>
    <row r="948" spans="1:8" x14ac:dyDescent="0.35">
      <c r="A948" t="s">
        <v>38</v>
      </c>
      <c r="B948">
        <v>2013</v>
      </c>
      <c r="C948">
        <v>2</v>
      </c>
      <c r="D948">
        <v>22317</v>
      </c>
      <c r="E948">
        <v>61</v>
      </c>
      <c r="F948">
        <v>4830.4399999999996</v>
      </c>
      <c r="G948">
        <v>1637</v>
      </c>
      <c r="H948" t="str">
        <f>VLOOKUP(myynnit[[#This Row],[TuoteID]],ohjaus!$A$4:$B$20,2,FALSE)</f>
        <v>Säkkituoli</v>
      </c>
    </row>
    <row r="949" spans="1:8" x14ac:dyDescent="0.35">
      <c r="A949" t="s">
        <v>38</v>
      </c>
      <c r="B949">
        <v>2013</v>
      </c>
      <c r="C949">
        <v>2</v>
      </c>
      <c r="D949">
        <v>22940</v>
      </c>
      <c r="E949">
        <v>720</v>
      </c>
      <c r="F949">
        <v>98155.17</v>
      </c>
      <c r="G949">
        <v>20155.25</v>
      </c>
      <c r="H949" t="str">
        <f>VLOOKUP(myynnit[[#This Row],[TuoteID]],ohjaus!$A$4:$B$20,2,FALSE)</f>
        <v>Pinnatuoli</v>
      </c>
    </row>
    <row r="950" spans="1:8" x14ac:dyDescent="0.35">
      <c r="A950" t="s">
        <v>38</v>
      </c>
      <c r="B950">
        <v>2013</v>
      </c>
      <c r="C950">
        <v>2</v>
      </c>
      <c r="D950">
        <v>23178</v>
      </c>
      <c r="E950">
        <v>146</v>
      </c>
      <c r="F950">
        <v>26386.45</v>
      </c>
      <c r="G950">
        <v>5219.29</v>
      </c>
      <c r="H950" t="str">
        <f>VLOOKUP(myynnit[[#This Row],[TuoteID]],ohjaus!$A$4:$B$20,2,FALSE)</f>
        <v>Pinnatuoli</v>
      </c>
    </row>
    <row r="951" spans="1:8" x14ac:dyDescent="0.35">
      <c r="A951" t="s">
        <v>38</v>
      </c>
      <c r="B951">
        <v>2013</v>
      </c>
      <c r="C951">
        <v>2</v>
      </c>
      <c r="D951">
        <v>23600</v>
      </c>
      <c r="E951">
        <v>1140</v>
      </c>
      <c r="F951">
        <v>136913.24</v>
      </c>
      <c r="G951">
        <v>29342.39</v>
      </c>
      <c r="H951" t="str">
        <f>VLOOKUP(myynnit[[#This Row],[TuoteID]],ohjaus!$A$4:$B$20,2,FALSE)</f>
        <v>Pinnatuoli</v>
      </c>
    </row>
    <row r="952" spans="1:8" x14ac:dyDescent="0.35">
      <c r="A952" t="s">
        <v>38</v>
      </c>
      <c r="B952">
        <v>2013</v>
      </c>
      <c r="C952">
        <v>2</v>
      </c>
      <c r="D952">
        <v>23756</v>
      </c>
      <c r="E952">
        <v>62</v>
      </c>
      <c r="F952">
        <v>12561.86</v>
      </c>
      <c r="G952">
        <v>6670.64</v>
      </c>
      <c r="H952" t="str">
        <f>VLOOKUP(myynnit[[#This Row],[TuoteID]],ohjaus!$A$4:$B$20,2,FALSE)</f>
        <v>Pianotuoli</v>
      </c>
    </row>
    <row r="953" spans="1:8" x14ac:dyDescent="0.35">
      <c r="A953" t="s">
        <v>38</v>
      </c>
      <c r="B953">
        <v>2013</v>
      </c>
      <c r="C953">
        <v>2</v>
      </c>
      <c r="D953">
        <v>24326</v>
      </c>
      <c r="E953">
        <v>102</v>
      </c>
      <c r="F953">
        <v>12790.49</v>
      </c>
      <c r="G953">
        <v>2810.94</v>
      </c>
      <c r="H953" t="str">
        <f>VLOOKUP(myynnit[[#This Row],[TuoteID]],ohjaus!$A$4:$B$20,2,FALSE)</f>
        <v>Lepotuoli</v>
      </c>
    </row>
    <row r="954" spans="1:8" x14ac:dyDescent="0.35">
      <c r="A954" t="s">
        <v>37</v>
      </c>
      <c r="B954">
        <v>2013</v>
      </c>
      <c r="C954">
        <v>3</v>
      </c>
      <c r="D954">
        <v>12184</v>
      </c>
      <c r="E954">
        <v>72</v>
      </c>
      <c r="F954">
        <v>10358.68</v>
      </c>
      <c r="G954">
        <v>5615.9</v>
      </c>
      <c r="H954" t="str">
        <f>VLOOKUP(myynnit[[#This Row],[TuoteID]],ohjaus!$A$4:$B$20,2,FALSE)</f>
        <v>Rahi</v>
      </c>
    </row>
    <row r="955" spans="1:8" x14ac:dyDescent="0.35">
      <c r="A955" t="s">
        <v>37</v>
      </c>
      <c r="B955">
        <v>2013</v>
      </c>
      <c r="C955">
        <v>3</v>
      </c>
      <c r="D955">
        <v>12622</v>
      </c>
      <c r="E955">
        <v>43</v>
      </c>
      <c r="F955">
        <v>12671.01</v>
      </c>
      <c r="G955">
        <v>6591.65</v>
      </c>
      <c r="H955" t="str">
        <f>VLOOKUP(myynnit[[#This Row],[TuoteID]],ohjaus!$A$4:$B$20,2,FALSE)</f>
        <v>Pianotuoli</v>
      </c>
    </row>
    <row r="956" spans="1:8" x14ac:dyDescent="0.35">
      <c r="A956" t="s">
        <v>37</v>
      </c>
      <c r="B956">
        <v>2013</v>
      </c>
      <c r="C956">
        <v>3</v>
      </c>
      <c r="D956">
        <v>13527</v>
      </c>
      <c r="E956">
        <v>576</v>
      </c>
      <c r="F956">
        <v>84826.2</v>
      </c>
      <c r="G956">
        <v>16209.05</v>
      </c>
      <c r="H956" t="str">
        <f>VLOOKUP(myynnit[[#This Row],[TuoteID]],ohjaus!$A$4:$B$20,2,FALSE)</f>
        <v>Pinnatuoli</v>
      </c>
    </row>
    <row r="957" spans="1:8" x14ac:dyDescent="0.35">
      <c r="A957" t="s">
        <v>37</v>
      </c>
      <c r="B957">
        <v>2013</v>
      </c>
      <c r="C957">
        <v>3</v>
      </c>
      <c r="D957">
        <v>13618</v>
      </c>
      <c r="E957">
        <v>17</v>
      </c>
      <c r="F957">
        <v>6838.28</v>
      </c>
      <c r="G957">
        <v>3535.36</v>
      </c>
      <c r="H957" t="str">
        <f>VLOOKUP(myynnit[[#This Row],[TuoteID]],ohjaus!$A$4:$B$20,2,FALSE)</f>
        <v>Pianotuoli</v>
      </c>
    </row>
    <row r="958" spans="1:8" x14ac:dyDescent="0.35">
      <c r="A958" t="s">
        <v>37</v>
      </c>
      <c r="B958">
        <v>2013</v>
      </c>
      <c r="C958">
        <v>3</v>
      </c>
      <c r="D958">
        <v>16024</v>
      </c>
      <c r="E958">
        <v>293</v>
      </c>
      <c r="F958">
        <v>118702.39999999999</v>
      </c>
      <c r="G958">
        <v>28906.99</v>
      </c>
      <c r="H958" t="str">
        <f>VLOOKUP(myynnit[[#This Row],[TuoteID]],ohjaus!$A$4:$B$20,2,FALSE)</f>
        <v>Työtuoli</v>
      </c>
    </row>
    <row r="959" spans="1:8" x14ac:dyDescent="0.35">
      <c r="A959" t="s">
        <v>37</v>
      </c>
      <c r="B959">
        <v>2013</v>
      </c>
      <c r="C959">
        <v>3</v>
      </c>
      <c r="D959">
        <v>16650</v>
      </c>
      <c r="E959">
        <v>48</v>
      </c>
      <c r="F959">
        <v>6956.37</v>
      </c>
      <c r="G959">
        <v>3286.65</v>
      </c>
      <c r="H959" t="str">
        <f>VLOOKUP(myynnit[[#This Row],[TuoteID]],ohjaus!$A$4:$B$20,2,FALSE)</f>
        <v>Rahi</v>
      </c>
    </row>
    <row r="960" spans="1:8" x14ac:dyDescent="0.35">
      <c r="A960" t="s">
        <v>37</v>
      </c>
      <c r="B960">
        <v>2013</v>
      </c>
      <c r="C960">
        <v>3</v>
      </c>
      <c r="D960">
        <v>17892</v>
      </c>
      <c r="E960">
        <v>153</v>
      </c>
      <c r="F960">
        <v>20400.8</v>
      </c>
      <c r="G960">
        <v>6195.01</v>
      </c>
      <c r="H960" t="str">
        <f>VLOOKUP(myynnit[[#This Row],[TuoteID]],ohjaus!$A$4:$B$20,2,FALSE)</f>
        <v>Lepotuoli</v>
      </c>
    </row>
    <row r="961" spans="1:8" x14ac:dyDescent="0.35">
      <c r="A961" t="s">
        <v>37</v>
      </c>
      <c r="B961">
        <v>2013</v>
      </c>
      <c r="C961">
        <v>3</v>
      </c>
      <c r="D961">
        <v>18342</v>
      </c>
      <c r="E961">
        <v>130</v>
      </c>
      <c r="F961">
        <v>120793.96</v>
      </c>
      <c r="G961">
        <v>34856.49</v>
      </c>
      <c r="H961" t="str">
        <f>VLOOKUP(myynnit[[#This Row],[TuoteID]],ohjaus!$A$4:$B$20,2,FALSE)</f>
        <v>Työtuoli</v>
      </c>
    </row>
    <row r="962" spans="1:8" x14ac:dyDescent="0.35">
      <c r="A962" t="s">
        <v>37</v>
      </c>
      <c r="B962">
        <v>2013</v>
      </c>
      <c r="C962">
        <v>3</v>
      </c>
      <c r="D962">
        <v>20177</v>
      </c>
      <c r="E962">
        <v>84</v>
      </c>
      <c r="F962">
        <v>8866.41</v>
      </c>
      <c r="G962">
        <v>3269.5</v>
      </c>
      <c r="H962" t="str">
        <f>VLOOKUP(myynnit[[#This Row],[TuoteID]],ohjaus!$A$4:$B$20,2,FALSE)</f>
        <v>Säkkituoli</v>
      </c>
    </row>
    <row r="963" spans="1:8" x14ac:dyDescent="0.35">
      <c r="A963" t="s">
        <v>37</v>
      </c>
      <c r="B963">
        <v>2013</v>
      </c>
      <c r="C963">
        <v>3</v>
      </c>
      <c r="D963">
        <v>21179</v>
      </c>
      <c r="E963">
        <v>47</v>
      </c>
      <c r="F963">
        <v>6454.9</v>
      </c>
      <c r="G963">
        <v>2875.88</v>
      </c>
      <c r="H963" t="str">
        <f>VLOOKUP(myynnit[[#This Row],[TuoteID]],ohjaus!$A$4:$B$20,2,FALSE)</f>
        <v>Rahi</v>
      </c>
    </row>
    <row r="964" spans="1:8" x14ac:dyDescent="0.35">
      <c r="A964" t="s">
        <v>37</v>
      </c>
      <c r="B964">
        <v>2013</v>
      </c>
      <c r="C964">
        <v>3</v>
      </c>
      <c r="D964">
        <v>21260</v>
      </c>
      <c r="E964">
        <v>66</v>
      </c>
      <c r="F964">
        <v>13182.32</v>
      </c>
      <c r="G964">
        <v>3730.01</v>
      </c>
      <c r="H964" t="str">
        <f>VLOOKUP(myynnit[[#This Row],[TuoteID]],ohjaus!$A$4:$B$20,2,FALSE)</f>
        <v>Lepotuoli</v>
      </c>
    </row>
    <row r="965" spans="1:8" x14ac:dyDescent="0.35">
      <c r="A965" t="s">
        <v>37</v>
      </c>
      <c r="B965">
        <v>2013</v>
      </c>
      <c r="C965">
        <v>3</v>
      </c>
      <c r="D965">
        <v>22317</v>
      </c>
      <c r="E965">
        <v>84</v>
      </c>
      <c r="F965">
        <v>7428.28</v>
      </c>
      <c r="G965">
        <v>2388.14</v>
      </c>
      <c r="H965" t="str">
        <f>VLOOKUP(myynnit[[#This Row],[TuoteID]],ohjaus!$A$4:$B$20,2,FALSE)</f>
        <v>Säkkituoli</v>
      </c>
    </row>
    <row r="966" spans="1:8" x14ac:dyDescent="0.35">
      <c r="A966" t="s">
        <v>37</v>
      </c>
      <c r="B966">
        <v>2013</v>
      </c>
      <c r="C966">
        <v>3</v>
      </c>
      <c r="D966">
        <v>22940</v>
      </c>
      <c r="E966">
        <v>815</v>
      </c>
      <c r="F966">
        <v>96791.69</v>
      </c>
      <c r="G966">
        <v>20198.490000000002</v>
      </c>
      <c r="H966" t="str">
        <f>VLOOKUP(myynnit[[#This Row],[TuoteID]],ohjaus!$A$4:$B$20,2,FALSE)</f>
        <v>Pinnatuoli</v>
      </c>
    </row>
    <row r="967" spans="1:8" x14ac:dyDescent="0.35">
      <c r="A967" t="s">
        <v>37</v>
      </c>
      <c r="B967">
        <v>2013</v>
      </c>
      <c r="C967">
        <v>3</v>
      </c>
      <c r="D967">
        <v>23178</v>
      </c>
      <c r="E967">
        <v>438</v>
      </c>
      <c r="F967">
        <v>81771.69</v>
      </c>
      <c r="G967">
        <v>13628.87</v>
      </c>
      <c r="H967" t="str">
        <f>VLOOKUP(myynnit[[#This Row],[TuoteID]],ohjaus!$A$4:$B$20,2,FALSE)</f>
        <v>Pinnatuoli</v>
      </c>
    </row>
    <row r="968" spans="1:8" x14ac:dyDescent="0.35">
      <c r="A968" t="s">
        <v>37</v>
      </c>
      <c r="B968">
        <v>2013</v>
      </c>
      <c r="C968">
        <v>3</v>
      </c>
      <c r="D968">
        <v>23600</v>
      </c>
      <c r="E968">
        <v>1092</v>
      </c>
      <c r="F968">
        <v>118222.92</v>
      </c>
      <c r="G968">
        <v>29353.08</v>
      </c>
      <c r="H968" t="str">
        <f>VLOOKUP(myynnit[[#This Row],[TuoteID]],ohjaus!$A$4:$B$20,2,FALSE)</f>
        <v>Pinnatuoli</v>
      </c>
    </row>
    <row r="969" spans="1:8" x14ac:dyDescent="0.35">
      <c r="A969" t="s">
        <v>37</v>
      </c>
      <c r="B969">
        <v>2013</v>
      </c>
      <c r="C969">
        <v>3</v>
      </c>
      <c r="D969">
        <v>23756</v>
      </c>
      <c r="E969">
        <v>139</v>
      </c>
      <c r="F969">
        <v>29615.99</v>
      </c>
      <c r="G969">
        <v>14970.01</v>
      </c>
      <c r="H969" t="str">
        <f>VLOOKUP(myynnit[[#This Row],[TuoteID]],ohjaus!$A$4:$B$20,2,FALSE)</f>
        <v>Pianotuoli</v>
      </c>
    </row>
    <row r="970" spans="1:8" x14ac:dyDescent="0.35">
      <c r="A970" t="s">
        <v>37</v>
      </c>
      <c r="B970">
        <v>2013</v>
      </c>
      <c r="C970">
        <v>3</v>
      </c>
      <c r="D970">
        <v>24326</v>
      </c>
      <c r="E970">
        <v>140</v>
      </c>
      <c r="F970">
        <v>17994.73</v>
      </c>
      <c r="G970">
        <v>4810.0600000000004</v>
      </c>
      <c r="H970" t="str">
        <f>VLOOKUP(myynnit[[#This Row],[TuoteID]],ohjaus!$A$4:$B$20,2,FALSE)</f>
        <v>Lepotuoli</v>
      </c>
    </row>
    <row r="971" spans="1:8" x14ac:dyDescent="0.35">
      <c r="A971" t="s">
        <v>40</v>
      </c>
      <c r="B971">
        <v>2013</v>
      </c>
      <c r="C971">
        <v>3</v>
      </c>
      <c r="D971">
        <v>12184</v>
      </c>
      <c r="E971">
        <v>33</v>
      </c>
      <c r="F971">
        <v>3871.75</v>
      </c>
      <c r="G971">
        <v>2133.77</v>
      </c>
      <c r="H971" t="str">
        <f>VLOOKUP(myynnit[[#This Row],[TuoteID]],ohjaus!$A$4:$B$20,2,FALSE)</f>
        <v>Rahi</v>
      </c>
    </row>
    <row r="972" spans="1:8" x14ac:dyDescent="0.35">
      <c r="A972" t="s">
        <v>40</v>
      </c>
      <c r="B972">
        <v>2013</v>
      </c>
      <c r="C972">
        <v>3</v>
      </c>
      <c r="D972">
        <v>12622</v>
      </c>
      <c r="E972">
        <v>12</v>
      </c>
      <c r="F972">
        <v>3620.46</v>
      </c>
      <c r="G972">
        <v>1714.75</v>
      </c>
      <c r="H972" t="str">
        <f>VLOOKUP(myynnit[[#This Row],[TuoteID]],ohjaus!$A$4:$B$20,2,FALSE)</f>
        <v>Pianotuoli</v>
      </c>
    </row>
    <row r="973" spans="1:8" x14ac:dyDescent="0.35">
      <c r="A973" t="s">
        <v>40</v>
      </c>
      <c r="B973">
        <v>2013</v>
      </c>
      <c r="C973">
        <v>3</v>
      </c>
      <c r="D973">
        <v>13527</v>
      </c>
      <c r="E973">
        <v>199</v>
      </c>
      <c r="F973">
        <v>29708.61</v>
      </c>
      <c r="G973">
        <v>5563.05</v>
      </c>
      <c r="H973" t="str">
        <f>VLOOKUP(myynnit[[#This Row],[TuoteID]],ohjaus!$A$4:$B$20,2,FALSE)</f>
        <v>Pinnatuoli</v>
      </c>
    </row>
    <row r="974" spans="1:8" x14ac:dyDescent="0.35">
      <c r="A974" t="s">
        <v>40</v>
      </c>
      <c r="B974">
        <v>2013</v>
      </c>
      <c r="C974">
        <v>3</v>
      </c>
      <c r="D974">
        <v>13618</v>
      </c>
      <c r="E974">
        <v>5</v>
      </c>
      <c r="F974">
        <v>1655.6</v>
      </c>
      <c r="G974">
        <v>714.72</v>
      </c>
      <c r="H974" t="str">
        <f>VLOOKUP(myynnit[[#This Row],[TuoteID]],ohjaus!$A$4:$B$20,2,FALSE)</f>
        <v>Pianotuoli</v>
      </c>
    </row>
    <row r="975" spans="1:8" x14ac:dyDescent="0.35">
      <c r="A975" t="s">
        <v>40</v>
      </c>
      <c r="B975">
        <v>2013</v>
      </c>
      <c r="C975">
        <v>3</v>
      </c>
      <c r="D975">
        <v>16024</v>
      </c>
      <c r="E975">
        <v>178</v>
      </c>
      <c r="F975">
        <v>71291.820000000007</v>
      </c>
      <c r="G975">
        <v>20989.86</v>
      </c>
      <c r="H975" t="str">
        <f>VLOOKUP(myynnit[[#This Row],[TuoteID]],ohjaus!$A$4:$B$20,2,FALSE)</f>
        <v>Työtuoli</v>
      </c>
    </row>
    <row r="976" spans="1:8" x14ac:dyDescent="0.35">
      <c r="A976" t="s">
        <v>40</v>
      </c>
      <c r="B976">
        <v>2013</v>
      </c>
      <c r="C976">
        <v>3</v>
      </c>
      <c r="D976">
        <v>16650</v>
      </c>
      <c r="E976">
        <v>27</v>
      </c>
      <c r="F976">
        <v>3696.86</v>
      </c>
      <c r="G976">
        <v>2284.71</v>
      </c>
      <c r="H976" t="str">
        <f>VLOOKUP(myynnit[[#This Row],[TuoteID]],ohjaus!$A$4:$B$20,2,FALSE)</f>
        <v>Rahi</v>
      </c>
    </row>
    <row r="977" spans="1:8" x14ac:dyDescent="0.35">
      <c r="A977" t="s">
        <v>40</v>
      </c>
      <c r="B977">
        <v>2013</v>
      </c>
      <c r="C977">
        <v>3</v>
      </c>
      <c r="D977">
        <v>17892</v>
      </c>
      <c r="E977">
        <v>65</v>
      </c>
      <c r="F977">
        <v>9670.16</v>
      </c>
      <c r="G977">
        <v>2427.33</v>
      </c>
      <c r="H977" t="str">
        <f>VLOOKUP(myynnit[[#This Row],[TuoteID]],ohjaus!$A$4:$B$20,2,FALSE)</f>
        <v>Lepotuoli</v>
      </c>
    </row>
    <row r="978" spans="1:8" x14ac:dyDescent="0.35">
      <c r="A978" t="s">
        <v>40</v>
      </c>
      <c r="B978">
        <v>2013</v>
      </c>
      <c r="C978">
        <v>3</v>
      </c>
      <c r="D978">
        <v>18342</v>
      </c>
      <c r="E978">
        <v>20</v>
      </c>
      <c r="F978">
        <v>18680.05</v>
      </c>
      <c r="G978">
        <v>5025.34</v>
      </c>
      <c r="H978" t="str">
        <f>VLOOKUP(myynnit[[#This Row],[TuoteID]],ohjaus!$A$4:$B$20,2,FALSE)</f>
        <v>Työtuoli</v>
      </c>
    </row>
    <row r="979" spans="1:8" x14ac:dyDescent="0.35">
      <c r="A979" t="s">
        <v>40</v>
      </c>
      <c r="B979">
        <v>2013</v>
      </c>
      <c r="C979">
        <v>3</v>
      </c>
      <c r="D979">
        <v>20177</v>
      </c>
      <c r="E979">
        <v>35</v>
      </c>
      <c r="F979">
        <v>3536.66</v>
      </c>
      <c r="G979">
        <v>1416.91</v>
      </c>
      <c r="H979" t="str">
        <f>VLOOKUP(myynnit[[#This Row],[TuoteID]],ohjaus!$A$4:$B$20,2,FALSE)</f>
        <v>Säkkituoli</v>
      </c>
    </row>
    <row r="980" spans="1:8" x14ac:dyDescent="0.35">
      <c r="A980" t="s">
        <v>40</v>
      </c>
      <c r="B980">
        <v>2013</v>
      </c>
      <c r="C980">
        <v>3</v>
      </c>
      <c r="D980">
        <v>21179</v>
      </c>
      <c r="E980">
        <v>27</v>
      </c>
      <c r="F980">
        <v>3902.13</v>
      </c>
      <c r="G980">
        <v>2105.17</v>
      </c>
      <c r="H980" t="str">
        <f>VLOOKUP(myynnit[[#This Row],[TuoteID]],ohjaus!$A$4:$B$20,2,FALSE)</f>
        <v>Rahi</v>
      </c>
    </row>
    <row r="981" spans="1:8" x14ac:dyDescent="0.35">
      <c r="A981" t="s">
        <v>40</v>
      </c>
      <c r="B981">
        <v>2013</v>
      </c>
      <c r="C981">
        <v>3</v>
      </c>
      <c r="D981">
        <v>21260</v>
      </c>
      <c r="E981">
        <v>34</v>
      </c>
      <c r="F981">
        <v>6885.96</v>
      </c>
      <c r="G981">
        <v>1789.76</v>
      </c>
      <c r="H981" t="str">
        <f>VLOOKUP(myynnit[[#This Row],[TuoteID]],ohjaus!$A$4:$B$20,2,FALSE)</f>
        <v>Lepotuoli</v>
      </c>
    </row>
    <row r="982" spans="1:8" x14ac:dyDescent="0.35">
      <c r="A982" t="s">
        <v>40</v>
      </c>
      <c r="B982">
        <v>2013</v>
      </c>
      <c r="C982">
        <v>3</v>
      </c>
      <c r="D982">
        <v>22317</v>
      </c>
      <c r="E982">
        <v>12</v>
      </c>
      <c r="F982">
        <v>1265.7</v>
      </c>
      <c r="G982">
        <v>654.53</v>
      </c>
      <c r="H982" t="str">
        <f>VLOOKUP(myynnit[[#This Row],[TuoteID]],ohjaus!$A$4:$B$20,2,FALSE)</f>
        <v>Säkkituoli</v>
      </c>
    </row>
    <row r="983" spans="1:8" x14ac:dyDescent="0.35">
      <c r="A983" t="s">
        <v>40</v>
      </c>
      <c r="B983">
        <v>2013</v>
      </c>
      <c r="C983">
        <v>3</v>
      </c>
      <c r="D983">
        <v>22940</v>
      </c>
      <c r="E983">
        <v>147</v>
      </c>
      <c r="F983">
        <v>20255.650000000001</v>
      </c>
      <c r="G983">
        <v>4875.75</v>
      </c>
      <c r="H983" t="str">
        <f>VLOOKUP(myynnit[[#This Row],[TuoteID]],ohjaus!$A$4:$B$20,2,FALSE)</f>
        <v>Pinnatuoli</v>
      </c>
    </row>
    <row r="984" spans="1:8" x14ac:dyDescent="0.35">
      <c r="A984" t="s">
        <v>40</v>
      </c>
      <c r="B984">
        <v>2013</v>
      </c>
      <c r="C984">
        <v>3</v>
      </c>
      <c r="D984">
        <v>23178</v>
      </c>
      <c r="E984">
        <v>119</v>
      </c>
      <c r="F984">
        <v>20218.599999999999</v>
      </c>
      <c r="G984">
        <v>5986.51</v>
      </c>
      <c r="H984" t="str">
        <f>VLOOKUP(myynnit[[#This Row],[TuoteID]],ohjaus!$A$4:$B$20,2,FALSE)</f>
        <v>Pinnatuoli</v>
      </c>
    </row>
    <row r="985" spans="1:8" x14ac:dyDescent="0.35">
      <c r="A985" t="s">
        <v>40</v>
      </c>
      <c r="B985">
        <v>2013</v>
      </c>
      <c r="C985">
        <v>3</v>
      </c>
      <c r="D985">
        <v>23600</v>
      </c>
      <c r="E985">
        <v>459</v>
      </c>
      <c r="F985">
        <v>53589.33</v>
      </c>
      <c r="G985">
        <v>14632.04</v>
      </c>
      <c r="H985" t="str">
        <f>VLOOKUP(myynnit[[#This Row],[TuoteID]],ohjaus!$A$4:$B$20,2,FALSE)</f>
        <v>Pinnatuoli</v>
      </c>
    </row>
    <row r="986" spans="1:8" x14ac:dyDescent="0.35">
      <c r="A986" t="s">
        <v>40</v>
      </c>
      <c r="B986">
        <v>2013</v>
      </c>
      <c r="C986">
        <v>3</v>
      </c>
      <c r="D986">
        <v>23756</v>
      </c>
      <c r="E986">
        <v>50</v>
      </c>
      <c r="F986">
        <v>7699.87</v>
      </c>
      <c r="G986">
        <v>2863.79</v>
      </c>
      <c r="H986" t="str">
        <f>VLOOKUP(myynnit[[#This Row],[TuoteID]],ohjaus!$A$4:$B$20,2,FALSE)</f>
        <v>Pianotuoli</v>
      </c>
    </row>
    <row r="987" spans="1:8" x14ac:dyDescent="0.35">
      <c r="A987" t="s">
        <v>40</v>
      </c>
      <c r="B987">
        <v>2013</v>
      </c>
      <c r="C987">
        <v>3</v>
      </c>
      <c r="D987">
        <v>24326</v>
      </c>
      <c r="E987">
        <v>21</v>
      </c>
      <c r="F987">
        <v>2983.8</v>
      </c>
      <c r="G987">
        <v>969.63</v>
      </c>
      <c r="H987" t="str">
        <f>VLOOKUP(myynnit[[#This Row],[TuoteID]],ohjaus!$A$4:$B$20,2,FALSE)</f>
        <v>Lepotuoli</v>
      </c>
    </row>
    <row r="988" spans="1:8" x14ac:dyDescent="0.35">
      <c r="A988" t="s">
        <v>39</v>
      </c>
      <c r="B988">
        <v>2013</v>
      </c>
      <c r="C988">
        <v>3</v>
      </c>
      <c r="D988">
        <v>12184</v>
      </c>
      <c r="E988">
        <v>59</v>
      </c>
      <c r="F988">
        <v>7132.03</v>
      </c>
      <c r="G988">
        <v>5071.6499999999996</v>
      </c>
      <c r="H988" t="str">
        <f>VLOOKUP(myynnit[[#This Row],[TuoteID]],ohjaus!$A$4:$B$20,2,FALSE)</f>
        <v>Rahi</v>
      </c>
    </row>
    <row r="989" spans="1:8" x14ac:dyDescent="0.35">
      <c r="A989" t="s">
        <v>39</v>
      </c>
      <c r="B989">
        <v>2013</v>
      </c>
      <c r="C989">
        <v>3</v>
      </c>
      <c r="D989">
        <v>12622</v>
      </c>
      <c r="E989">
        <v>58</v>
      </c>
      <c r="F989">
        <v>18921.57</v>
      </c>
      <c r="G989">
        <v>9236.16</v>
      </c>
      <c r="H989" t="str">
        <f>VLOOKUP(myynnit[[#This Row],[TuoteID]],ohjaus!$A$4:$B$20,2,FALSE)</f>
        <v>Pianotuoli</v>
      </c>
    </row>
    <row r="990" spans="1:8" x14ac:dyDescent="0.35">
      <c r="A990" t="s">
        <v>39</v>
      </c>
      <c r="B990">
        <v>2013</v>
      </c>
      <c r="C990">
        <v>3</v>
      </c>
      <c r="D990">
        <v>13527</v>
      </c>
      <c r="E990">
        <v>188</v>
      </c>
      <c r="F990">
        <v>31250.32</v>
      </c>
      <c r="G990">
        <v>8756.5300000000007</v>
      </c>
      <c r="H990" t="str">
        <f>VLOOKUP(myynnit[[#This Row],[TuoteID]],ohjaus!$A$4:$B$20,2,FALSE)</f>
        <v>Pinnatuoli</v>
      </c>
    </row>
    <row r="991" spans="1:8" x14ac:dyDescent="0.35">
      <c r="A991" t="s">
        <v>39</v>
      </c>
      <c r="B991">
        <v>2013</v>
      </c>
      <c r="C991">
        <v>3</v>
      </c>
      <c r="D991">
        <v>13618</v>
      </c>
      <c r="E991">
        <v>30</v>
      </c>
      <c r="F991">
        <v>10884.8</v>
      </c>
      <c r="G991">
        <v>5970.49</v>
      </c>
      <c r="H991" t="str">
        <f>VLOOKUP(myynnit[[#This Row],[TuoteID]],ohjaus!$A$4:$B$20,2,FALSE)</f>
        <v>Pianotuoli</v>
      </c>
    </row>
    <row r="992" spans="1:8" x14ac:dyDescent="0.35">
      <c r="A992" t="s">
        <v>39</v>
      </c>
      <c r="B992">
        <v>2013</v>
      </c>
      <c r="C992">
        <v>3</v>
      </c>
      <c r="D992">
        <v>16024</v>
      </c>
      <c r="E992">
        <v>152</v>
      </c>
      <c r="F992">
        <v>68095.539999999994</v>
      </c>
      <c r="G992">
        <v>17569.13</v>
      </c>
      <c r="H992" t="str">
        <f>VLOOKUP(myynnit[[#This Row],[TuoteID]],ohjaus!$A$4:$B$20,2,FALSE)</f>
        <v>Työtuoli</v>
      </c>
    </row>
    <row r="993" spans="1:8" x14ac:dyDescent="0.35">
      <c r="A993" t="s">
        <v>39</v>
      </c>
      <c r="B993">
        <v>2013</v>
      </c>
      <c r="C993">
        <v>3</v>
      </c>
      <c r="D993">
        <v>16650</v>
      </c>
      <c r="E993">
        <v>42</v>
      </c>
      <c r="F993">
        <v>7517.65</v>
      </c>
      <c r="G993">
        <v>5386.6</v>
      </c>
      <c r="H993" t="str">
        <f>VLOOKUP(myynnit[[#This Row],[TuoteID]],ohjaus!$A$4:$B$20,2,FALSE)</f>
        <v>Rahi</v>
      </c>
    </row>
    <row r="994" spans="1:8" x14ac:dyDescent="0.35">
      <c r="A994" t="s">
        <v>39</v>
      </c>
      <c r="B994">
        <v>2013</v>
      </c>
      <c r="C994">
        <v>3</v>
      </c>
      <c r="D994">
        <v>17892</v>
      </c>
      <c r="E994">
        <v>126</v>
      </c>
      <c r="F994">
        <v>16728.55</v>
      </c>
      <c r="G994">
        <v>5682.75</v>
      </c>
      <c r="H994" t="str">
        <f>VLOOKUP(myynnit[[#This Row],[TuoteID]],ohjaus!$A$4:$B$20,2,FALSE)</f>
        <v>Lepotuoli</v>
      </c>
    </row>
    <row r="995" spans="1:8" x14ac:dyDescent="0.35">
      <c r="A995" t="s">
        <v>39</v>
      </c>
      <c r="B995">
        <v>2013</v>
      </c>
      <c r="C995">
        <v>3</v>
      </c>
      <c r="D995">
        <v>18342</v>
      </c>
      <c r="E995">
        <v>98</v>
      </c>
      <c r="F995">
        <v>84941.56</v>
      </c>
      <c r="G995">
        <v>26378.99</v>
      </c>
      <c r="H995" t="str">
        <f>VLOOKUP(myynnit[[#This Row],[TuoteID]],ohjaus!$A$4:$B$20,2,FALSE)</f>
        <v>Työtuoli</v>
      </c>
    </row>
    <row r="996" spans="1:8" x14ac:dyDescent="0.35">
      <c r="A996" t="s">
        <v>39</v>
      </c>
      <c r="B996">
        <v>2013</v>
      </c>
      <c r="C996">
        <v>3</v>
      </c>
      <c r="D996">
        <v>20177</v>
      </c>
      <c r="E996">
        <v>52</v>
      </c>
      <c r="F996">
        <v>4531.88</v>
      </c>
      <c r="G996">
        <v>2091.11</v>
      </c>
      <c r="H996" t="str">
        <f>VLOOKUP(myynnit[[#This Row],[TuoteID]],ohjaus!$A$4:$B$20,2,FALSE)</f>
        <v>Säkkituoli</v>
      </c>
    </row>
    <row r="997" spans="1:8" x14ac:dyDescent="0.35">
      <c r="A997" t="s">
        <v>39</v>
      </c>
      <c r="B997">
        <v>2013</v>
      </c>
      <c r="C997">
        <v>3</v>
      </c>
      <c r="D997">
        <v>21179</v>
      </c>
      <c r="E997">
        <v>64</v>
      </c>
      <c r="F997">
        <v>6489.01</v>
      </c>
      <c r="G997">
        <v>3942.77</v>
      </c>
      <c r="H997" t="str">
        <f>VLOOKUP(myynnit[[#This Row],[TuoteID]],ohjaus!$A$4:$B$20,2,FALSE)</f>
        <v>Rahi</v>
      </c>
    </row>
    <row r="998" spans="1:8" x14ac:dyDescent="0.35">
      <c r="A998" t="s">
        <v>39</v>
      </c>
      <c r="B998">
        <v>2013</v>
      </c>
      <c r="C998">
        <v>3</v>
      </c>
      <c r="D998">
        <v>21260</v>
      </c>
      <c r="E998">
        <v>44</v>
      </c>
      <c r="F998">
        <v>9229.6200000000008</v>
      </c>
      <c r="G998">
        <v>3129.47</v>
      </c>
      <c r="H998" t="str">
        <f>VLOOKUP(myynnit[[#This Row],[TuoteID]],ohjaus!$A$4:$B$20,2,FALSE)</f>
        <v>Lepotuoli</v>
      </c>
    </row>
    <row r="999" spans="1:8" x14ac:dyDescent="0.35">
      <c r="A999" t="s">
        <v>39</v>
      </c>
      <c r="B999">
        <v>2013</v>
      </c>
      <c r="C999">
        <v>3</v>
      </c>
      <c r="D999">
        <v>22317</v>
      </c>
      <c r="E999">
        <v>19</v>
      </c>
      <c r="F999">
        <v>1455.4</v>
      </c>
      <c r="G999">
        <v>733.92</v>
      </c>
      <c r="H999" t="str">
        <f>VLOOKUP(myynnit[[#This Row],[TuoteID]],ohjaus!$A$4:$B$20,2,FALSE)</f>
        <v>Säkkituoli</v>
      </c>
    </row>
    <row r="1000" spans="1:8" x14ac:dyDescent="0.35">
      <c r="A1000" t="s">
        <v>39</v>
      </c>
      <c r="B1000">
        <v>2013</v>
      </c>
      <c r="C1000">
        <v>3</v>
      </c>
      <c r="D1000">
        <v>22940</v>
      </c>
      <c r="E1000">
        <v>578</v>
      </c>
      <c r="F1000">
        <v>81401.570000000007</v>
      </c>
      <c r="G1000">
        <v>22017.759999999998</v>
      </c>
      <c r="H1000" t="str">
        <f>VLOOKUP(myynnit[[#This Row],[TuoteID]],ohjaus!$A$4:$B$20,2,FALSE)</f>
        <v>Pinnatuoli</v>
      </c>
    </row>
    <row r="1001" spans="1:8" x14ac:dyDescent="0.35">
      <c r="A1001" t="s">
        <v>39</v>
      </c>
      <c r="B1001">
        <v>2013</v>
      </c>
      <c r="C1001">
        <v>3</v>
      </c>
      <c r="D1001">
        <v>23178</v>
      </c>
      <c r="E1001">
        <v>134</v>
      </c>
      <c r="F1001">
        <v>23659.78</v>
      </c>
      <c r="G1001">
        <v>6568.42</v>
      </c>
      <c r="H1001" t="str">
        <f>VLOOKUP(myynnit[[#This Row],[TuoteID]],ohjaus!$A$4:$B$20,2,FALSE)</f>
        <v>Pinnatuoli</v>
      </c>
    </row>
    <row r="1002" spans="1:8" x14ac:dyDescent="0.35">
      <c r="A1002" t="s">
        <v>39</v>
      </c>
      <c r="B1002">
        <v>2013</v>
      </c>
      <c r="C1002">
        <v>3</v>
      </c>
      <c r="D1002">
        <v>23600</v>
      </c>
      <c r="E1002">
        <v>911</v>
      </c>
      <c r="F1002">
        <v>97973.05</v>
      </c>
      <c r="G1002">
        <v>28455.74</v>
      </c>
      <c r="H1002" t="str">
        <f>VLOOKUP(myynnit[[#This Row],[TuoteID]],ohjaus!$A$4:$B$20,2,FALSE)</f>
        <v>Pinnatuoli</v>
      </c>
    </row>
    <row r="1003" spans="1:8" x14ac:dyDescent="0.35">
      <c r="A1003" t="s">
        <v>39</v>
      </c>
      <c r="B1003">
        <v>2013</v>
      </c>
      <c r="C1003">
        <v>3</v>
      </c>
      <c r="D1003">
        <v>23756</v>
      </c>
      <c r="E1003">
        <v>61</v>
      </c>
      <c r="F1003">
        <v>9707.99</v>
      </c>
      <c r="G1003">
        <v>4882.91</v>
      </c>
      <c r="H1003" t="str">
        <f>VLOOKUP(myynnit[[#This Row],[TuoteID]],ohjaus!$A$4:$B$20,2,FALSE)</f>
        <v>Pianotuoli</v>
      </c>
    </row>
    <row r="1004" spans="1:8" x14ac:dyDescent="0.35">
      <c r="A1004" t="s">
        <v>39</v>
      </c>
      <c r="B1004">
        <v>2013</v>
      </c>
      <c r="C1004">
        <v>3</v>
      </c>
      <c r="D1004">
        <v>24326</v>
      </c>
      <c r="E1004">
        <v>115</v>
      </c>
      <c r="F1004">
        <v>16694.75</v>
      </c>
      <c r="G1004">
        <v>4718.71</v>
      </c>
      <c r="H1004" t="str">
        <f>VLOOKUP(myynnit[[#This Row],[TuoteID]],ohjaus!$A$4:$B$20,2,FALSE)</f>
        <v>Lepotuoli</v>
      </c>
    </row>
    <row r="1005" spans="1:8" x14ac:dyDescent="0.35">
      <c r="A1005" t="s">
        <v>38</v>
      </c>
      <c r="B1005">
        <v>2013</v>
      </c>
      <c r="C1005">
        <v>3</v>
      </c>
      <c r="D1005">
        <v>12184</v>
      </c>
      <c r="E1005">
        <v>36</v>
      </c>
      <c r="F1005">
        <v>4122.7299999999996</v>
      </c>
      <c r="G1005">
        <v>2045.3</v>
      </c>
      <c r="H1005" t="str">
        <f>VLOOKUP(myynnit[[#This Row],[TuoteID]],ohjaus!$A$4:$B$20,2,FALSE)</f>
        <v>Rahi</v>
      </c>
    </row>
    <row r="1006" spans="1:8" x14ac:dyDescent="0.35">
      <c r="A1006" t="s">
        <v>38</v>
      </c>
      <c r="B1006">
        <v>2013</v>
      </c>
      <c r="C1006">
        <v>3</v>
      </c>
      <c r="D1006">
        <v>12622</v>
      </c>
      <c r="E1006">
        <v>29</v>
      </c>
      <c r="F1006">
        <v>8700.67</v>
      </c>
      <c r="G1006">
        <v>4065.13</v>
      </c>
      <c r="H1006" t="str">
        <f>VLOOKUP(myynnit[[#This Row],[TuoteID]],ohjaus!$A$4:$B$20,2,FALSE)</f>
        <v>Pianotuoli</v>
      </c>
    </row>
    <row r="1007" spans="1:8" x14ac:dyDescent="0.35">
      <c r="A1007" t="s">
        <v>38</v>
      </c>
      <c r="B1007">
        <v>2013</v>
      </c>
      <c r="C1007">
        <v>3</v>
      </c>
      <c r="D1007">
        <v>13527</v>
      </c>
      <c r="E1007">
        <v>295</v>
      </c>
      <c r="F1007">
        <v>46930.36</v>
      </c>
      <c r="G1007">
        <v>10563.74</v>
      </c>
      <c r="H1007" t="str">
        <f>VLOOKUP(myynnit[[#This Row],[TuoteID]],ohjaus!$A$4:$B$20,2,FALSE)</f>
        <v>Pinnatuoli</v>
      </c>
    </row>
    <row r="1008" spans="1:8" x14ac:dyDescent="0.35">
      <c r="A1008" t="s">
        <v>38</v>
      </c>
      <c r="B1008">
        <v>2013</v>
      </c>
      <c r="C1008">
        <v>3</v>
      </c>
      <c r="D1008">
        <v>13618</v>
      </c>
      <c r="E1008">
        <v>9</v>
      </c>
      <c r="F1008">
        <v>3817.35</v>
      </c>
      <c r="G1008">
        <v>1847.23</v>
      </c>
      <c r="H1008" t="str">
        <f>VLOOKUP(myynnit[[#This Row],[TuoteID]],ohjaus!$A$4:$B$20,2,FALSE)</f>
        <v>Pianotuoli</v>
      </c>
    </row>
    <row r="1009" spans="1:8" x14ac:dyDescent="0.35">
      <c r="A1009" t="s">
        <v>38</v>
      </c>
      <c r="B1009">
        <v>2013</v>
      </c>
      <c r="C1009">
        <v>3</v>
      </c>
      <c r="D1009">
        <v>16024</v>
      </c>
      <c r="E1009">
        <v>193</v>
      </c>
      <c r="F1009">
        <v>74481.509999999995</v>
      </c>
      <c r="G1009">
        <v>18626.650000000001</v>
      </c>
      <c r="H1009" t="str">
        <f>VLOOKUP(myynnit[[#This Row],[TuoteID]],ohjaus!$A$4:$B$20,2,FALSE)</f>
        <v>Työtuoli</v>
      </c>
    </row>
    <row r="1010" spans="1:8" x14ac:dyDescent="0.35">
      <c r="A1010" t="s">
        <v>38</v>
      </c>
      <c r="B1010">
        <v>2013</v>
      </c>
      <c r="C1010">
        <v>3</v>
      </c>
      <c r="D1010">
        <v>16650</v>
      </c>
      <c r="E1010">
        <v>32</v>
      </c>
      <c r="F1010">
        <v>4527.97</v>
      </c>
      <c r="G1010">
        <v>2452.6</v>
      </c>
      <c r="H1010" t="str">
        <f>VLOOKUP(myynnit[[#This Row],[TuoteID]],ohjaus!$A$4:$B$20,2,FALSE)</f>
        <v>Rahi</v>
      </c>
    </row>
    <row r="1011" spans="1:8" x14ac:dyDescent="0.35">
      <c r="A1011" t="s">
        <v>38</v>
      </c>
      <c r="B1011">
        <v>2013</v>
      </c>
      <c r="C1011">
        <v>3</v>
      </c>
      <c r="D1011">
        <v>17892</v>
      </c>
      <c r="E1011">
        <v>44</v>
      </c>
      <c r="F1011">
        <v>6232.23</v>
      </c>
      <c r="G1011">
        <v>1515.27</v>
      </c>
      <c r="H1011" t="str">
        <f>VLOOKUP(myynnit[[#This Row],[TuoteID]],ohjaus!$A$4:$B$20,2,FALSE)</f>
        <v>Lepotuoli</v>
      </c>
    </row>
    <row r="1012" spans="1:8" x14ac:dyDescent="0.35">
      <c r="A1012" t="s">
        <v>38</v>
      </c>
      <c r="B1012">
        <v>2013</v>
      </c>
      <c r="C1012">
        <v>3</v>
      </c>
      <c r="D1012">
        <v>18342</v>
      </c>
      <c r="E1012">
        <v>101</v>
      </c>
      <c r="F1012">
        <v>85944.85</v>
      </c>
      <c r="G1012">
        <v>21188.57</v>
      </c>
      <c r="H1012" t="str">
        <f>VLOOKUP(myynnit[[#This Row],[TuoteID]],ohjaus!$A$4:$B$20,2,FALSE)</f>
        <v>Työtuoli</v>
      </c>
    </row>
    <row r="1013" spans="1:8" x14ac:dyDescent="0.35">
      <c r="A1013" t="s">
        <v>38</v>
      </c>
      <c r="B1013">
        <v>2013</v>
      </c>
      <c r="C1013">
        <v>3</v>
      </c>
      <c r="D1013">
        <v>20177</v>
      </c>
      <c r="E1013">
        <v>104</v>
      </c>
      <c r="F1013">
        <v>10001.73</v>
      </c>
      <c r="G1013">
        <v>3599.75</v>
      </c>
      <c r="H1013" t="str">
        <f>VLOOKUP(myynnit[[#This Row],[TuoteID]],ohjaus!$A$4:$B$20,2,FALSE)</f>
        <v>Säkkituoli</v>
      </c>
    </row>
    <row r="1014" spans="1:8" x14ac:dyDescent="0.35">
      <c r="A1014" t="s">
        <v>38</v>
      </c>
      <c r="B1014">
        <v>2013</v>
      </c>
      <c r="C1014">
        <v>3</v>
      </c>
      <c r="D1014">
        <v>21179</v>
      </c>
      <c r="E1014">
        <v>60</v>
      </c>
      <c r="F1014">
        <v>8059.75</v>
      </c>
      <c r="G1014">
        <v>4507.87</v>
      </c>
      <c r="H1014" t="str">
        <f>VLOOKUP(myynnit[[#This Row],[TuoteID]],ohjaus!$A$4:$B$20,2,FALSE)</f>
        <v>Rahi</v>
      </c>
    </row>
    <row r="1015" spans="1:8" x14ac:dyDescent="0.35">
      <c r="A1015" t="s">
        <v>38</v>
      </c>
      <c r="B1015">
        <v>2013</v>
      </c>
      <c r="C1015">
        <v>3</v>
      </c>
      <c r="D1015">
        <v>21260</v>
      </c>
      <c r="E1015">
        <v>67</v>
      </c>
      <c r="F1015">
        <v>11463.41</v>
      </c>
      <c r="G1015">
        <v>3015.56</v>
      </c>
      <c r="H1015" t="str">
        <f>VLOOKUP(myynnit[[#This Row],[TuoteID]],ohjaus!$A$4:$B$20,2,FALSE)</f>
        <v>Lepotuoli</v>
      </c>
    </row>
    <row r="1016" spans="1:8" x14ac:dyDescent="0.35">
      <c r="A1016" t="s">
        <v>38</v>
      </c>
      <c r="B1016">
        <v>2013</v>
      </c>
      <c r="C1016">
        <v>3</v>
      </c>
      <c r="D1016">
        <v>22317</v>
      </c>
      <c r="E1016">
        <v>71</v>
      </c>
      <c r="F1016">
        <v>5652.36</v>
      </c>
      <c r="G1016">
        <v>2427.7800000000002</v>
      </c>
      <c r="H1016" t="str">
        <f>VLOOKUP(myynnit[[#This Row],[TuoteID]],ohjaus!$A$4:$B$20,2,FALSE)</f>
        <v>Säkkituoli</v>
      </c>
    </row>
    <row r="1017" spans="1:8" x14ac:dyDescent="0.35">
      <c r="A1017" t="s">
        <v>38</v>
      </c>
      <c r="B1017">
        <v>2013</v>
      </c>
      <c r="C1017">
        <v>3</v>
      </c>
      <c r="D1017">
        <v>22940</v>
      </c>
      <c r="E1017">
        <v>297</v>
      </c>
      <c r="F1017">
        <v>36603.35</v>
      </c>
      <c r="G1017">
        <v>6637.21</v>
      </c>
      <c r="H1017" t="str">
        <f>VLOOKUP(myynnit[[#This Row],[TuoteID]],ohjaus!$A$4:$B$20,2,FALSE)</f>
        <v>Pinnatuoli</v>
      </c>
    </row>
    <row r="1018" spans="1:8" x14ac:dyDescent="0.35">
      <c r="A1018" t="s">
        <v>38</v>
      </c>
      <c r="B1018">
        <v>2013</v>
      </c>
      <c r="C1018">
        <v>3</v>
      </c>
      <c r="D1018">
        <v>23178</v>
      </c>
      <c r="E1018">
        <v>111</v>
      </c>
      <c r="F1018">
        <v>19762.11</v>
      </c>
      <c r="G1018">
        <v>3720.23</v>
      </c>
      <c r="H1018" t="str">
        <f>VLOOKUP(myynnit[[#This Row],[TuoteID]],ohjaus!$A$4:$B$20,2,FALSE)</f>
        <v>Pinnatuoli</v>
      </c>
    </row>
    <row r="1019" spans="1:8" x14ac:dyDescent="0.35">
      <c r="A1019" t="s">
        <v>38</v>
      </c>
      <c r="B1019">
        <v>2013</v>
      </c>
      <c r="C1019">
        <v>3</v>
      </c>
      <c r="D1019">
        <v>23600</v>
      </c>
      <c r="E1019">
        <v>1086</v>
      </c>
      <c r="F1019">
        <v>125239.4</v>
      </c>
      <c r="G1019">
        <v>30388.77</v>
      </c>
      <c r="H1019" t="str">
        <f>VLOOKUP(myynnit[[#This Row],[TuoteID]],ohjaus!$A$4:$B$20,2,FALSE)</f>
        <v>Pinnatuoli</v>
      </c>
    </row>
    <row r="1020" spans="1:8" x14ac:dyDescent="0.35">
      <c r="A1020" t="s">
        <v>38</v>
      </c>
      <c r="B1020">
        <v>2013</v>
      </c>
      <c r="C1020">
        <v>3</v>
      </c>
      <c r="D1020">
        <v>23756</v>
      </c>
      <c r="E1020">
        <v>144</v>
      </c>
      <c r="F1020">
        <v>29784.080000000002</v>
      </c>
      <c r="G1020">
        <v>14558.38</v>
      </c>
      <c r="H1020" t="str">
        <f>VLOOKUP(myynnit[[#This Row],[TuoteID]],ohjaus!$A$4:$B$20,2,FALSE)</f>
        <v>Pianotuoli</v>
      </c>
    </row>
    <row r="1021" spans="1:8" x14ac:dyDescent="0.35">
      <c r="A1021" t="s">
        <v>38</v>
      </c>
      <c r="B1021">
        <v>2013</v>
      </c>
      <c r="C1021">
        <v>3</v>
      </c>
      <c r="D1021">
        <v>24326</v>
      </c>
      <c r="E1021">
        <v>60</v>
      </c>
      <c r="F1021">
        <v>8829.08</v>
      </c>
      <c r="G1021">
        <v>2076.63</v>
      </c>
      <c r="H1021" t="str">
        <f>VLOOKUP(myynnit[[#This Row],[TuoteID]],ohjaus!$A$4:$B$20,2,FALSE)</f>
        <v>Lepotuoli</v>
      </c>
    </row>
    <row r="1022" spans="1:8" x14ac:dyDescent="0.35">
      <c r="A1022" t="s">
        <v>37</v>
      </c>
      <c r="B1022">
        <v>2013</v>
      </c>
      <c r="C1022">
        <v>4</v>
      </c>
      <c r="D1022">
        <v>12184</v>
      </c>
      <c r="E1022">
        <v>84</v>
      </c>
      <c r="F1022">
        <v>9804.8700000000008</v>
      </c>
      <c r="G1022">
        <v>4347.79</v>
      </c>
      <c r="H1022" t="str">
        <f>VLOOKUP(myynnit[[#This Row],[TuoteID]],ohjaus!$A$4:$B$20,2,FALSE)</f>
        <v>Rahi</v>
      </c>
    </row>
    <row r="1023" spans="1:8" x14ac:dyDescent="0.35">
      <c r="A1023" t="s">
        <v>37</v>
      </c>
      <c r="B1023">
        <v>2013</v>
      </c>
      <c r="C1023">
        <v>4</v>
      </c>
      <c r="D1023">
        <v>12622</v>
      </c>
      <c r="E1023">
        <v>52</v>
      </c>
      <c r="F1023">
        <v>13098.6</v>
      </c>
      <c r="G1023">
        <v>5561.48</v>
      </c>
      <c r="H1023" t="str">
        <f>VLOOKUP(myynnit[[#This Row],[TuoteID]],ohjaus!$A$4:$B$20,2,FALSE)</f>
        <v>Pianotuoli</v>
      </c>
    </row>
    <row r="1024" spans="1:8" x14ac:dyDescent="0.35">
      <c r="A1024" t="s">
        <v>37</v>
      </c>
      <c r="B1024">
        <v>2013</v>
      </c>
      <c r="C1024">
        <v>4</v>
      </c>
      <c r="D1024">
        <v>13527</v>
      </c>
      <c r="E1024">
        <v>510</v>
      </c>
      <c r="F1024">
        <v>85819.24</v>
      </c>
      <c r="G1024">
        <v>13773.96</v>
      </c>
      <c r="H1024" t="str">
        <f>VLOOKUP(myynnit[[#This Row],[TuoteID]],ohjaus!$A$4:$B$20,2,FALSE)</f>
        <v>Pinnatuoli</v>
      </c>
    </row>
    <row r="1025" spans="1:8" x14ac:dyDescent="0.35">
      <c r="A1025" t="s">
        <v>37</v>
      </c>
      <c r="B1025">
        <v>2013</v>
      </c>
      <c r="C1025">
        <v>4</v>
      </c>
      <c r="D1025">
        <v>13618</v>
      </c>
      <c r="E1025">
        <v>24</v>
      </c>
      <c r="F1025">
        <v>9833.7800000000007</v>
      </c>
      <c r="G1025">
        <v>5215.57</v>
      </c>
      <c r="H1025" t="str">
        <f>VLOOKUP(myynnit[[#This Row],[TuoteID]],ohjaus!$A$4:$B$20,2,FALSE)</f>
        <v>Pianotuoli</v>
      </c>
    </row>
    <row r="1026" spans="1:8" x14ac:dyDescent="0.35">
      <c r="A1026" t="s">
        <v>37</v>
      </c>
      <c r="B1026">
        <v>2013</v>
      </c>
      <c r="C1026">
        <v>4</v>
      </c>
      <c r="D1026">
        <v>16024</v>
      </c>
      <c r="E1026">
        <v>280</v>
      </c>
      <c r="F1026">
        <v>106529.8</v>
      </c>
      <c r="G1026">
        <v>28855.55</v>
      </c>
      <c r="H1026" t="str">
        <f>VLOOKUP(myynnit[[#This Row],[TuoteID]],ohjaus!$A$4:$B$20,2,FALSE)</f>
        <v>Työtuoli</v>
      </c>
    </row>
    <row r="1027" spans="1:8" x14ac:dyDescent="0.35">
      <c r="A1027" t="s">
        <v>37</v>
      </c>
      <c r="B1027">
        <v>2013</v>
      </c>
      <c r="C1027">
        <v>4</v>
      </c>
      <c r="D1027">
        <v>16650</v>
      </c>
      <c r="E1027">
        <v>33</v>
      </c>
      <c r="F1027">
        <v>4085.14</v>
      </c>
      <c r="G1027">
        <v>2233.31</v>
      </c>
      <c r="H1027" t="str">
        <f>VLOOKUP(myynnit[[#This Row],[TuoteID]],ohjaus!$A$4:$B$20,2,FALSE)</f>
        <v>Rahi</v>
      </c>
    </row>
    <row r="1028" spans="1:8" x14ac:dyDescent="0.35">
      <c r="A1028" t="s">
        <v>37</v>
      </c>
      <c r="B1028">
        <v>2013</v>
      </c>
      <c r="C1028">
        <v>4</v>
      </c>
      <c r="D1028">
        <v>17892</v>
      </c>
      <c r="E1028">
        <v>191</v>
      </c>
      <c r="F1028">
        <v>23761.74</v>
      </c>
      <c r="G1028">
        <v>6005.95</v>
      </c>
      <c r="H1028" t="str">
        <f>VLOOKUP(myynnit[[#This Row],[TuoteID]],ohjaus!$A$4:$B$20,2,FALSE)</f>
        <v>Lepotuoli</v>
      </c>
    </row>
    <row r="1029" spans="1:8" x14ac:dyDescent="0.35">
      <c r="A1029" t="s">
        <v>37</v>
      </c>
      <c r="B1029">
        <v>2013</v>
      </c>
      <c r="C1029">
        <v>4</v>
      </c>
      <c r="D1029">
        <v>18342</v>
      </c>
      <c r="E1029">
        <v>117</v>
      </c>
      <c r="F1029">
        <v>106478.44</v>
      </c>
      <c r="G1029">
        <v>27871.040000000001</v>
      </c>
      <c r="H1029" t="str">
        <f>VLOOKUP(myynnit[[#This Row],[TuoteID]],ohjaus!$A$4:$B$20,2,FALSE)</f>
        <v>Työtuoli</v>
      </c>
    </row>
    <row r="1030" spans="1:8" x14ac:dyDescent="0.35">
      <c r="A1030" t="s">
        <v>37</v>
      </c>
      <c r="B1030">
        <v>2013</v>
      </c>
      <c r="C1030">
        <v>4</v>
      </c>
      <c r="D1030">
        <v>20177</v>
      </c>
      <c r="E1030">
        <v>134</v>
      </c>
      <c r="F1030">
        <v>15018.2</v>
      </c>
      <c r="G1030">
        <v>5910.73</v>
      </c>
      <c r="H1030" t="str">
        <f>VLOOKUP(myynnit[[#This Row],[TuoteID]],ohjaus!$A$4:$B$20,2,FALSE)</f>
        <v>Säkkituoli</v>
      </c>
    </row>
    <row r="1031" spans="1:8" x14ac:dyDescent="0.35">
      <c r="A1031" t="s">
        <v>37</v>
      </c>
      <c r="B1031">
        <v>2013</v>
      </c>
      <c r="C1031">
        <v>4</v>
      </c>
      <c r="D1031">
        <v>21179</v>
      </c>
      <c r="E1031">
        <v>71</v>
      </c>
      <c r="F1031">
        <v>7649.39</v>
      </c>
      <c r="G1031">
        <v>3689.92</v>
      </c>
      <c r="H1031" t="str">
        <f>VLOOKUP(myynnit[[#This Row],[TuoteID]],ohjaus!$A$4:$B$20,2,FALSE)</f>
        <v>Rahi</v>
      </c>
    </row>
    <row r="1032" spans="1:8" x14ac:dyDescent="0.35">
      <c r="A1032" t="s">
        <v>37</v>
      </c>
      <c r="B1032">
        <v>2013</v>
      </c>
      <c r="C1032">
        <v>4</v>
      </c>
      <c r="D1032">
        <v>21260</v>
      </c>
      <c r="E1032">
        <v>57</v>
      </c>
      <c r="F1032">
        <v>9784.6</v>
      </c>
      <c r="G1032">
        <v>2470.21</v>
      </c>
      <c r="H1032" t="str">
        <f>VLOOKUP(myynnit[[#This Row],[TuoteID]],ohjaus!$A$4:$B$20,2,FALSE)</f>
        <v>Lepotuoli</v>
      </c>
    </row>
    <row r="1033" spans="1:8" x14ac:dyDescent="0.35">
      <c r="A1033" t="s">
        <v>37</v>
      </c>
      <c r="B1033">
        <v>2013</v>
      </c>
      <c r="C1033">
        <v>4</v>
      </c>
      <c r="D1033">
        <v>22317</v>
      </c>
      <c r="E1033">
        <v>62</v>
      </c>
      <c r="F1033">
        <v>5639.95</v>
      </c>
      <c r="G1033">
        <v>1891.17</v>
      </c>
      <c r="H1033" t="str">
        <f>VLOOKUP(myynnit[[#This Row],[TuoteID]],ohjaus!$A$4:$B$20,2,FALSE)</f>
        <v>Säkkituoli</v>
      </c>
    </row>
    <row r="1034" spans="1:8" x14ac:dyDescent="0.35">
      <c r="A1034" t="s">
        <v>37</v>
      </c>
      <c r="B1034">
        <v>2013</v>
      </c>
      <c r="C1034">
        <v>4</v>
      </c>
      <c r="D1034">
        <v>22940</v>
      </c>
      <c r="E1034">
        <v>723</v>
      </c>
      <c r="F1034">
        <v>93465.89</v>
      </c>
      <c r="G1034">
        <v>20442.21</v>
      </c>
      <c r="H1034" t="str">
        <f>VLOOKUP(myynnit[[#This Row],[TuoteID]],ohjaus!$A$4:$B$20,2,FALSE)</f>
        <v>Pinnatuoli</v>
      </c>
    </row>
    <row r="1035" spans="1:8" x14ac:dyDescent="0.35">
      <c r="A1035" t="s">
        <v>37</v>
      </c>
      <c r="B1035">
        <v>2013</v>
      </c>
      <c r="C1035">
        <v>4</v>
      </c>
      <c r="D1035">
        <v>23178</v>
      </c>
      <c r="E1035">
        <v>193</v>
      </c>
      <c r="F1035">
        <v>31234.87</v>
      </c>
      <c r="G1035">
        <v>5688.13</v>
      </c>
      <c r="H1035" t="str">
        <f>VLOOKUP(myynnit[[#This Row],[TuoteID]],ohjaus!$A$4:$B$20,2,FALSE)</f>
        <v>Pinnatuoli</v>
      </c>
    </row>
    <row r="1036" spans="1:8" x14ac:dyDescent="0.35">
      <c r="A1036" t="s">
        <v>37</v>
      </c>
      <c r="B1036">
        <v>2013</v>
      </c>
      <c r="C1036">
        <v>4</v>
      </c>
      <c r="D1036">
        <v>23600</v>
      </c>
      <c r="E1036">
        <v>789</v>
      </c>
      <c r="F1036">
        <v>79370.92</v>
      </c>
      <c r="G1036">
        <v>18835.93</v>
      </c>
      <c r="H1036" t="str">
        <f>VLOOKUP(myynnit[[#This Row],[TuoteID]],ohjaus!$A$4:$B$20,2,FALSE)</f>
        <v>Pinnatuoli</v>
      </c>
    </row>
    <row r="1037" spans="1:8" x14ac:dyDescent="0.35">
      <c r="A1037" t="s">
        <v>37</v>
      </c>
      <c r="B1037">
        <v>2013</v>
      </c>
      <c r="C1037">
        <v>4</v>
      </c>
      <c r="D1037">
        <v>23756</v>
      </c>
      <c r="E1037">
        <v>149</v>
      </c>
      <c r="F1037">
        <v>30186.95</v>
      </c>
      <c r="G1037">
        <v>14835.1</v>
      </c>
      <c r="H1037" t="str">
        <f>VLOOKUP(myynnit[[#This Row],[TuoteID]],ohjaus!$A$4:$B$20,2,FALSE)</f>
        <v>Pianotuoli</v>
      </c>
    </row>
    <row r="1038" spans="1:8" x14ac:dyDescent="0.35">
      <c r="A1038" t="s">
        <v>37</v>
      </c>
      <c r="B1038">
        <v>2013</v>
      </c>
      <c r="C1038">
        <v>4</v>
      </c>
      <c r="D1038">
        <v>24326</v>
      </c>
      <c r="E1038">
        <v>160</v>
      </c>
      <c r="F1038">
        <v>24461.5</v>
      </c>
      <c r="G1038">
        <v>6336.92</v>
      </c>
      <c r="H1038" t="str">
        <f>VLOOKUP(myynnit[[#This Row],[TuoteID]],ohjaus!$A$4:$B$20,2,FALSE)</f>
        <v>Lepotuoli</v>
      </c>
    </row>
    <row r="1039" spans="1:8" x14ac:dyDescent="0.35">
      <c r="A1039" t="s">
        <v>40</v>
      </c>
      <c r="B1039">
        <v>2013</v>
      </c>
      <c r="C1039">
        <v>4</v>
      </c>
      <c r="D1039">
        <v>12184</v>
      </c>
      <c r="E1039">
        <v>31</v>
      </c>
      <c r="F1039">
        <v>3186.42</v>
      </c>
      <c r="G1039">
        <v>1595.11</v>
      </c>
      <c r="H1039" t="str">
        <f>VLOOKUP(myynnit[[#This Row],[TuoteID]],ohjaus!$A$4:$B$20,2,FALSE)</f>
        <v>Rahi</v>
      </c>
    </row>
    <row r="1040" spans="1:8" x14ac:dyDescent="0.35">
      <c r="A1040" t="s">
        <v>40</v>
      </c>
      <c r="B1040">
        <v>2013</v>
      </c>
      <c r="C1040">
        <v>4</v>
      </c>
      <c r="D1040">
        <v>12622</v>
      </c>
      <c r="E1040">
        <v>8</v>
      </c>
      <c r="F1040">
        <v>1780.32</v>
      </c>
      <c r="G1040">
        <v>652.94000000000005</v>
      </c>
      <c r="H1040" t="str">
        <f>VLOOKUP(myynnit[[#This Row],[TuoteID]],ohjaus!$A$4:$B$20,2,FALSE)</f>
        <v>Pianotuoli</v>
      </c>
    </row>
    <row r="1041" spans="1:8" x14ac:dyDescent="0.35">
      <c r="A1041" t="s">
        <v>40</v>
      </c>
      <c r="B1041">
        <v>2013</v>
      </c>
      <c r="C1041">
        <v>4</v>
      </c>
      <c r="D1041">
        <v>13527</v>
      </c>
      <c r="E1041">
        <v>369</v>
      </c>
      <c r="F1041">
        <v>54034.89</v>
      </c>
      <c r="G1041">
        <v>8137.68</v>
      </c>
      <c r="H1041" t="str">
        <f>VLOOKUP(myynnit[[#This Row],[TuoteID]],ohjaus!$A$4:$B$20,2,FALSE)</f>
        <v>Pinnatuoli</v>
      </c>
    </row>
    <row r="1042" spans="1:8" x14ac:dyDescent="0.35">
      <c r="A1042" t="s">
        <v>40</v>
      </c>
      <c r="B1042">
        <v>2013</v>
      </c>
      <c r="C1042">
        <v>4</v>
      </c>
      <c r="D1042">
        <v>13618</v>
      </c>
      <c r="E1042">
        <v>9</v>
      </c>
      <c r="F1042">
        <v>3693.25</v>
      </c>
      <c r="G1042">
        <v>1810.04</v>
      </c>
      <c r="H1042" t="str">
        <f>VLOOKUP(myynnit[[#This Row],[TuoteID]],ohjaus!$A$4:$B$20,2,FALSE)</f>
        <v>Pianotuoli</v>
      </c>
    </row>
    <row r="1043" spans="1:8" x14ac:dyDescent="0.35">
      <c r="A1043" t="s">
        <v>40</v>
      </c>
      <c r="B1043">
        <v>2013</v>
      </c>
      <c r="C1043">
        <v>4</v>
      </c>
      <c r="D1043">
        <v>16024</v>
      </c>
      <c r="E1043">
        <v>187</v>
      </c>
      <c r="F1043">
        <v>85229.43</v>
      </c>
      <c r="G1043">
        <v>27309.56</v>
      </c>
      <c r="H1043" t="str">
        <f>VLOOKUP(myynnit[[#This Row],[TuoteID]],ohjaus!$A$4:$B$20,2,FALSE)</f>
        <v>Työtuoli</v>
      </c>
    </row>
    <row r="1044" spans="1:8" x14ac:dyDescent="0.35">
      <c r="A1044" t="s">
        <v>40</v>
      </c>
      <c r="B1044">
        <v>2013</v>
      </c>
      <c r="C1044">
        <v>4</v>
      </c>
      <c r="D1044">
        <v>16650</v>
      </c>
      <c r="E1044">
        <v>22</v>
      </c>
      <c r="F1044">
        <v>3634.67</v>
      </c>
      <c r="G1044">
        <v>1929.65</v>
      </c>
      <c r="H1044" t="str">
        <f>VLOOKUP(myynnit[[#This Row],[TuoteID]],ohjaus!$A$4:$B$20,2,FALSE)</f>
        <v>Rahi</v>
      </c>
    </row>
    <row r="1045" spans="1:8" x14ac:dyDescent="0.35">
      <c r="A1045" t="s">
        <v>40</v>
      </c>
      <c r="B1045">
        <v>2013</v>
      </c>
      <c r="C1045">
        <v>4</v>
      </c>
      <c r="D1045">
        <v>17892</v>
      </c>
      <c r="E1045">
        <v>110</v>
      </c>
      <c r="F1045">
        <v>16811.95</v>
      </c>
      <c r="G1045">
        <v>3549.47</v>
      </c>
      <c r="H1045" t="str">
        <f>VLOOKUP(myynnit[[#This Row],[TuoteID]],ohjaus!$A$4:$B$20,2,FALSE)</f>
        <v>Lepotuoli</v>
      </c>
    </row>
    <row r="1046" spans="1:8" x14ac:dyDescent="0.35">
      <c r="A1046" t="s">
        <v>40</v>
      </c>
      <c r="B1046">
        <v>2013</v>
      </c>
      <c r="C1046">
        <v>4</v>
      </c>
      <c r="D1046">
        <v>18342</v>
      </c>
      <c r="E1046">
        <v>17</v>
      </c>
      <c r="F1046">
        <v>13260.94</v>
      </c>
      <c r="G1046">
        <v>3837.9</v>
      </c>
      <c r="H1046" t="str">
        <f>VLOOKUP(myynnit[[#This Row],[TuoteID]],ohjaus!$A$4:$B$20,2,FALSE)</f>
        <v>Työtuoli</v>
      </c>
    </row>
    <row r="1047" spans="1:8" x14ac:dyDescent="0.35">
      <c r="A1047" t="s">
        <v>40</v>
      </c>
      <c r="B1047">
        <v>2013</v>
      </c>
      <c r="C1047">
        <v>4</v>
      </c>
      <c r="D1047">
        <v>20177</v>
      </c>
      <c r="E1047">
        <v>23</v>
      </c>
      <c r="F1047">
        <v>2477.0700000000002</v>
      </c>
      <c r="G1047">
        <v>858.98</v>
      </c>
      <c r="H1047" t="str">
        <f>VLOOKUP(myynnit[[#This Row],[TuoteID]],ohjaus!$A$4:$B$20,2,FALSE)</f>
        <v>Säkkituoli</v>
      </c>
    </row>
    <row r="1048" spans="1:8" x14ac:dyDescent="0.35">
      <c r="A1048" t="s">
        <v>40</v>
      </c>
      <c r="B1048">
        <v>2013</v>
      </c>
      <c r="C1048">
        <v>4</v>
      </c>
      <c r="D1048">
        <v>21179</v>
      </c>
      <c r="E1048">
        <v>31</v>
      </c>
      <c r="F1048">
        <v>4458.92</v>
      </c>
      <c r="G1048">
        <v>2633.94</v>
      </c>
      <c r="H1048" t="str">
        <f>VLOOKUP(myynnit[[#This Row],[TuoteID]],ohjaus!$A$4:$B$20,2,FALSE)</f>
        <v>Rahi</v>
      </c>
    </row>
    <row r="1049" spans="1:8" x14ac:dyDescent="0.35">
      <c r="A1049" t="s">
        <v>40</v>
      </c>
      <c r="B1049">
        <v>2013</v>
      </c>
      <c r="C1049">
        <v>4</v>
      </c>
      <c r="D1049">
        <v>21260</v>
      </c>
      <c r="E1049">
        <v>29</v>
      </c>
      <c r="F1049">
        <v>5032.95</v>
      </c>
      <c r="G1049">
        <v>1246.3699999999999</v>
      </c>
      <c r="H1049" t="str">
        <f>VLOOKUP(myynnit[[#This Row],[TuoteID]],ohjaus!$A$4:$B$20,2,FALSE)</f>
        <v>Lepotuoli</v>
      </c>
    </row>
    <row r="1050" spans="1:8" x14ac:dyDescent="0.35">
      <c r="A1050" t="s">
        <v>40</v>
      </c>
      <c r="B1050">
        <v>2013</v>
      </c>
      <c r="C1050">
        <v>4</v>
      </c>
      <c r="D1050">
        <v>22317</v>
      </c>
      <c r="E1050">
        <v>19</v>
      </c>
      <c r="F1050">
        <v>1616.92</v>
      </c>
      <c r="G1050">
        <v>717.63</v>
      </c>
      <c r="H1050" t="str">
        <f>VLOOKUP(myynnit[[#This Row],[TuoteID]],ohjaus!$A$4:$B$20,2,FALSE)</f>
        <v>Säkkituoli</v>
      </c>
    </row>
    <row r="1051" spans="1:8" x14ac:dyDescent="0.35">
      <c r="A1051" t="s">
        <v>40</v>
      </c>
      <c r="B1051">
        <v>2013</v>
      </c>
      <c r="C1051">
        <v>4</v>
      </c>
      <c r="D1051">
        <v>22940</v>
      </c>
      <c r="E1051">
        <v>224</v>
      </c>
      <c r="F1051">
        <v>31390.880000000001</v>
      </c>
      <c r="G1051">
        <v>8924.7199999999993</v>
      </c>
      <c r="H1051" t="str">
        <f>VLOOKUP(myynnit[[#This Row],[TuoteID]],ohjaus!$A$4:$B$20,2,FALSE)</f>
        <v>Pinnatuoli</v>
      </c>
    </row>
    <row r="1052" spans="1:8" x14ac:dyDescent="0.35">
      <c r="A1052" t="s">
        <v>40</v>
      </c>
      <c r="B1052">
        <v>2013</v>
      </c>
      <c r="C1052">
        <v>4</v>
      </c>
      <c r="D1052">
        <v>23178</v>
      </c>
      <c r="E1052">
        <v>330</v>
      </c>
      <c r="F1052">
        <v>57850.95</v>
      </c>
      <c r="G1052">
        <v>12793.52</v>
      </c>
      <c r="H1052" t="str">
        <f>VLOOKUP(myynnit[[#This Row],[TuoteID]],ohjaus!$A$4:$B$20,2,FALSE)</f>
        <v>Pinnatuoli</v>
      </c>
    </row>
    <row r="1053" spans="1:8" x14ac:dyDescent="0.35">
      <c r="A1053" t="s">
        <v>40</v>
      </c>
      <c r="B1053">
        <v>2013</v>
      </c>
      <c r="C1053">
        <v>4</v>
      </c>
      <c r="D1053">
        <v>23600</v>
      </c>
      <c r="E1053">
        <v>429</v>
      </c>
      <c r="F1053">
        <v>44153.120000000003</v>
      </c>
      <c r="G1053">
        <v>12121.43</v>
      </c>
      <c r="H1053" t="str">
        <f>VLOOKUP(myynnit[[#This Row],[TuoteID]],ohjaus!$A$4:$B$20,2,FALSE)</f>
        <v>Pinnatuoli</v>
      </c>
    </row>
    <row r="1054" spans="1:8" x14ac:dyDescent="0.35">
      <c r="A1054" t="s">
        <v>40</v>
      </c>
      <c r="B1054">
        <v>2013</v>
      </c>
      <c r="C1054">
        <v>4</v>
      </c>
      <c r="D1054">
        <v>23756</v>
      </c>
      <c r="E1054">
        <v>73</v>
      </c>
      <c r="F1054">
        <v>14328.62</v>
      </c>
      <c r="G1054">
        <v>6099.86</v>
      </c>
      <c r="H1054" t="str">
        <f>VLOOKUP(myynnit[[#This Row],[TuoteID]],ohjaus!$A$4:$B$20,2,FALSE)</f>
        <v>Pianotuoli</v>
      </c>
    </row>
    <row r="1055" spans="1:8" x14ac:dyDescent="0.35">
      <c r="A1055" t="s">
        <v>40</v>
      </c>
      <c r="B1055">
        <v>2013</v>
      </c>
      <c r="C1055">
        <v>4</v>
      </c>
      <c r="D1055">
        <v>24326</v>
      </c>
      <c r="E1055">
        <v>17</v>
      </c>
      <c r="F1055">
        <v>2490.54</v>
      </c>
      <c r="G1055">
        <v>694.02</v>
      </c>
      <c r="H1055" t="str">
        <f>VLOOKUP(myynnit[[#This Row],[TuoteID]],ohjaus!$A$4:$B$20,2,FALSE)</f>
        <v>Lepotuoli</v>
      </c>
    </row>
    <row r="1056" spans="1:8" x14ac:dyDescent="0.35">
      <c r="A1056" t="s">
        <v>39</v>
      </c>
      <c r="B1056">
        <v>2013</v>
      </c>
      <c r="C1056">
        <v>4</v>
      </c>
      <c r="D1056">
        <v>12184</v>
      </c>
      <c r="E1056">
        <v>83</v>
      </c>
      <c r="F1056">
        <v>12235.27</v>
      </c>
      <c r="G1056">
        <v>7415.44</v>
      </c>
      <c r="H1056" t="str">
        <f>VLOOKUP(myynnit[[#This Row],[TuoteID]],ohjaus!$A$4:$B$20,2,FALSE)</f>
        <v>Rahi</v>
      </c>
    </row>
    <row r="1057" spans="1:8" x14ac:dyDescent="0.35">
      <c r="A1057" t="s">
        <v>39</v>
      </c>
      <c r="B1057">
        <v>2013</v>
      </c>
      <c r="C1057">
        <v>4</v>
      </c>
      <c r="D1057">
        <v>12622</v>
      </c>
      <c r="E1057">
        <v>21</v>
      </c>
      <c r="F1057">
        <v>5002.41</v>
      </c>
      <c r="G1057">
        <v>3220.01</v>
      </c>
      <c r="H1057" t="str">
        <f>VLOOKUP(myynnit[[#This Row],[TuoteID]],ohjaus!$A$4:$B$20,2,FALSE)</f>
        <v>Pianotuoli</v>
      </c>
    </row>
    <row r="1058" spans="1:8" x14ac:dyDescent="0.35">
      <c r="A1058" t="s">
        <v>39</v>
      </c>
      <c r="B1058">
        <v>2013</v>
      </c>
      <c r="C1058">
        <v>4</v>
      </c>
      <c r="D1058">
        <v>13527</v>
      </c>
      <c r="E1058">
        <v>460</v>
      </c>
      <c r="F1058">
        <v>71734.81</v>
      </c>
      <c r="G1058">
        <v>17761.189999999999</v>
      </c>
      <c r="H1058" t="str">
        <f>VLOOKUP(myynnit[[#This Row],[TuoteID]],ohjaus!$A$4:$B$20,2,FALSE)</f>
        <v>Pinnatuoli</v>
      </c>
    </row>
    <row r="1059" spans="1:8" x14ac:dyDescent="0.35">
      <c r="A1059" t="s">
        <v>39</v>
      </c>
      <c r="B1059">
        <v>2013</v>
      </c>
      <c r="C1059">
        <v>4</v>
      </c>
      <c r="D1059">
        <v>13618</v>
      </c>
      <c r="E1059">
        <v>23</v>
      </c>
      <c r="F1059">
        <v>9111.85</v>
      </c>
      <c r="G1059">
        <v>5325.91</v>
      </c>
      <c r="H1059" t="str">
        <f>VLOOKUP(myynnit[[#This Row],[TuoteID]],ohjaus!$A$4:$B$20,2,FALSE)</f>
        <v>Pianotuoli</v>
      </c>
    </row>
    <row r="1060" spans="1:8" x14ac:dyDescent="0.35">
      <c r="A1060" t="s">
        <v>39</v>
      </c>
      <c r="B1060">
        <v>2013</v>
      </c>
      <c r="C1060">
        <v>4</v>
      </c>
      <c r="D1060">
        <v>16024</v>
      </c>
      <c r="E1060">
        <v>128</v>
      </c>
      <c r="F1060">
        <v>61663</v>
      </c>
      <c r="G1060">
        <v>19928.830000000002</v>
      </c>
      <c r="H1060" t="str">
        <f>VLOOKUP(myynnit[[#This Row],[TuoteID]],ohjaus!$A$4:$B$20,2,FALSE)</f>
        <v>Työtuoli</v>
      </c>
    </row>
    <row r="1061" spans="1:8" x14ac:dyDescent="0.35">
      <c r="A1061" t="s">
        <v>39</v>
      </c>
      <c r="B1061">
        <v>2013</v>
      </c>
      <c r="C1061">
        <v>4</v>
      </c>
      <c r="D1061">
        <v>16650</v>
      </c>
      <c r="E1061">
        <v>24</v>
      </c>
      <c r="F1061">
        <v>4491.62</v>
      </c>
      <c r="G1061">
        <v>2606.34</v>
      </c>
      <c r="H1061" t="str">
        <f>VLOOKUP(myynnit[[#This Row],[TuoteID]],ohjaus!$A$4:$B$20,2,FALSE)</f>
        <v>Rahi</v>
      </c>
    </row>
    <row r="1062" spans="1:8" x14ac:dyDescent="0.35">
      <c r="A1062" t="s">
        <v>39</v>
      </c>
      <c r="B1062">
        <v>2013</v>
      </c>
      <c r="C1062">
        <v>4</v>
      </c>
      <c r="D1062">
        <v>17892</v>
      </c>
      <c r="E1062">
        <v>132</v>
      </c>
      <c r="F1062">
        <v>16966.5</v>
      </c>
      <c r="G1062">
        <v>4811.03</v>
      </c>
      <c r="H1062" t="str">
        <f>VLOOKUP(myynnit[[#This Row],[TuoteID]],ohjaus!$A$4:$B$20,2,FALSE)</f>
        <v>Lepotuoli</v>
      </c>
    </row>
    <row r="1063" spans="1:8" x14ac:dyDescent="0.35">
      <c r="A1063" t="s">
        <v>39</v>
      </c>
      <c r="B1063">
        <v>2013</v>
      </c>
      <c r="C1063">
        <v>4</v>
      </c>
      <c r="D1063">
        <v>18342</v>
      </c>
      <c r="E1063">
        <v>125</v>
      </c>
      <c r="F1063">
        <v>106503.69</v>
      </c>
      <c r="G1063">
        <v>26688.89</v>
      </c>
      <c r="H1063" t="str">
        <f>VLOOKUP(myynnit[[#This Row],[TuoteID]],ohjaus!$A$4:$B$20,2,FALSE)</f>
        <v>Työtuoli</v>
      </c>
    </row>
    <row r="1064" spans="1:8" x14ac:dyDescent="0.35">
      <c r="A1064" t="s">
        <v>39</v>
      </c>
      <c r="B1064">
        <v>2013</v>
      </c>
      <c r="C1064">
        <v>4</v>
      </c>
      <c r="D1064">
        <v>20177</v>
      </c>
      <c r="E1064">
        <v>64</v>
      </c>
      <c r="F1064">
        <v>6784.93</v>
      </c>
      <c r="G1064">
        <v>3105.95</v>
      </c>
      <c r="H1064" t="str">
        <f>VLOOKUP(myynnit[[#This Row],[TuoteID]],ohjaus!$A$4:$B$20,2,FALSE)</f>
        <v>Säkkituoli</v>
      </c>
    </row>
    <row r="1065" spans="1:8" x14ac:dyDescent="0.35">
      <c r="A1065" t="s">
        <v>39</v>
      </c>
      <c r="B1065">
        <v>2013</v>
      </c>
      <c r="C1065">
        <v>4</v>
      </c>
      <c r="D1065">
        <v>21179</v>
      </c>
      <c r="E1065">
        <v>69</v>
      </c>
      <c r="F1065">
        <v>10026.01</v>
      </c>
      <c r="G1065">
        <v>6158.75</v>
      </c>
      <c r="H1065" t="str">
        <f>VLOOKUP(myynnit[[#This Row],[TuoteID]],ohjaus!$A$4:$B$20,2,FALSE)</f>
        <v>Rahi</v>
      </c>
    </row>
    <row r="1066" spans="1:8" x14ac:dyDescent="0.35">
      <c r="A1066" t="s">
        <v>39</v>
      </c>
      <c r="B1066">
        <v>2013</v>
      </c>
      <c r="C1066">
        <v>4</v>
      </c>
      <c r="D1066">
        <v>21260</v>
      </c>
      <c r="E1066">
        <v>43</v>
      </c>
      <c r="F1066">
        <v>8046.98</v>
      </c>
      <c r="G1066">
        <v>2844.94</v>
      </c>
      <c r="H1066" t="str">
        <f>VLOOKUP(myynnit[[#This Row],[TuoteID]],ohjaus!$A$4:$B$20,2,FALSE)</f>
        <v>Lepotuoli</v>
      </c>
    </row>
    <row r="1067" spans="1:8" x14ac:dyDescent="0.35">
      <c r="A1067" t="s">
        <v>39</v>
      </c>
      <c r="B1067">
        <v>2013</v>
      </c>
      <c r="C1067">
        <v>4</v>
      </c>
      <c r="D1067">
        <v>22317</v>
      </c>
      <c r="E1067">
        <v>41</v>
      </c>
      <c r="F1067">
        <v>3975.83</v>
      </c>
      <c r="G1067">
        <v>1586.65</v>
      </c>
      <c r="H1067" t="str">
        <f>VLOOKUP(myynnit[[#This Row],[TuoteID]],ohjaus!$A$4:$B$20,2,FALSE)</f>
        <v>Säkkituoli</v>
      </c>
    </row>
    <row r="1068" spans="1:8" x14ac:dyDescent="0.35">
      <c r="A1068" t="s">
        <v>39</v>
      </c>
      <c r="B1068">
        <v>2013</v>
      </c>
      <c r="C1068">
        <v>4</v>
      </c>
      <c r="D1068">
        <v>22940</v>
      </c>
      <c r="E1068">
        <v>524</v>
      </c>
      <c r="F1068">
        <v>66364.19</v>
      </c>
      <c r="G1068">
        <v>16232.24</v>
      </c>
      <c r="H1068" t="str">
        <f>VLOOKUP(myynnit[[#This Row],[TuoteID]],ohjaus!$A$4:$B$20,2,FALSE)</f>
        <v>Pinnatuoli</v>
      </c>
    </row>
    <row r="1069" spans="1:8" x14ac:dyDescent="0.35">
      <c r="A1069" t="s">
        <v>39</v>
      </c>
      <c r="B1069">
        <v>2013</v>
      </c>
      <c r="C1069">
        <v>4</v>
      </c>
      <c r="D1069">
        <v>23178</v>
      </c>
      <c r="E1069">
        <v>164</v>
      </c>
      <c r="F1069">
        <v>27040.18</v>
      </c>
      <c r="G1069">
        <v>7134.13</v>
      </c>
      <c r="H1069" t="str">
        <f>VLOOKUP(myynnit[[#This Row],[TuoteID]],ohjaus!$A$4:$B$20,2,FALSE)</f>
        <v>Pinnatuoli</v>
      </c>
    </row>
    <row r="1070" spans="1:8" x14ac:dyDescent="0.35">
      <c r="A1070" t="s">
        <v>39</v>
      </c>
      <c r="B1070">
        <v>2013</v>
      </c>
      <c r="C1070">
        <v>4</v>
      </c>
      <c r="D1070">
        <v>23600</v>
      </c>
      <c r="E1070">
        <v>764</v>
      </c>
      <c r="F1070">
        <v>92424.25</v>
      </c>
      <c r="G1070">
        <v>25251.32</v>
      </c>
      <c r="H1070" t="str">
        <f>VLOOKUP(myynnit[[#This Row],[TuoteID]],ohjaus!$A$4:$B$20,2,FALSE)</f>
        <v>Pinnatuoli</v>
      </c>
    </row>
    <row r="1071" spans="1:8" x14ac:dyDescent="0.35">
      <c r="A1071" t="s">
        <v>39</v>
      </c>
      <c r="B1071">
        <v>2013</v>
      </c>
      <c r="C1071">
        <v>4</v>
      </c>
      <c r="D1071">
        <v>23756</v>
      </c>
      <c r="E1071">
        <v>58</v>
      </c>
      <c r="F1071">
        <v>9165.74</v>
      </c>
      <c r="G1071">
        <v>5673</v>
      </c>
      <c r="H1071" t="str">
        <f>VLOOKUP(myynnit[[#This Row],[TuoteID]],ohjaus!$A$4:$B$20,2,FALSE)</f>
        <v>Pianotuoli</v>
      </c>
    </row>
    <row r="1072" spans="1:8" x14ac:dyDescent="0.35">
      <c r="A1072" t="s">
        <v>39</v>
      </c>
      <c r="B1072">
        <v>2013</v>
      </c>
      <c r="C1072">
        <v>4</v>
      </c>
      <c r="D1072">
        <v>24326</v>
      </c>
      <c r="E1072">
        <v>131</v>
      </c>
      <c r="F1072">
        <v>18479.080000000002</v>
      </c>
      <c r="G1072">
        <v>5432.92</v>
      </c>
      <c r="H1072" t="str">
        <f>VLOOKUP(myynnit[[#This Row],[TuoteID]],ohjaus!$A$4:$B$20,2,FALSE)</f>
        <v>Lepotuoli</v>
      </c>
    </row>
    <row r="1073" spans="1:8" x14ac:dyDescent="0.35">
      <c r="A1073" t="s">
        <v>38</v>
      </c>
      <c r="B1073">
        <v>2013</v>
      </c>
      <c r="C1073">
        <v>4</v>
      </c>
      <c r="D1073">
        <v>12184</v>
      </c>
      <c r="E1073">
        <v>91</v>
      </c>
      <c r="F1073">
        <v>12390.32</v>
      </c>
      <c r="G1073">
        <v>8005.77</v>
      </c>
      <c r="H1073" t="str">
        <f>VLOOKUP(myynnit[[#This Row],[TuoteID]],ohjaus!$A$4:$B$20,2,FALSE)</f>
        <v>Rahi</v>
      </c>
    </row>
    <row r="1074" spans="1:8" x14ac:dyDescent="0.35">
      <c r="A1074" t="s">
        <v>38</v>
      </c>
      <c r="B1074">
        <v>2013</v>
      </c>
      <c r="C1074">
        <v>4</v>
      </c>
      <c r="D1074">
        <v>12622</v>
      </c>
      <c r="E1074">
        <v>47</v>
      </c>
      <c r="F1074">
        <v>12749.34</v>
      </c>
      <c r="G1074">
        <v>5790.77</v>
      </c>
      <c r="H1074" t="str">
        <f>VLOOKUP(myynnit[[#This Row],[TuoteID]],ohjaus!$A$4:$B$20,2,FALSE)</f>
        <v>Pianotuoli</v>
      </c>
    </row>
    <row r="1075" spans="1:8" x14ac:dyDescent="0.35">
      <c r="A1075" t="s">
        <v>38</v>
      </c>
      <c r="B1075">
        <v>2013</v>
      </c>
      <c r="C1075">
        <v>4</v>
      </c>
      <c r="D1075">
        <v>13527</v>
      </c>
      <c r="E1075">
        <v>628</v>
      </c>
      <c r="F1075">
        <v>99756.7</v>
      </c>
      <c r="G1075">
        <v>21711.15</v>
      </c>
      <c r="H1075" t="str">
        <f>VLOOKUP(myynnit[[#This Row],[TuoteID]],ohjaus!$A$4:$B$20,2,FALSE)</f>
        <v>Pinnatuoli</v>
      </c>
    </row>
    <row r="1076" spans="1:8" x14ac:dyDescent="0.35">
      <c r="A1076" t="s">
        <v>38</v>
      </c>
      <c r="B1076">
        <v>2013</v>
      </c>
      <c r="C1076">
        <v>4</v>
      </c>
      <c r="D1076">
        <v>13618</v>
      </c>
      <c r="E1076">
        <v>12</v>
      </c>
      <c r="F1076">
        <v>4808.49</v>
      </c>
      <c r="G1076">
        <v>2394.88</v>
      </c>
      <c r="H1076" t="str">
        <f>VLOOKUP(myynnit[[#This Row],[TuoteID]],ohjaus!$A$4:$B$20,2,FALSE)</f>
        <v>Pianotuoli</v>
      </c>
    </row>
    <row r="1077" spans="1:8" x14ac:dyDescent="0.35">
      <c r="A1077" t="s">
        <v>38</v>
      </c>
      <c r="B1077">
        <v>2013</v>
      </c>
      <c r="C1077">
        <v>4</v>
      </c>
      <c r="D1077">
        <v>16024</v>
      </c>
      <c r="E1077">
        <v>242</v>
      </c>
      <c r="F1077">
        <v>106349.51</v>
      </c>
      <c r="G1077">
        <v>29736.45</v>
      </c>
      <c r="H1077" t="str">
        <f>VLOOKUP(myynnit[[#This Row],[TuoteID]],ohjaus!$A$4:$B$20,2,FALSE)</f>
        <v>Työtuoli</v>
      </c>
    </row>
    <row r="1078" spans="1:8" x14ac:dyDescent="0.35">
      <c r="A1078" t="s">
        <v>38</v>
      </c>
      <c r="B1078">
        <v>2013</v>
      </c>
      <c r="C1078">
        <v>4</v>
      </c>
      <c r="D1078">
        <v>16650</v>
      </c>
      <c r="E1078">
        <v>38</v>
      </c>
      <c r="F1078">
        <v>5087.8500000000004</v>
      </c>
      <c r="G1078">
        <v>2934.9</v>
      </c>
      <c r="H1078" t="str">
        <f>VLOOKUP(myynnit[[#This Row],[TuoteID]],ohjaus!$A$4:$B$20,2,FALSE)</f>
        <v>Rahi</v>
      </c>
    </row>
    <row r="1079" spans="1:8" x14ac:dyDescent="0.35">
      <c r="A1079" t="s">
        <v>38</v>
      </c>
      <c r="B1079">
        <v>2013</v>
      </c>
      <c r="C1079">
        <v>4</v>
      </c>
      <c r="D1079">
        <v>17892</v>
      </c>
      <c r="E1079">
        <v>73</v>
      </c>
      <c r="F1079">
        <v>9575.26</v>
      </c>
      <c r="G1079">
        <v>2652.26</v>
      </c>
      <c r="H1079" t="str">
        <f>VLOOKUP(myynnit[[#This Row],[TuoteID]],ohjaus!$A$4:$B$20,2,FALSE)</f>
        <v>Lepotuoli</v>
      </c>
    </row>
    <row r="1080" spans="1:8" x14ac:dyDescent="0.35">
      <c r="A1080" t="s">
        <v>38</v>
      </c>
      <c r="B1080">
        <v>2013</v>
      </c>
      <c r="C1080">
        <v>4</v>
      </c>
      <c r="D1080">
        <v>18342</v>
      </c>
      <c r="E1080">
        <v>214</v>
      </c>
      <c r="F1080">
        <v>164376.14000000001</v>
      </c>
      <c r="G1080">
        <v>36841.46</v>
      </c>
      <c r="H1080" t="str">
        <f>VLOOKUP(myynnit[[#This Row],[TuoteID]],ohjaus!$A$4:$B$20,2,FALSE)</f>
        <v>Työtuoli</v>
      </c>
    </row>
    <row r="1081" spans="1:8" x14ac:dyDescent="0.35">
      <c r="A1081" t="s">
        <v>38</v>
      </c>
      <c r="B1081">
        <v>2013</v>
      </c>
      <c r="C1081">
        <v>4</v>
      </c>
      <c r="D1081">
        <v>20177</v>
      </c>
      <c r="E1081">
        <v>71</v>
      </c>
      <c r="F1081">
        <v>7873.64</v>
      </c>
      <c r="G1081">
        <v>3429.73</v>
      </c>
      <c r="H1081" t="str">
        <f>VLOOKUP(myynnit[[#This Row],[TuoteID]],ohjaus!$A$4:$B$20,2,FALSE)</f>
        <v>Säkkituoli</v>
      </c>
    </row>
    <row r="1082" spans="1:8" x14ac:dyDescent="0.35">
      <c r="A1082" t="s">
        <v>38</v>
      </c>
      <c r="B1082">
        <v>2013</v>
      </c>
      <c r="C1082">
        <v>4</v>
      </c>
      <c r="D1082">
        <v>21179</v>
      </c>
      <c r="E1082">
        <v>58</v>
      </c>
      <c r="F1082">
        <v>7881.77</v>
      </c>
      <c r="G1082">
        <v>5038.6899999999996</v>
      </c>
      <c r="H1082" t="str">
        <f>VLOOKUP(myynnit[[#This Row],[TuoteID]],ohjaus!$A$4:$B$20,2,FALSE)</f>
        <v>Rahi</v>
      </c>
    </row>
    <row r="1083" spans="1:8" x14ac:dyDescent="0.35">
      <c r="A1083" t="s">
        <v>38</v>
      </c>
      <c r="B1083">
        <v>2013</v>
      </c>
      <c r="C1083">
        <v>4</v>
      </c>
      <c r="D1083">
        <v>21260</v>
      </c>
      <c r="E1083">
        <v>47</v>
      </c>
      <c r="F1083">
        <v>8075.46</v>
      </c>
      <c r="G1083">
        <v>2171.77</v>
      </c>
      <c r="H1083" t="str">
        <f>VLOOKUP(myynnit[[#This Row],[TuoteID]],ohjaus!$A$4:$B$20,2,FALSE)</f>
        <v>Lepotuoli</v>
      </c>
    </row>
    <row r="1084" spans="1:8" x14ac:dyDescent="0.35">
      <c r="A1084" t="s">
        <v>38</v>
      </c>
      <c r="B1084">
        <v>2013</v>
      </c>
      <c r="C1084">
        <v>4</v>
      </c>
      <c r="D1084">
        <v>22317</v>
      </c>
      <c r="E1084">
        <v>82</v>
      </c>
      <c r="F1084">
        <v>8014.94</v>
      </c>
      <c r="G1084">
        <v>3371.18</v>
      </c>
      <c r="H1084" t="str">
        <f>VLOOKUP(myynnit[[#This Row],[TuoteID]],ohjaus!$A$4:$B$20,2,FALSE)</f>
        <v>Säkkituoli</v>
      </c>
    </row>
    <row r="1085" spans="1:8" x14ac:dyDescent="0.35">
      <c r="A1085" t="s">
        <v>38</v>
      </c>
      <c r="B1085">
        <v>2013</v>
      </c>
      <c r="C1085">
        <v>4</v>
      </c>
      <c r="D1085">
        <v>22940</v>
      </c>
      <c r="E1085">
        <v>394</v>
      </c>
      <c r="F1085">
        <v>54091.58</v>
      </c>
      <c r="G1085">
        <v>12206.44</v>
      </c>
      <c r="H1085" t="str">
        <f>VLOOKUP(myynnit[[#This Row],[TuoteID]],ohjaus!$A$4:$B$20,2,FALSE)</f>
        <v>Pinnatuoli</v>
      </c>
    </row>
    <row r="1086" spans="1:8" x14ac:dyDescent="0.35">
      <c r="A1086" t="s">
        <v>38</v>
      </c>
      <c r="B1086">
        <v>2013</v>
      </c>
      <c r="C1086">
        <v>4</v>
      </c>
      <c r="D1086">
        <v>23178</v>
      </c>
      <c r="E1086">
        <v>189</v>
      </c>
      <c r="F1086">
        <v>34830.949999999997</v>
      </c>
      <c r="G1086">
        <v>7696.48</v>
      </c>
      <c r="H1086" t="str">
        <f>VLOOKUP(myynnit[[#This Row],[TuoteID]],ohjaus!$A$4:$B$20,2,FALSE)</f>
        <v>Pinnatuoli</v>
      </c>
    </row>
    <row r="1087" spans="1:8" x14ac:dyDescent="0.35">
      <c r="A1087" t="s">
        <v>38</v>
      </c>
      <c r="B1087">
        <v>2013</v>
      </c>
      <c r="C1087">
        <v>4</v>
      </c>
      <c r="D1087">
        <v>23600</v>
      </c>
      <c r="E1087">
        <v>1243</v>
      </c>
      <c r="F1087">
        <v>132298.46</v>
      </c>
      <c r="G1087">
        <v>29758.65</v>
      </c>
      <c r="H1087" t="str">
        <f>VLOOKUP(myynnit[[#This Row],[TuoteID]],ohjaus!$A$4:$B$20,2,FALSE)</f>
        <v>Pinnatuoli</v>
      </c>
    </row>
    <row r="1088" spans="1:8" x14ac:dyDescent="0.35">
      <c r="A1088" t="s">
        <v>38</v>
      </c>
      <c r="B1088">
        <v>2013</v>
      </c>
      <c r="C1088">
        <v>4</v>
      </c>
      <c r="D1088">
        <v>23756</v>
      </c>
      <c r="E1088">
        <v>96</v>
      </c>
      <c r="F1088">
        <v>18969.73</v>
      </c>
      <c r="G1088">
        <v>9480.5300000000007</v>
      </c>
      <c r="H1088" t="str">
        <f>VLOOKUP(myynnit[[#This Row],[TuoteID]],ohjaus!$A$4:$B$20,2,FALSE)</f>
        <v>Pianotuoli</v>
      </c>
    </row>
    <row r="1089" spans="1:8" x14ac:dyDescent="0.35">
      <c r="A1089" t="s">
        <v>38</v>
      </c>
      <c r="B1089">
        <v>2013</v>
      </c>
      <c r="C1089">
        <v>4</v>
      </c>
      <c r="D1089">
        <v>24326</v>
      </c>
      <c r="E1089">
        <v>56</v>
      </c>
      <c r="F1089">
        <v>8524</v>
      </c>
      <c r="G1089">
        <v>2286.7399999999998</v>
      </c>
      <c r="H1089" t="str">
        <f>VLOOKUP(myynnit[[#This Row],[TuoteID]],ohjaus!$A$4:$B$20,2,FALSE)</f>
        <v>Lepotuoli</v>
      </c>
    </row>
    <row r="1090" spans="1:8" x14ac:dyDescent="0.35">
      <c r="A1090" t="s">
        <v>37</v>
      </c>
      <c r="B1090">
        <v>2013</v>
      </c>
      <c r="C1090">
        <v>5</v>
      </c>
      <c r="D1090">
        <v>12184</v>
      </c>
      <c r="E1090">
        <v>94</v>
      </c>
      <c r="F1090">
        <v>11580.79</v>
      </c>
      <c r="G1090">
        <v>5961.42</v>
      </c>
      <c r="H1090" t="str">
        <f>VLOOKUP(myynnit[[#This Row],[TuoteID]],ohjaus!$A$4:$B$20,2,FALSE)</f>
        <v>Rahi</v>
      </c>
    </row>
    <row r="1091" spans="1:8" x14ac:dyDescent="0.35">
      <c r="A1091" t="s">
        <v>37</v>
      </c>
      <c r="B1091">
        <v>2013</v>
      </c>
      <c r="C1091">
        <v>5</v>
      </c>
      <c r="D1091">
        <v>12622</v>
      </c>
      <c r="E1091">
        <v>45</v>
      </c>
      <c r="F1091">
        <v>11867.46</v>
      </c>
      <c r="G1091">
        <v>5943.74</v>
      </c>
      <c r="H1091" t="str">
        <f>VLOOKUP(myynnit[[#This Row],[TuoteID]],ohjaus!$A$4:$B$20,2,FALSE)</f>
        <v>Pianotuoli</v>
      </c>
    </row>
    <row r="1092" spans="1:8" x14ac:dyDescent="0.35">
      <c r="A1092" t="s">
        <v>37</v>
      </c>
      <c r="B1092">
        <v>2013</v>
      </c>
      <c r="C1092">
        <v>5</v>
      </c>
      <c r="D1092">
        <v>13527</v>
      </c>
      <c r="E1092">
        <v>332</v>
      </c>
      <c r="F1092">
        <v>51597.33</v>
      </c>
      <c r="G1092">
        <v>11191</v>
      </c>
      <c r="H1092" t="str">
        <f>VLOOKUP(myynnit[[#This Row],[TuoteID]],ohjaus!$A$4:$B$20,2,FALSE)</f>
        <v>Pinnatuoli</v>
      </c>
    </row>
    <row r="1093" spans="1:8" x14ac:dyDescent="0.35">
      <c r="A1093" t="s">
        <v>37</v>
      </c>
      <c r="B1093">
        <v>2013</v>
      </c>
      <c r="C1093">
        <v>5</v>
      </c>
      <c r="D1093">
        <v>13618</v>
      </c>
      <c r="E1093">
        <v>22</v>
      </c>
      <c r="F1093">
        <v>9946.69</v>
      </c>
      <c r="G1093">
        <v>4016.68</v>
      </c>
      <c r="H1093" t="str">
        <f>VLOOKUP(myynnit[[#This Row],[TuoteID]],ohjaus!$A$4:$B$20,2,FALSE)</f>
        <v>Pianotuoli</v>
      </c>
    </row>
    <row r="1094" spans="1:8" x14ac:dyDescent="0.35">
      <c r="A1094" t="s">
        <v>37</v>
      </c>
      <c r="B1094">
        <v>2013</v>
      </c>
      <c r="C1094">
        <v>5</v>
      </c>
      <c r="D1094">
        <v>16024</v>
      </c>
      <c r="E1094">
        <v>259</v>
      </c>
      <c r="F1094">
        <v>116036.84</v>
      </c>
      <c r="G1094">
        <v>35195.050000000003</v>
      </c>
      <c r="H1094" t="str">
        <f>VLOOKUP(myynnit[[#This Row],[TuoteID]],ohjaus!$A$4:$B$20,2,FALSE)</f>
        <v>Työtuoli</v>
      </c>
    </row>
    <row r="1095" spans="1:8" x14ac:dyDescent="0.35">
      <c r="A1095" t="s">
        <v>37</v>
      </c>
      <c r="B1095">
        <v>2013</v>
      </c>
      <c r="C1095">
        <v>5</v>
      </c>
      <c r="D1095">
        <v>16650</v>
      </c>
      <c r="E1095">
        <v>80</v>
      </c>
      <c r="F1095">
        <v>13970.14</v>
      </c>
      <c r="G1095">
        <v>7597.14</v>
      </c>
      <c r="H1095" t="str">
        <f>VLOOKUP(myynnit[[#This Row],[TuoteID]],ohjaus!$A$4:$B$20,2,FALSE)</f>
        <v>Rahi</v>
      </c>
    </row>
    <row r="1096" spans="1:8" x14ac:dyDescent="0.35">
      <c r="A1096" t="s">
        <v>37</v>
      </c>
      <c r="B1096">
        <v>2013</v>
      </c>
      <c r="C1096">
        <v>5</v>
      </c>
      <c r="D1096">
        <v>17892</v>
      </c>
      <c r="E1096">
        <v>134</v>
      </c>
      <c r="F1096">
        <v>20819.12</v>
      </c>
      <c r="G1096">
        <v>6856.53</v>
      </c>
      <c r="H1096" t="str">
        <f>VLOOKUP(myynnit[[#This Row],[TuoteID]],ohjaus!$A$4:$B$20,2,FALSE)</f>
        <v>Lepotuoli</v>
      </c>
    </row>
    <row r="1097" spans="1:8" x14ac:dyDescent="0.35">
      <c r="A1097" t="s">
        <v>37</v>
      </c>
      <c r="B1097">
        <v>2013</v>
      </c>
      <c r="C1097">
        <v>5</v>
      </c>
      <c r="D1097">
        <v>18342</v>
      </c>
      <c r="E1097">
        <v>179</v>
      </c>
      <c r="F1097">
        <v>147049.69</v>
      </c>
      <c r="G1097">
        <v>41751.06</v>
      </c>
      <c r="H1097" t="str">
        <f>VLOOKUP(myynnit[[#This Row],[TuoteID]],ohjaus!$A$4:$B$20,2,FALSE)</f>
        <v>Työtuoli</v>
      </c>
    </row>
    <row r="1098" spans="1:8" x14ac:dyDescent="0.35">
      <c r="A1098" t="s">
        <v>37</v>
      </c>
      <c r="B1098">
        <v>2013</v>
      </c>
      <c r="C1098">
        <v>5</v>
      </c>
      <c r="D1098">
        <v>20177</v>
      </c>
      <c r="E1098">
        <v>55</v>
      </c>
      <c r="F1098">
        <v>5380.49</v>
      </c>
      <c r="G1098">
        <v>2035.74</v>
      </c>
      <c r="H1098" t="str">
        <f>VLOOKUP(myynnit[[#This Row],[TuoteID]],ohjaus!$A$4:$B$20,2,FALSE)</f>
        <v>Säkkituoli</v>
      </c>
    </row>
    <row r="1099" spans="1:8" x14ac:dyDescent="0.35">
      <c r="A1099" t="s">
        <v>37</v>
      </c>
      <c r="B1099">
        <v>2013</v>
      </c>
      <c r="C1099">
        <v>5</v>
      </c>
      <c r="D1099">
        <v>21179</v>
      </c>
      <c r="E1099">
        <v>49</v>
      </c>
      <c r="F1099">
        <v>5036.78</v>
      </c>
      <c r="G1099">
        <v>2066.83</v>
      </c>
      <c r="H1099" t="str">
        <f>VLOOKUP(myynnit[[#This Row],[TuoteID]],ohjaus!$A$4:$B$20,2,FALSE)</f>
        <v>Rahi</v>
      </c>
    </row>
    <row r="1100" spans="1:8" x14ac:dyDescent="0.35">
      <c r="A1100" t="s">
        <v>37</v>
      </c>
      <c r="B1100">
        <v>2013</v>
      </c>
      <c r="C1100">
        <v>5</v>
      </c>
      <c r="D1100">
        <v>21260</v>
      </c>
      <c r="E1100">
        <v>111</v>
      </c>
      <c r="F1100">
        <v>20016.8</v>
      </c>
      <c r="G1100">
        <v>5734.14</v>
      </c>
      <c r="H1100" t="str">
        <f>VLOOKUP(myynnit[[#This Row],[TuoteID]],ohjaus!$A$4:$B$20,2,FALSE)</f>
        <v>Lepotuoli</v>
      </c>
    </row>
    <row r="1101" spans="1:8" x14ac:dyDescent="0.35">
      <c r="A1101" t="s">
        <v>37</v>
      </c>
      <c r="B1101">
        <v>2013</v>
      </c>
      <c r="C1101">
        <v>5</v>
      </c>
      <c r="D1101">
        <v>22317</v>
      </c>
      <c r="E1101">
        <v>129</v>
      </c>
      <c r="F1101">
        <v>10110.23</v>
      </c>
      <c r="G1101">
        <v>4062.76</v>
      </c>
      <c r="H1101" t="str">
        <f>VLOOKUP(myynnit[[#This Row],[TuoteID]],ohjaus!$A$4:$B$20,2,FALSE)</f>
        <v>Säkkituoli</v>
      </c>
    </row>
    <row r="1102" spans="1:8" x14ac:dyDescent="0.35">
      <c r="A1102" t="s">
        <v>37</v>
      </c>
      <c r="B1102">
        <v>2013</v>
      </c>
      <c r="C1102">
        <v>5</v>
      </c>
      <c r="D1102">
        <v>22940</v>
      </c>
      <c r="E1102">
        <v>884</v>
      </c>
      <c r="F1102">
        <v>107521.93</v>
      </c>
      <c r="G1102">
        <v>21261.32</v>
      </c>
      <c r="H1102" t="str">
        <f>VLOOKUP(myynnit[[#This Row],[TuoteID]],ohjaus!$A$4:$B$20,2,FALSE)</f>
        <v>Pinnatuoli</v>
      </c>
    </row>
    <row r="1103" spans="1:8" x14ac:dyDescent="0.35">
      <c r="A1103" t="s">
        <v>37</v>
      </c>
      <c r="B1103">
        <v>2013</v>
      </c>
      <c r="C1103">
        <v>5</v>
      </c>
      <c r="D1103">
        <v>23178</v>
      </c>
      <c r="E1103">
        <v>176</v>
      </c>
      <c r="F1103">
        <v>31446.6</v>
      </c>
      <c r="G1103">
        <v>6261.79</v>
      </c>
      <c r="H1103" t="str">
        <f>VLOOKUP(myynnit[[#This Row],[TuoteID]],ohjaus!$A$4:$B$20,2,FALSE)</f>
        <v>Pinnatuoli</v>
      </c>
    </row>
    <row r="1104" spans="1:8" x14ac:dyDescent="0.35">
      <c r="A1104" t="s">
        <v>37</v>
      </c>
      <c r="B1104">
        <v>2013</v>
      </c>
      <c r="C1104">
        <v>5</v>
      </c>
      <c r="D1104">
        <v>23600</v>
      </c>
      <c r="E1104">
        <v>1409</v>
      </c>
      <c r="F1104">
        <v>155185.82999999999</v>
      </c>
      <c r="G1104">
        <v>32283.25</v>
      </c>
      <c r="H1104" t="str">
        <f>VLOOKUP(myynnit[[#This Row],[TuoteID]],ohjaus!$A$4:$B$20,2,FALSE)</f>
        <v>Pinnatuoli</v>
      </c>
    </row>
    <row r="1105" spans="1:8" x14ac:dyDescent="0.35">
      <c r="A1105" t="s">
        <v>37</v>
      </c>
      <c r="B1105">
        <v>2013</v>
      </c>
      <c r="C1105">
        <v>5</v>
      </c>
      <c r="D1105">
        <v>23756</v>
      </c>
      <c r="E1105">
        <v>125</v>
      </c>
      <c r="F1105">
        <v>25360</v>
      </c>
      <c r="G1105">
        <v>13684.28</v>
      </c>
      <c r="H1105" t="str">
        <f>VLOOKUP(myynnit[[#This Row],[TuoteID]],ohjaus!$A$4:$B$20,2,FALSE)</f>
        <v>Pianotuoli</v>
      </c>
    </row>
    <row r="1106" spans="1:8" x14ac:dyDescent="0.35">
      <c r="A1106" t="s">
        <v>37</v>
      </c>
      <c r="B1106">
        <v>2013</v>
      </c>
      <c r="C1106">
        <v>5</v>
      </c>
      <c r="D1106">
        <v>24326</v>
      </c>
      <c r="E1106">
        <v>178</v>
      </c>
      <c r="F1106">
        <v>23132.69</v>
      </c>
      <c r="G1106">
        <v>7369.95</v>
      </c>
      <c r="H1106" t="str">
        <f>VLOOKUP(myynnit[[#This Row],[TuoteID]],ohjaus!$A$4:$B$20,2,FALSE)</f>
        <v>Lepotuoli</v>
      </c>
    </row>
    <row r="1107" spans="1:8" x14ac:dyDescent="0.35">
      <c r="A1107" t="s">
        <v>40</v>
      </c>
      <c r="B1107">
        <v>2013</v>
      </c>
      <c r="C1107">
        <v>5</v>
      </c>
      <c r="D1107">
        <v>12184</v>
      </c>
      <c r="E1107">
        <v>15</v>
      </c>
      <c r="F1107">
        <v>1521.26</v>
      </c>
      <c r="G1107">
        <v>740.69</v>
      </c>
      <c r="H1107" t="str">
        <f>VLOOKUP(myynnit[[#This Row],[TuoteID]],ohjaus!$A$4:$B$20,2,FALSE)</f>
        <v>Rahi</v>
      </c>
    </row>
    <row r="1108" spans="1:8" x14ac:dyDescent="0.35">
      <c r="A1108" t="s">
        <v>40</v>
      </c>
      <c r="B1108">
        <v>2013</v>
      </c>
      <c r="C1108">
        <v>5</v>
      </c>
      <c r="D1108">
        <v>12622</v>
      </c>
      <c r="E1108">
        <v>16</v>
      </c>
      <c r="F1108">
        <v>4389.5</v>
      </c>
      <c r="G1108">
        <v>1614.44</v>
      </c>
      <c r="H1108" t="str">
        <f>VLOOKUP(myynnit[[#This Row],[TuoteID]],ohjaus!$A$4:$B$20,2,FALSE)</f>
        <v>Pianotuoli</v>
      </c>
    </row>
    <row r="1109" spans="1:8" x14ac:dyDescent="0.35">
      <c r="A1109" t="s">
        <v>40</v>
      </c>
      <c r="B1109">
        <v>2013</v>
      </c>
      <c r="C1109">
        <v>5</v>
      </c>
      <c r="D1109">
        <v>13527</v>
      </c>
      <c r="E1109">
        <v>232</v>
      </c>
      <c r="F1109">
        <v>37587.440000000002</v>
      </c>
      <c r="G1109">
        <v>7386.88</v>
      </c>
      <c r="H1109" t="str">
        <f>VLOOKUP(myynnit[[#This Row],[TuoteID]],ohjaus!$A$4:$B$20,2,FALSE)</f>
        <v>Pinnatuoli</v>
      </c>
    </row>
    <row r="1110" spans="1:8" x14ac:dyDescent="0.35">
      <c r="A1110" t="s">
        <v>40</v>
      </c>
      <c r="B1110">
        <v>2013</v>
      </c>
      <c r="C1110">
        <v>5</v>
      </c>
      <c r="D1110">
        <v>13618</v>
      </c>
      <c r="E1110">
        <v>9</v>
      </c>
      <c r="F1110">
        <v>3658.86</v>
      </c>
      <c r="G1110">
        <v>1772.5</v>
      </c>
      <c r="H1110" t="str">
        <f>VLOOKUP(myynnit[[#This Row],[TuoteID]],ohjaus!$A$4:$B$20,2,FALSE)</f>
        <v>Pianotuoli</v>
      </c>
    </row>
    <row r="1111" spans="1:8" x14ac:dyDescent="0.35">
      <c r="A1111" t="s">
        <v>40</v>
      </c>
      <c r="B1111">
        <v>2013</v>
      </c>
      <c r="C1111">
        <v>5</v>
      </c>
      <c r="D1111">
        <v>16024</v>
      </c>
      <c r="E1111">
        <v>201</v>
      </c>
      <c r="F1111">
        <v>91535.53</v>
      </c>
      <c r="G1111">
        <v>25177.34</v>
      </c>
      <c r="H1111" t="str">
        <f>VLOOKUP(myynnit[[#This Row],[TuoteID]],ohjaus!$A$4:$B$20,2,FALSE)</f>
        <v>Työtuoli</v>
      </c>
    </row>
    <row r="1112" spans="1:8" x14ac:dyDescent="0.35">
      <c r="A1112" t="s">
        <v>40</v>
      </c>
      <c r="B1112">
        <v>2013</v>
      </c>
      <c r="C1112">
        <v>5</v>
      </c>
      <c r="D1112">
        <v>16650</v>
      </c>
      <c r="E1112">
        <v>32</v>
      </c>
      <c r="F1112">
        <v>4512.0600000000004</v>
      </c>
      <c r="G1112">
        <v>2517.83</v>
      </c>
      <c r="H1112" t="str">
        <f>VLOOKUP(myynnit[[#This Row],[TuoteID]],ohjaus!$A$4:$B$20,2,FALSE)</f>
        <v>Rahi</v>
      </c>
    </row>
    <row r="1113" spans="1:8" x14ac:dyDescent="0.35">
      <c r="A1113" t="s">
        <v>40</v>
      </c>
      <c r="B1113">
        <v>2013</v>
      </c>
      <c r="C1113">
        <v>5</v>
      </c>
      <c r="D1113">
        <v>17892</v>
      </c>
      <c r="E1113">
        <v>59</v>
      </c>
      <c r="F1113">
        <v>7383.01</v>
      </c>
      <c r="G1113">
        <v>1544.7</v>
      </c>
      <c r="H1113" t="str">
        <f>VLOOKUP(myynnit[[#This Row],[TuoteID]],ohjaus!$A$4:$B$20,2,FALSE)</f>
        <v>Lepotuoli</v>
      </c>
    </row>
    <row r="1114" spans="1:8" x14ac:dyDescent="0.35">
      <c r="A1114" t="s">
        <v>40</v>
      </c>
      <c r="B1114">
        <v>2013</v>
      </c>
      <c r="C1114">
        <v>5</v>
      </c>
      <c r="D1114">
        <v>18342</v>
      </c>
      <c r="E1114">
        <v>13</v>
      </c>
      <c r="F1114">
        <v>9906.67</v>
      </c>
      <c r="G1114">
        <v>2629.09</v>
      </c>
      <c r="H1114" t="str">
        <f>VLOOKUP(myynnit[[#This Row],[TuoteID]],ohjaus!$A$4:$B$20,2,FALSE)</f>
        <v>Työtuoli</v>
      </c>
    </row>
    <row r="1115" spans="1:8" x14ac:dyDescent="0.35">
      <c r="A1115" t="s">
        <v>40</v>
      </c>
      <c r="B1115">
        <v>2013</v>
      </c>
      <c r="C1115">
        <v>5</v>
      </c>
      <c r="D1115">
        <v>20177</v>
      </c>
      <c r="E1115">
        <v>27</v>
      </c>
      <c r="F1115">
        <v>3052.39</v>
      </c>
      <c r="G1115">
        <v>1360.77</v>
      </c>
      <c r="H1115" t="str">
        <f>VLOOKUP(myynnit[[#This Row],[TuoteID]],ohjaus!$A$4:$B$20,2,FALSE)</f>
        <v>Säkkituoli</v>
      </c>
    </row>
    <row r="1116" spans="1:8" x14ac:dyDescent="0.35">
      <c r="A1116" t="s">
        <v>40</v>
      </c>
      <c r="B1116">
        <v>2013</v>
      </c>
      <c r="C1116">
        <v>5</v>
      </c>
      <c r="D1116">
        <v>21179</v>
      </c>
      <c r="E1116">
        <v>52</v>
      </c>
      <c r="F1116">
        <v>7076.66</v>
      </c>
      <c r="G1116">
        <v>4314.6400000000003</v>
      </c>
      <c r="H1116" t="str">
        <f>VLOOKUP(myynnit[[#This Row],[TuoteID]],ohjaus!$A$4:$B$20,2,FALSE)</f>
        <v>Rahi</v>
      </c>
    </row>
    <row r="1117" spans="1:8" x14ac:dyDescent="0.35">
      <c r="A1117" t="s">
        <v>40</v>
      </c>
      <c r="B1117">
        <v>2013</v>
      </c>
      <c r="C1117">
        <v>5</v>
      </c>
      <c r="D1117">
        <v>21260</v>
      </c>
      <c r="E1117">
        <v>26</v>
      </c>
      <c r="F1117">
        <v>5371.05</v>
      </c>
      <c r="G1117">
        <v>1152.76</v>
      </c>
      <c r="H1117" t="str">
        <f>VLOOKUP(myynnit[[#This Row],[TuoteID]],ohjaus!$A$4:$B$20,2,FALSE)</f>
        <v>Lepotuoli</v>
      </c>
    </row>
    <row r="1118" spans="1:8" x14ac:dyDescent="0.35">
      <c r="A1118" t="s">
        <v>40</v>
      </c>
      <c r="B1118">
        <v>2013</v>
      </c>
      <c r="C1118">
        <v>5</v>
      </c>
      <c r="D1118">
        <v>22317</v>
      </c>
      <c r="E1118">
        <v>10</v>
      </c>
      <c r="F1118">
        <v>787.65</v>
      </c>
      <c r="G1118">
        <v>388.97</v>
      </c>
      <c r="H1118" t="str">
        <f>VLOOKUP(myynnit[[#This Row],[TuoteID]],ohjaus!$A$4:$B$20,2,FALSE)</f>
        <v>Säkkituoli</v>
      </c>
    </row>
    <row r="1119" spans="1:8" x14ac:dyDescent="0.35">
      <c r="A1119" t="s">
        <v>40</v>
      </c>
      <c r="B1119">
        <v>2013</v>
      </c>
      <c r="C1119">
        <v>5</v>
      </c>
      <c r="D1119">
        <v>22940</v>
      </c>
      <c r="E1119">
        <v>130</v>
      </c>
      <c r="F1119">
        <v>16856.39</v>
      </c>
      <c r="G1119">
        <v>4926.71</v>
      </c>
      <c r="H1119" t="str">
        <f>VLOOKUP(myynnit[[#This Row],[TuoteID]],ohjaus!$A$4:$B$20,2,FALSE)</f>
        <v>Pinnatuoli</v>
      </c>
    </row>
    <row r="1120" spans="1:8" x14ac:dyDescent="0.35">
      <c r="A1120" t="s">
        <v>40</v>
      </c>
      <c r="B1120">
        <v>2013</v>
      </c>
      <c r="C1120">
        <v>5</v>
      </c>
      <c r="D1120">
        <v>23178</v>
      </c>
      <c r="E1120">
        <v>197</v>
      </c>
      <c r="F1120">
        <v>38583.440000000002</v>
      </c>
      <c r="G1120">
        <v>10080.42</v>
      </c>
      <c r="H1120" t="str">
        <f>VLOOKUP(myynnit[[#This Row],[TuoteID]],ohjaus!$A$4:$B$20,2,FALSE)</f>
        <v>Pinnatuoli</v>
      </c>
    </row>
    <row r="1121" spans="1:8" x14ac:dyDescent="0.35">
      <c r="A1121" t="s">
        <v>40</v>
      </c>
      <c r="B1121">
        <v>2013</v>
      </c>
      <c r="C1121">
        <v>5</v>
      </c>
      <c r="D1121">
        <v>23600</v>
      </c>
      <c r="E1121">
        <v>605</v>
      </c>
      <c r="F1121">
        <v>68945.88</v>
      </c>
      <c r="G1121">
        <v>21005.35</v>
      </c>
      <c r="H1121" t="str">
        <f>VLOOKUP(myynnit[[#This Row],[TuoteID]],ohjaus!$A$4:$B$20,2,FALSE)</f>
        <v>Pinnatuoli</v>
      </c>
    </row>
    <row r="1122" spans="1:8" x14ac:dyDescent="0.35">
      <c r="A1122" t="s">
        <v>40</v>
      </c>
      <c r="B1122">
        <v>2013</v>
      </c>
      <c r="C1122">
        <v>5</v>
      </c>
      <c r="D1122">
        <v>23756</v>
      </c>
      <c r="E1122">
        <v>75</v>
      </c>
      <c r="F1122">
        <v>13497.26</v>
      </c>
      <c r="G1122">
        <v>5884.1</v>
      </c>
      <c r="H1122" t="str">
        <f>VLOOKUP(myynnit[[#This Row],[TuoteID]],ohjaus!$A$4:$B$20,2,FALSE)</f>
        <v>Pianotuoli</v>
      </c>
    </row>
    <row r="1123" spans="1:8" x14ac:dyDescent="0.35">
      <c r="A1123" t="s">
        <v>40</v>
      </c>
      <c r="B1123">
        <v>2013</v>
      </c>
      <c r="C1123">
        <v>5</v>
      </c>
      <c r="D1123">
        <v>24326</v>
      </c>
      <c r="E1123">
        <v>41</v>
      </c>
      <c r="F1123">
        <v>6036.87</v>
      </c>
      <c r="G1123">
        <v>1964.83</v>
      </c>
      <c r="H1123" t="str">
        <f>VLOOKUP(myynnit[[#This Row],[TuoteID]],ohjaus!$A$4:$B$20,2,FALSE)</f>
        <v>Lepotuoli</v>
      </c>
    </row>
    <row r="1124" spans="1:8" x14ac:dyDescent="0.35">
      <c r="A1124" t="s">
        <v>39</v>
      </c>
      <c r="B1124">
        <v>2013</v>
      </c>
      <c r="C1124">
        <v>5</v>
      </c>
      <c r="D1124">
        <v>12184</v>
      </c>
      <c r="E1124">
        <v>51</v>
      </c>
      <c r="F1124">
        <v>7647.18</v>
      </c>
      <c r="G1124">
        <v>4646.6400000000003</v>
      </c>
      <c r="H1124" t="str">
        <f>VLOOKUP(myynnit[[#This Row],[TuoteID]],ohjaus!$A$4:$B$20,2,FALSE)</f>
        <v>Rahi</v>
      </c>
    </row>
    <row r="1125" spans="1:8" x14ac:dyDescent="0.35">
      <c r="A1125" t="s">
        <v>39</v>
      </c>
      <c r="B1125">
        <v>2013</v>
      </c>
      <c r="C1125">
        <v>5</v>
      </c>
      <c r="D1125">
        <v>12622</v>
      </c>
      <c r="E1125">
        <v>41</v>
      </c>
      <c r="F1125">
        <v>11071.94</v>
      </c>
      <c r="G1125">
        <v>6499.91</v>
      </c>
      <c r="H1125" t="str">
        <f>VLOOKUP(myynnit[[#This Row],[TuoteID]],ohjaus!$A$4:$B$20,2,FALSE)</f>
        <v>Pianotuoli</v>
      </c>
    </row>
    <row r="1126" spans="1:8" x14ac:dyDescent="0.35">
      <c r="A1126" t="s">
        <v>39</v>
      </c>
      <c r="B1126">
        <v>2013</v>
      </c>
      <c r="C1126">
        <v>5</v>
      </c>
      <c r="D1126">
        <v>13527</v>
      </c>
      <c r="E1126">
        <v>505</v>
      </c>
      <c r="F1126">
        <v>80634.02</v>
      </c>
      <c r="G1126">
        <v>19921.61</v>
      </c>
      <c r="H1126" t="str">
        <f>VLOOKUP(myynnit[[#This Row],[TuoteID]],ohjaus!$A$4:$B$20,2,FALSE)</f>
        <v>Pinnatuoli</v>
      </c>
    </row>
    <row r="1127" spans="1:8" x14ac:dyDescent="0.35">
      <c r="A1127" t="s">
        <v>39</v>
      </c>
      <c r="B1127">
        <v>2013</v>
      </c>
      <c r="C1127">
        <v>5</v>
      </c>
      <c r="D1127">
        <v>13618</v>
      </c>
      <c r="E1127">
        <v>24</v>
      </c>
      <c r="F1127">
        <v>9190.2900000000009</v>
      </c>
      <c r="G1127">
        <v>4789.04</v>
      </c>
      <c r="H1127" t="str">
        <f>VLOOKUP(myynnit[[#This Row],[TuoteID]],ohjaus!$A$4:$B$20,2,FALSE)</f>
        <v>Pianotuoli</v>
      </c>
    </row>
    <row r="1128" spans="1:8" x14ac:dyDescent="0.35">
      <c r="A1128" t="s">
        <v>39</v>
      </c>
      <c r="B1128">
        <v>2013</v>
      </c>
      <c r="C1128">
        <v>5</v>
      </c>
      <c r="D1128">
        <v>16024</v>
      </c>
      <c r="E1128">
        <v>307</v>
      </c>
      <c r="F1128">
        <v>120551.69</v>
      </c>
      <c r="G1128">
        <v>35081.089999999997</v>
      </c>
      <c r="H1128" t="str">
        <f>VLOOKUP(myynnit[[#This Row],[TuoteID]],ohjaus!$A$4:$B$20,2,FALSE)</f>
        <v>Työtuoli</v>
      </c>
    </row>
    <row r="1129" spans="1:8" x14ac:dyDescent="0.35">
      <c r="A1129" t="s">
        <v>39</v>
      </c>
      <c r="B1129">
        <v>2013</v>
      </c>
      <c r="C1129">
        <v>5</v>
      </c>
      <c r="D1129">
        <v>16650</v>
      </c>
      <c r="E1129">
        <v>44</v>
      </c>
      <c r="F1129">
        <v>7091.49</v>
      </c>
      <c r="G1129">
        <v>4161.76</v>
      </c>
      <c r="H1129" t="str">
        <f>VLOOKUP(myynnit[[#This Row],[TuoteID]],ohjaus!$A$4:$B$20,2,FALSE)</f>
        <v>Rahi</v>
      </c>
    </row>
    <row r="1130" spans="1:8" x14ac:dyDescent="0.35">
      <c r="A1130" t="s">
        <v>39</v>
      </c>
      <c r="B1130">
        <v>2013</v>
      </c>
      <c r="C1130">
        <v>5</v>
      </c>
      <c r="D1130">
        <v>17892</v>
      </c>
      <c r="E1130">
        <v>70</v>
      </c>
      <c r="F1130">
        <v>10243.61</v>
      </c>
      <c r="G1130">
        <v>3236.12</v>
      </c>
      <c r="H1130" t="str">
        <f>VLOOKUP(myynnit[[#This Row],[TuoteID]],ohjaus!$A$4:$B$20,2,FALSE)</f>
        <v>Lepotuoli</v>
      </c>
    </row>
    <row r="1131" spans="1:8" x14ac:dyDescent="0.35">
      <c r="A1131" t="s">
        <v>39</v>
      </c>
      <c r="B1131">
        <v>2013</v>
      </c>
      <c r="C1131">
        <v>5</v>
      </c>
      <c r="D1131">
        <v>18342</v>
      </c>
      <c r="E1131">
        <v>175</v>
      </c>
      <c r="F1131">
        <v>158756.38</v>
      </c>
      <c r="G1131">
        <v>41773.050000000003</v>
      </c>
      <c r="H1131" t="str">
        <f>VLOOKUP(myynnit[[#This Row],[TuoteID]],ohjaus!$A$4:$B$20,2,FALSE)</f>
        <v>Työtuoli</v>
      </c>
    </row>
    <row r="1132" spans="1:8" x14ac:dyDescent="0.35">
      <c r="A1132" t="s">
        <v>39</v>
      </c>
      <c r="B1132">
        <v>2013</v>
      </c>
      <c r="C1132">
        <v>5</v>
      </c>
      <c r="D1132">
        <v>20177</v>
      </c>
      <c r="E1132">
        <v>73</v>
      </c>
      <c r="F1132">
        <v>6719.95</v>
      </c>
      <c r="G1132">
        <v>3470.6</v>
      </c>
      <c r="H1132" t="str">
        <f>VLOOKUP(myynnit[[#This Row],[TuoteID]],ohjaus!$A$4:$B$20,2,FALSE)</f>
        <v>Säkkituoli</v>
      </c>
    </row>
    <row r="1133" spans="1:8" x14ac:dyDescent="0.35">
      <c r="A1133" t="s">
        <v>39</v>
      </c>
      <c r="B1133">
        <v>2013</v>
      </c>
      <c r="C1133">
        <v>5</v>
      </c>
      <c r="D1133">
        <v>21179</v>
      </c>
      <c r="E1133">
        <v>43</v>
      </c>
      <c r="F1133">
        <v>6161.18</v>
      </c>
      <c r="G1133">
        <v>4647.2299999999996</v>
      </c>
      <c r="H1133" t="str">
        <f>VLOOKUP(myynnit[[#This Row],[TuoteID]],ohjaus!$A$4:$B$20,2,FALSE)</f>
        <v>Rahi</v>
      </c>
    </row>
    <row r="1134" spans="1:8" x14ac:dyDescent="0.35">
      <c r="A1134" t="s">
        <v>39</v>
      </c>
      <c r="B1134">
        <v>2013</v>
      </c>
      <c r="C1134">
        <v>5</v>
      </c>
      <c r="D1134">
        <v>21260</v>
      </c>
      <c r="E1134">
        <v>27</v>
      </c>
      <c r="F1134">
        <v>4604.07</v>
      </c>
      <c r="G1134">
        <v>1470.56</v>
      </c>
      <c r="H1134" t="str">
        <f>VLOOKUP(myynnit[[#This Row],[TuoteID]],ohjaus!$A$4:$B$20,2,FALSE)</f>
        <v>Lepotuoli</v>
      </c>
    </row>
    <row r="1135" spans="1:8" x14ac:dyDescent="0.35">
      <c r="A1135" t="s">
        <v>39</v>
      </c>
      <c r="B1135">
        <v>2013</v>
      </c>
      <c r="C1135">
        <v>5</v>
      </c>
      <c r="D1135">
        <v>22317</v>
      </c>
      <c r="E1135">
        <v>25</v>
      </c>
      <c r="F1135">
        <v>2205.5300000000002</v>
      </c>
      <c r="G1135">
        <v>1120.1300000000001</v>
      </c>
      <c r="H1135" t="str">
        <f>VLOOKUP(myynnit[[#This Row],[TuoteID]],ohjaus!$A$4:$B$20,2,FALSE)</f>
        <v>Säkkituoli</v>
      </c>
    </row>
    <row r="1136" spans="1:8" x14ac:dyDescent="0.35">
      <c r="A1136" t="s">
        <v>39</v>
      </c>
      <c r="B1136">
        <v>2013</v>
      </c>
      <c r="C1136">
        <v>5</v>
      </c>
      <c r="D1136">
        <v>22940</v>
      </c>
      <c r="E1136">
        <v>479</v>
      </c>
      <c r="F1136">
        <v>63639.89</v>
      </c>
      <c r="G1136">
        <v>17722.71</v>
      </c>
      <c r="H1136" t="str">
        <f>VLOOKUP(myynnit[[#This Row],[TuoteID]],ohjaus!$A$4:$B$20,2,FALSE)</f>
        <v>Pinnatuoli</v>
      </c>
    </row>
    <row r="1137" spans="1:8" x14ac:dyDescent="0.35">
      <c r="A1137" t="s">
        <v>39</v>
      </c>
      <c r="B1137">
        <v>2013</v>
      </c>
      <c r="C1137">
        <v>5</v>
      </c>
      <c r="D1137">
        <v>23178</v>
      </c>
      <c r="E1137">
        <v>128</v>
      </c>
      <c r="F1137">
        <v>22977.29</v>
      </c>
      <c r="G1137">
        <v>5120.26</v>
      </c>
      <c r="H1137" t="str">
        <f>VLOOKUP(myynnit[[#This Row],[TuoteID]],ohjaus!$A$4:$B$20,2,FALSE)</f>
        <v>Pinnatuoli</v>
      </c>
    </row>
    <row r="1138" spans="1:8" x14ac:dyDescent="0.35">
      <c r="A1138" t="s">
        <v>39</v>
      </c>
      <c r="B1138">
        <v>2013</v>
      </c>
      <c r="C1138">
        <v>5</v>
      </c>
      <c r="D1138">
        <v>23600</v>
      </c>
      <c r="E1138">
        <v>667</v>
      </c>
      <c r="F1138">
        <v>69796.14</v>
      </c>
      <c r="G1138">
        <v>20868.45</v>
      </c>
      <c r="H1138" t="str">
        <f>VLOOKUP(myynnit[[#This Row],[TuoteID]],ohjaus!$A$4:$B$20,2,FALSE)</f>
        <v>Pinnatuoli</v>
      </c>
    </row>
    <row r="1139" spans="1:8" x14ac:dyDescent="0.35">
      <c r="A1139" t="s">
        <v>39</v>
      </c>
      <c r="B1139">
        <v>2013</v>
      </c>
      <c r="C1139">
        <v>5</v>
      </c>
      <c r="D1139">
        <v>23756</v>
      </c>
      <c r="E1139">
        <v>125</v>
      </c>
      <c r="F1139">
        <v>27554.15</v>
      </c>
      <c r="G1139">
        <v>15626.22</v>
      </c>
      <c r="H1139" t="str">
        <f>VLOOKUP(myynnit[[#This Row],[TuoteID]],ohjaus!$A$4:$B$20,2,FALSE)</f>
        <v>Pianotuoli</v>
      </c>
    </row>
    <row r="1140" spans="1:8" x14ac:dyDescent="0.35">
      <c r="A1140" t="s">
        <v>39</v>
      </c>
      <c r="B1140">
        <v>2013</v>
      </c>
      <c r="C1140">
        <v>5</v>
      </c>
      <c r="D1140">
        <v>24326</v>
      </c>
      <c r="E1140">
        <v>73</v>
      </c>
      <c r="F1140">
        <v>11670.5</v>
      </c>
      <c r="G1140">
        <v>4030.1</v>
      </c>
      <c r="H1140" t="str">
        <f>VLOOKUP(myynnit[[#This Row],[TuoteID]],ohjaus!$A$4:$B$20,2,FALSE)</f>
        <v>Lepotuoli</v>
      </c>
    </row>
    <row r="1141" spans="1:8" x14ac:dyDescent="0.35">
      <c r="A1141" t="s">
        <v>38</v>
      </c>
      <c r="B1141">
        <v>2013</v>
      </c>
      <c r="C1141">
        <v>5</v>
      </c>
      <c r="D1141">
        <v>12184</v>
      </c>
      <c r="E1141">
        <v>103</v>
      </c>
      <c r="F1141">
        <v>10701.46</v>
      </c>
      <c r="G1141">
        <v>6426.56</v>
      </c>
      <c r="H1141" t="str">
        <f>VLOOKUP(myynnit[[#This Row],[TuoteID]],ohjaus!$A$4:$B$20,2,FALSE)</f>
        <v>Rahi</v>
      </c>
    </row>
    <row r="1142" spans="1:8" x14ac:dyDescent="0.35">
      <c r="A1142" t="s">
        <v>38</v>
      </c>
      <c r="B1142">
        <v>2013</v>
      </c>
      <c r="C1142">
        <v>5</v>
      </c>
      <c r="D1142">
        <v>12622</v>
      </c>
      <c r="E1142">
        <v>33</v>
      </c>
      <c r="F1142">
        <v>7265.08</v>
      </c>
      <c r="G1142">
        <v>3911.25</v>
      </c>
      <c r="H1142" t="str">
        <f>VLOOKUP(myynnit[[#This Row],[TuoteID]],ohjaus!$A$4:$B$20,2,FALSE)</f>
        <v>Pianotuoli</v>
      </c>
    </row>
    <row r="1143" spans="1:8" x14ac:dyDescent="0.35">
      <c r="A1143" t="s">
        <v>38</v>
      </c>
      <c r="B1143">
        <v>2013</v>
      </c>
      <c r="C1143">
        <v>5</v>
      </c>
      <c r="D1143">
        <v>13527</v>
      </c>
      <c r="E1143">
        <v>614</v>
      </c>
      <c r="F1143">
        <v>97093.02</v>
      </c>
      <c r="G1143">
        <v>19620.04</v>
      </c>
      <c r="H1143" t="str">
        <f>VLOOKUP(myynnit[[#This Row],[TuoteID]],ohjaus!$A$4:$B$20,2,FALSE)</f>
        <v>Pinnatuoli</v>
      </c>
    </row>
    <row r="1144" spans="1:8" x14ac:dyDescent="0.35">
      <c r="A1144" t="s">
        <v>38</v>
      </c>
      <c r="B1144">
        <v>2013</v>
      </c>
      <c r="C1144">
        <v>5</v>
      </c>
      <c r="D1144">
        <v>13618</v>
      </c>
      <c r="E1144">
        <v>11</v>
      </c>
      <c r="F1144">
        <v>3968.24</v>
      </c>
      <c r="G1144">
        <v>2036.93</v>
      </c>
      <c r="H1144" t="str">
        <f>VLOOKUP(myynnit[[#This Row],[TuoteID]],ohjaus!$A$4:$B$20,2,FALSE)</f>
        <v>Pianotuoli</v>
      </c>
    </row>
    <row r="1145" spans="1:8" x14ac:dyDescent="0.35">
      <c r="A1145" t="s">
        <v>38</v>
      </c>
      <c r="B1145">
        <v>2013</v>
      </c>
      <c r="C1145">
        <v>5</v>
      </c>
      <c r="D1145">
        <v>16024</v>
      </c>
      <c r="E1145">
        <v>156</v>
      </c>
      <c r="F1145">
        <v>59996.78</v>
      </c>
      <c r="G1145">
        <v>17084.400000000001</v>
      </c>
      <c r="H1145" t="str">
        <f>VLOOKUP(myynnit[[#This Row],[TuoteID]],ohjaus!$A$4:$B$20,2,FALSE)</f>
        <v>Työtuoli</v>
      </c>
    </row>
    <row r="1146" spans="1:8" x14ac:dyDescent="0.35">
      <c r="A1146" t="s">
        <v>38</v>
      </c>
      <c r="B1146">
        <v>2013</v>
      </c>
      <c r="C1146">
        <v>5</v>
      </c>
      <c r="D1146">
        <v>16650</v>
      </c>
      <c r="E1146">
        <v>55</v>
      </c>
      <c r="F1146">
        <v>8869.51</v>
      </c>
      <c r="G1146">
        <v>4535.6400000000003</v>
      </c>
      <c r="H1146" t="str">
        <f>VLOOKUP(myynnit[[#This Row],[TuoteID]],ohjaus!$A$4:$B$20,2,FALSE)</f>
        <v>Rahi</v>
      </c>
    </row>
    <row r="1147" spans="1:8" x14ac:dyDescent="0.35">
      <c r="A1147" t="s">
        <v>38</v>
      </c>
      <c r="B1147">
        <v>2013</v>
      </c>
      <c r="C1147">
        <v>5</v>
      </c>
      <c r="D1147">
        <v>17892</v>
      </c>
      <c r="E1147">
        <v>59</v>
      </c>
      <c r="F1147">
        <v>7664.02</v>
      </c>
      <c r="G1147">
        <v>1970.31</v>
      </c>
      <c r="H1147" t="str">
        <f>VLOOKUP(myynnit[[#This Row],[TuoteID]],ohjaus!$A$4:$B$20,2,FALSE)</f>
        <v>Lepotuoli</v>
      </c>
    </row>
    <row r="1148" spans="1:8" x14ac:dyDescent="0.35">
      <c r="A1148" t="s">
        <v>38</v>
      </c>
      <c r="B1148">
        <v>2013</v>
      </c>
      <c r="C1148">
        <v>5</v>
      </c>
      <c r="D1148">
        <v>18342</v>
      </c>
      <c r="E1148">
        <v>145</v>
      </c>
      <c r="F1148">
        <v>121737.43</v>
      </c>
      <c r="G1148">
        <v>25622.32</v>
      </c>
      <c r="H1148" t="str">
        <f>VLOOKUP(myynnit[[#This Row],[TuoteID]],ohjaus!$A$4:$B$20,2,FALSE)</f>
        <v>Työtuoli</v>
      </c>
    </row>
    <row r="1149" spans="1:8" x14ac:dyDescent="0.35">
      <c r="A1149" t="s">
        <v>38</v>
      </c>
      <c r="B1149">
        <v>2013</v>
      </c>
      <c r="C1149">
        <v>5</v>
      </c>
      <c r="D1149">
        <v>20177</v>
      </c>
      <c r="E1149">
        <v>89</v>
      </c>
      <c r="F1149">
        <v>9296.77</v>
      </c>
      <c r="G1149">
        <v>3378.13</v>
      </c>
      <c r="H1149" t="str">
        <f>VLOOKUP(myynnit[[#This Row],[TuoteID]],ohjaus!$A$4:$B$20,2,FALSE)</f>
        <v>Säkkituoli</v>
      </c>
    </row>
    <row r="1150" spans="1:8" x14ac:dyDescent="0.35">
      <c r="A1150" t="s">
        <v>38</v>
      </c>
      <c r="B1150">
        <v>2013</v>
      </c>
      <c r="C1150">
        <v>5</v>
      </c>
      <c r="D1150">
        <v>21179</v>
      </c>
      <c r="E1150">
        <v>66</v>
      </c>
      <c r="F1150">
        <v>9060.39</v>
      </c>
      <c r="G1150">
        <v>5372.31</v>
      </c>
      <c r="H1150" t="str">
        <f>VLOOKUP(myynnit[[#This Row],[TuoteID]],ohjaus!$A$4:$B$20,2,FALSE)</f>
        <v>Rahi</v>
      </c>
    </row>
    <row r="1151" spans="1:8" x14ac:dyDescent="0.35">
      <c r="A1151" t="s">
        <v>38</v>
      </c>
      <c r="B1151">
        <v>2013</v>
      </c>
      <c r="C1151">
        <v>5</v>
      </c>
      <c r="D1151">
        <v>21260</v>
      </c>
      <c r="E1151">
        <v>78</v>
      </c>
      <c r="F1151">
        <v>15251.16</v>
      </c>
      <c r="G1151">
        <v>3414.44</v>
      </c>
      <c r="H1151" t="str">
        <f>VLOOKUP(myynnit[[#This Row],[TuoteID]],ohjaus!$A$4:$B$20,2,FALSE)</f>
        <v>Lepotuoli</v>
      </c>
    </row>
    <row r="1152" spans="1:8" x14ac:dyDescent="0.35">
      <c r="A1152" t="s">
        <v>38</v>
      </c>
      <c r="B1152">
        <v>2013</v>
      </c>
      <c r="C1152">
        <v>5</v>
      </c>
      <c r="D1152">
        <v>22317</v>
      </c>
      <c r="E1152">
        <v>72</v>
      </c>
      <c r="F1152">
        <v>6252.27</v>
      </c>
      <c r="G1152">
        <v>2271.6799999999998</v>
      </c>
      <c r="H1152" t="str">
        <f>VLOOKUP(myynnit[[#This Row],[TuoteID]],ohjaus!$A$4:$B$20,2,FALSE)</f>
        <v>Säkkituoli</v>
      </c>
    </row>
    <row r="1153" spans="1:8" x14ac:dyDescent="0.35">
      <c r="A1153" t="s">
        <v>38</v>
      </c>
      <c r="B1153">
        <v>2013</v>
      </c>
      <c r="C1153">
        <v>5</v>
      </c>
      <c r="D1153">
        <v>22940</v>
      </c>
      <c r="E1153">
        <v>693</v>
      </c>
      <c r="F1153">
        <v>83172.399999999994</v>
      </c>
      <c r="G1153">
        <v>19269.099999999999</v>
      </c>
      <c r="H1153" t="str">
        <f>VLOOKUP(myynnit[[#This Row],[TuoteID]],ohjaus!$A$4:$B$20,2,FALSE)</f>
        <v>Pinnatuoli</v>
      </c>
    </row>
    <row r="1154" spans="1:8" x14ac:dyDescent="0.35">
      <c r="A1154" t="s">
        <v>38</v>
      </c>
      <c r="B1154">
        <v>2013</v>
      </c>
      <c r="C1154">
        <v>5</v>
      </c>
      <c r="D1154">
        <v>23178</v>
      </c>
      <c r="E1154">
        <v>188</v>
      </c>
      <c r="F1154">
        <v>31056.27</v>
      </c>
      <c r="G1154">
        <v>7367.82</v>
      </c>
      <c r="H1154" t="str">
        <f>VLOOKUP(myynnit[[#This Row],[TuoteID]],ohjaus!$A$4:$B$20,2,FALSE)</f>
        <v>Pinnatuoli</v>
      </c>
    </row>
    <row r="1155" spans="1:8" x14ac:dyDescent="0.35">
      <c r="A1155" t="s">
        <v>38</v>
      </c>
      <c r="B1155">
        <v>2013</v>
      </c>
      <c r="C1155">
        <v>5</v>
      </c>
      <c r="D1155">
        <v>23600</v>
      </c>
      <c r="E1155">
        <v>1168</v>
      </c>
      <c r="F1155">
        <v>123834.84</v>
      </c>
      <c r="G1155">
        <v>26809.68</v>
      </c>
      <c r="H1155" t="str">
        <f>VLOOKUP(myynnit[[#This Row],[TuoteID]],ohjaus!$A$4:$B$20,2,FALSE)</f>
        <v>Pinnatuoli</v>
      </c>
    </row>
    <row r="1156" spans="1:8" x14ac:dyDescent="0.35">
      <c r="A1156" t="s">
        <v>38</v>
      </c>
      <c r="B1156">
        <v>2013</v>
      </c>
      <c r="C1156">
        <v>5</v>
      </c>
      <c r="D1156">
        <v>23756</v>
      </c>
      <c r="E1156">
        <v>120</v>
      </c>
      <c r="F1156">
        <v>18293.12</v>
      </c>
      <c r="G1156">
        <v>7905.25</v>
      </c>
      <c r="H1156" t="str">
        <f>VLOOKUP(myynnit[[#This Row],[TuoteID]],ohjaus!$A$4:$B$20,2,FALSE)</f>
        <v>Pianotuoli</v>
      </c>
    </row>
    <row r="1157" spans="1:8" x14ac:dyDescent="0.35">
      <c r="A1157" t="s">
        <v>38</v>
      </c>
      <c r="B1157">
        <v>2013</v>
      </c>
      <c r="C1157">
        <v>5</v>
      </c>
      <c r="D1157">
        <v>24326</v>
      </c>
      <c r="E1157">
        <v>110</v>
      </c>
      <c r="F1157">
        <v>15271.3</v>
      </c>
      <c r="G1157">
        <v>3844.66</v>
      </c>
      <c r="H1157" t="str">
        <f>VLOOKUP(myynnit[[#This Row],[TuoteID]],ohjaus!$A$4:$B$20,2,FALSE)</f>
        <v>Lepotuoli</v>
      </c>
    </row>
    <row r="1158" spans="1:8" x14ac:dyDescent="0.35">
      <c r="A1158" t="s">
        <v>37</v>
      </c>
      <c r="B1158">
        <v>2013</v>
      </c>
      <c r="C1158">
        <v>6</v>
      </c>
      <c r="D1158">
        <v>12184</v>
      </c>
      <c r="E1158">
        <v>62</v>
      </c>
      <c r="F1158">
        <v>6667.94</v>
      </c>
      <c r="G1158">
        <v>2804.01</v>
      </c>
      <c r="H1158" t="str">
        <f>VLOOKUP(myynnit[[#This Row],[TuoteID]],ohjaus!$A$4:$B$20,2,FALSE)</f>
        <v>Rahi</v>
      </c>
    </row>
    <row r="1159" spans="1:8" x14ac:dyDescent="0.35">
      <c r="A1159" t="s">
        <v>37</v>
      </c>
      <c r="B1159">
        <v>2013</v>
      </c>
      <c r="C1159">
        <v>6</v>
      </c>
      <c r="D1159">
        <v>12622</v>
      </c>
      <c r="E1159">
        <v>35</v>
      </c>
      <c r="F1159">
        <v>9657.9599999999991</v>
      </c>
      <c r="G1159">
        <v>4198.6499999999996</v>
      </c>
      <c r="H1159" t="str">
        <f>VLOOKUP(myynnit[[#This Row],[TuoteID]],ohjaus!$A$4:$B$20,2,FALSE)</f>
        <v>Pianotuoli</v>
      </c>
    </row>
    <row r="1160" spans="1:8" x14ac:dyDescent="0.35">
      <c r="A1160" t="s">
        <v>37</v>
      </c>
      <c r="B1160">
        <v>2013</v>
      </c>
      <c r="C1160">
        <v>6</v>
      </c>
      <c r="D1160">
        <v>13527</v>
      </c>
      <c r="E1160">
        <v>485</v>
      </c>
      <c r="F1160">
        <v>81943.73</v>
      </c>
      <c r="G1160">
        <v>13355.09</v>
      </c>
      <c r="H1160" t="str">
        <f>VLOOKUP(myynnit[[#This Row],[TuoteID]],ohjaus!$A$4:$B$20,2,FALSE)</f>
        <v>Pinnatuoli</v>
      </c>
    </row>
    <row r="1161" spans="1:8" x14ac:dyDescent="0.35">
      <c r="A1161" t="s">
        <v>37</v>
      </c>
      <c r="B1161">
        <v>2013</v>
      </c>
      <c r="C1161">
        <v>6</v>
      </c>
      <c r="D1161">
        <v>13618</v>
      </c>
      <c r="E1161">
        <v>19</v>
      </c>
      <c r="F1161">
        <v>6312.05</v>
      </c>
      <c r="G1161">
        <v>2569.4899999999998</v>
      </c>
      <c r="H1161" t="str">
        <f>VLOOKUP(myynnit[[#This Row],[TuoteID]],ohjaus!$A$4:$B$20,2,FALSE)</f>
        <v>Pianotuoli</v>
      </c>
    </row>
    <row r="1162" spans="1:8" x14ac:dyDescent="0.35">
      <c r="A1162" t="s">
        <v>37</v>
      </c>
      <c r="B1162">
        <v>2013</v>
      </c>
      <c r="C1162">
        <v>6</v>
      </c>
      <c r="D1162">
        <v>16024</v>
      </c>
      <c r="E1162">
        <v>131</v>
      </c>
      <c r="F1162">
        <v>62049.71</v>
      </c>
      <c r="G1162">
        <v>17709.63</v>
      </c>
      <c r="H1162" t="str">
        <f>VLOOKUP(myynnit[[#This Row],[TuoteID]],ohjaus!$A$4:$B$20,2,FALSE)</f>
        <v>Työtuoli</v>
      </c>
    </row>
    <row r="1163" spans="1:8" x14ac:dyDescent="0.35">
      <c r="A1163" t="s">
        <v>37</v>
      </c>
      <c r="B1163">
        <v>2013</v>
      </c>
      <c r="C1163">
        <v>6</v>
      </c>
      <c r="D1163">
        <v>16650</v>
      </c>
      <c r="E1163">
        <v>55</v>
      </c>
      <c r="F1163">
        <v>8629.4</v>
      </c>
      <c r="G1163">
        <v>3572.06</v>
      </c>
      <c r="H1163" t="str">
        <f>VLOOKUP(myynnit[[#This Row],[TuoteID]],ohjaus!$A$4:$B$20,2,FALSE)</f>
        <v>Rahi</v>
      </c>
    </row>
    <row r="1164" spans="1:8" x14ac:dyDescent="0.35">
      <c r="A1164" t="s">
        <v>37</v>
      </c>
      <c r="B1164">
        <v>2013</v>
      </c>
      <c r="C1164">
        <v>6</v>
      </c>
      <c r="D1164">
        <v>17892</v>
      </c>
      <c r="E1164">
        <v>142</v>
      </c>
      <c r="F1164">
        <v>20212.91</v>
      </c>
      <c r="G1164">
        <v>6630.17</v>
      </c>
      <c r="H1164" t="str">
        <f>VLOOKUP(myynnit[[#This Row],[TuoteID]],ohjaus!$A$4:$B$20,2,FALSE)</f>
        <v>Lepotuoli</v>
      </c>
    </row>
    <row r="1165" spans="1:8" x14ac:dyDescent="0.35">
      <c r="A1165" t="s">
        <v>37</v>
      </c>
      <c r="B1165">
        <v>2013</v>
      </c>
      <c r="C1165">
        <v>6</v>
      </c>
      <c r="D1165">
        <v>18342</v>
      </c>
      <c r="E1165">
        <v>173</v>
      </c>
      <c r="F1165">
        <v>143942.70000000001</v>
      </c>
      <c r="G1165">
        <v>35402.839999999997</v>
      </c>
      <c r="H1165" t="str">
        <f>VLOOKUP(myynnit[[#This Row],[TuoteID]],ohjaus!$A$4:$B$20,2,FALSE)</f>
        <v>Työtuoli</v>
      </c>
    </row>
    <row r="1166" spans="1:8" x14ac:dyDescent="0.35">
      <c r="A1166" t="s">
        <v>37</v>
      </c>
      <c r="B1166">
        <v>2013</v>
      </c>
      <c r="C1166">
        <v>6</v>
      </c>
      <c r="D1166">
        <v>20177</v>
      </c>
      <c r="E1166">
        <v>84</v>
      </c>
      <c r="F1166">
        <v>7424.79</v>
      </c>
      <c r="G1166">
        <v>2831.86</v>
      </c>
      <c r="H1166" t="str">
        <f>VLOOKUP(myynnit[[#This Row],[TuoteID]],ohjaus!$A$4:$B$20,2,FALSE)</f>
        <v>Säkkituoli</v>
      </c>
    </row>
    <row r="1167" spans="1:8" x14ac:dyDescent="0.35">
      <c r="A1167" t="s">
        <v>37</v>
      </c>
      <c r="B1167">
        <v>2013</v>
      </c>
      <c r="C1167">
        <v>6</v>
      </c>
      <c r="D1167">
        <v>21179</v>
      </c>
      <c r="E1167">
        <v>41</v>
      </c>
      <c r="F1167">
        <v>5208.92</v>
      </c>
      <c r="G1167">
        <v>2358.84</v>
      </c>
      <c r="H1167" t="str">
        <f>VLOOKUP(myynnit[[#This Row],[TuoteID]],ohjaus!$A$4:$B$20,2,FALSE)</f>
        <v>Rahi</v>
      </c>
    </row>
    <row r="1168" spans="1:8" x14ac:dyDescent="0.35">
      <c r="A1168" t="s">
        <v>37</v>
      </c>
      <c r="B1168">
        <v>2013</v>
      </c>
      <c r="C1168">
        <v>6</v>
      </c>
      <c r="D1168">
        <v>21260</v>
      </c>
      <c r="E1168">
        <v>76</v>
      </c>
      <c r="F1168">
        <v>14823.08</v>
      </c>
      <c r="G1168">
        <v>4809.59</v>
      </c>
      <c r="H1168" t="str">
        <f>VLOOKUP(myynnit[[#This Row],[TuoteID]],ohjaus!$A$4:$B$20,2,FALSE)</f>
        <v>Lepotuoli</v>
      </c>
    </row>
    <row r="1169" spans="1:8" x14ac:dyDescent="0.35">
      <c r="A1169" t="s">
        <v>37</v>
      </c>
      <c r="B1169">
        <v>2013</v>
      </c>
      <c r="C1169">
        <v>6</v>
      </c>
      <c r="D1169">
        <v>22317</v>
      </c>
      <c r="E1169">
        <v>114</v>
      </c>
      <c r="F1169">
        <v>9578.64</v>
      </c>
      <c r="G1169">
        <v>3867.77</v>
      </c>
      <c r="H1169" t="str">
        <f>VLOOKUP(myynnit[[#This Row],[TuoteID]],ohjaus!$A$4:$B$20,2,FALSE)</f>
        <v>Säkkituoli</v>
      </c>
    </row>
    <row r="1170" spans="1:8" x14ac:dyDescent="0.35">
      <c r="A1170" t="s">
        <v>37</v>
      </c>
      <c r="B1170">
        <v>2013</v>
      </c>
      <c r="C1170">
        <v>6</v>
      </c>
      <c r="D1170">
        <v>22940</v>
      </c>
      <c r="E1170">
        <v>509</v>
      </c>
      <c r="F1170">
        <v>62540.6</v>
      </c>
      <c r="G1170">
        <v>11989.48</v>
      </c>
      <c r="H1170" t="str">
        <f>VLOOKUP(myynnit[[#This Row],[TuoteID]],ohjaus!$A$4:$B$20,2,FALSE)</f>
        <v>Pinnatuoli</v>
      </c>
    </row>
    <row r="1171" spans="1:8" x14ac:dyDescent="0.35">
      <c r="A1171" t="s">
        <v>37</v>
      </c>
      <c r="B1171">
        <v>2013</v>
      </c>
      <c r="C1171">
        <v>6</v>
      </c>
      <c r="D1171">
        <v>23178</v>
      </c>
      <c r="E1171">
        <v>335</v>
      </c>
      <c r="F1171">
        <v>61636.28</v>
      </c>
      <c r="G1171">
        <v>10297.870000000001</v>
      </c>
      <c r="H1171" t="str">
        <f>VLOOKUP(myynnit[[#This Row],[TuoteID]],ohjaus!$A$4:$B$20,2,FALSE)</f>
        <v>Pinnatuoli</v>
      </c>
    </row>
    <row r="1172" spans="1:8" x14ac:dyDescent="0.35">
      <c r="A1172" t="s">
        <v>37</v>
      </c>
      <c r="B1172">
        <v>2013</v>
      </c>
      <c r="C1172">
        <v>6</v>
      </c>
      <c r="D1172">
        <v>23600</v>
      </c>
      <c r="E1172">
        <v>1148</v>
      </c>
      <c r="F1172">
        <v>128889.60000000001</v>
      </c>
      <c r="G1172">
        <v>32203.16</v>
      </c>
      <c r="H1172" t="str">
        <f>VLOOKUP(myynnit[[#This Row],[TuoteID]],ohjaus!$A$4:$B$20,2,FALSE)</f>
        <v>Pinnatuoli</v>
      </c>
    </row>
    <row r="1173" spans="1:8" x14ac:dyDescent="0.35">
      <c r="A1173" t="s">
        <v>37</v>
      </c>
      <c r="B1173">
        <v>2013</v>
      </c>
      <c r="C1173">
        <v>6</v>
      </c>
      <c r="D1173">
        <v>23756</v>
      </c>
      <c r="E1173">
        <v>123</v>
      </c>
      <c r="F1173">
        <v>22977.32</v>
      </c>
      <c r="G1173">
        <v>10772.28</v>
      </c>
      <c r="H1173" t="str">
        <f>VLOOKUP(myynnit[[#This Row],[TuoteID]],ohjaus!$A$4:$B$20,2,FALSE)</f>
        <v>Pianotuoli</v>
      </c>
    </row>
    <row r="1174" spans="1:8" x14ac:dyDescent="0.35">
      <c r="A1174" t="s">
        <v>37</v>
      </c>
      <c r="B1174">
        <v>2013</v>
      </c>
      <c r="C1174">
        <v>6</v>
      </c>
      <c r="D1174">
        <v>24326</v>
      </c>
      <c r="E1174">
        <v>148</v>
      </c>
      <c r="F1174">
        <v>23044.3</v>
      </c>
      <c r="G1174">
        <v>7428.78</v>
      </c>
      <c r="H1174" t="str">
        <f>VLOOKUP(myynnit[[#This Row],[TuoteID]],ohjaus!$A$4:$B$20,2,FALSE)</f>
        <v>Lepotuoli</v>
      </c>
    </row>
    <row r="1175" spans="1:8" x14ac:dyDescent="0.35">
      <c r="A1175" t="s">
        <v>40</v>
      </c>
      <c r="B1175">
        <v>2013</v>
      </c>
      <c r="C1175">
        <v>6</v>
      </c>
      <c r="D1175">
        <v>12184</v>
      </c>
      <c r="E1175">
        <v>26</v>
      </c>
      <c r="F1175">
        <v>2647.88</v>
      </c>
      <c r="G1175">
        <v>1140.72</v>
      </c>
      <c r="H1175" t="str">
        <f>VLOOKUP(myynnit[[#This Row],[TuoteID]],ohjaus!$A$4:$B$20,2,FALSE)</f>
        <v>Rahi</v>
      </c>
    </row>
    <row r="1176" spans="1:8" x14ac:dyDescent="0.35">
      <c r="A1176" t="s">
        <v>40</v>
      </c>
      <c r="B1176">
        <v>2013</v>
      </c>
      <c r="C1176">
        <v>6</v>
      </c>
      <c r="D1176">
        <v>12622</v>
      </c>
      <c r="E1176">
        <v>21</v>
      </c>
      <c r="F1176">
        <v>5487.76</v>
      </c>
      <c r="G1176">
        <v>2284.94</v>
      </c>
      <c r="H1176" t="str">
        <f>VLOOKUP(myynnit[[#This Row],[TuoteID]],ohjaus!$A$4:$B$20,2,FALSE)</f>
        <v>Pianotuoli</v>
      </c>
    </row>
    <row r="1177" spans="1:8" x14ac:dyDescent="0.35">
      <c r="A1177" t="s">
        <v>40</v>
      </c>
      <c r="B1177">
        <v>2013</v>
      </c>
      <c r="C1177">
        <v>6</v>
      </c>
      <c r="D1177">
        <v>13527</v>
      </c>
      <c r="E1177">
        <v>355</v>
      </c>
      <c r="F1177">
        <v>59969.19</v>
      </c>
      <c r="G1177">
        <v>11835.6</v>
      </c>
      <c r="H1177" t="str">
        <f>VLOOKUP(myynnit[[#This Row],[TuoteID]],ohjaus!$A$4:$B$20,2,FALSE)</f>
        <v>Pinnatuoli</v>
      </c>
    </row>
    <row r="1178" spans="1:8" x14ac:dyDescent="0.35">
      <c r="A1178" t="s">
        <v>40</v>
      </c>
      <c r="B1178">
        <v>2013</v>
      </c>
      <c r="C1178">
        <v>6</v>
      </c>
      <c r="D1178">
        <v>13618</v>
      </c>
      <c r="E1178">
        <v>7</v>
      </c>
      <c r="F1178">
        <v>3112.47</v>
      </c>
      <c r="G1178">
        <v>1394.09</v>
      </c>
      <c r="H1178" t="str">
        <f>VLOOKUP(myynnit[[#This Row],[TuoteID]],ohjaus!$A$4:$B$20,2,FALSE)</f>
        <v>Pianotuoli</v>
      </c>
    </row>
    <row r="1179" spans="1:8" x14ac:dyDescent="0.35">
      <c r="A1179" t="s">
        <v>40</v>
      </c>
      <c r="B1179">
        <v>2013</v>
      </c>
      <c r="C1179">
        <v>6</v>
      </c>
      <c r="D1179">
        <v>16024</v>
      </c>
      <c r="E1179">
        <v>111</v>
      </c>
      <c r="F1179">
        <v>42909.94</v>
      </c>
      <c r="G1179">
        <v>14233.68</v>
      </c>
      <c r="H1179" t="str">
        <f>VLOOKUP(myynnit[[#This Row],[TuoteID]],ohjaus!$A$4:$B$20,2,FALSE)</f>
        <v>Työtuoli</v>
      </c>
    </row>
    <row r="1180" spans="1:8" x14ac:dyDescent="0.35">
      <c r="A1180" t="s">
        <v>40</v>
      </c>
      <c r="B1180">
        <v>2013</v>
      </c>
      <c r="C1180">
        <v>6</v>
      </c>
      <c r="D1180">
        <v>16650</v>
      </c>
      <c r="E1180">
        <v>21</v>
      </c>
      <c r="F1180">
        <v>3778.94</v>
      </c>
      <c r="G1180">
        <v>2640.39</v>
      </c>
      <c r="H1180" t="str">
        <f>VLOOKUP(myynnit[[#This Row],[TuoteID]],ohjaus!$A$4:$B$20,2,FALSE)</f>
        <v>Rahi</v>
      </c>
    </row>
    <row r="1181" spans="1:8" x14ac:dyDescent="0.35">
      <c r="A1181" t="s">
        <v>40</v>
      </c>
      <c r="B1181">
        <v>2013</v>
      </c>
      <c r="C1181">
        <v>6</v>
      </c>
      <c r="D1181">
        <v>17892</v>
      </c>
      <c r="E1181">
        <v>62</v>
      </c>
      <c r="F1181">
        <v>8419.57</v>
      </c>
      <c r="G1181">
        <v>2073.65</v>
      </c>
      <c r="H1181" t="str">
        <f>VLOOKUP(myynnit[[#This Row],[TuoteID]],ohjaus!$A$4:$B$20,2,FALSE)</f>
        <v>Lepotuoli</v>
      </c>
    </row>
    <row r="1182" spans="1:8" x14ac:dyDescent="0.35">
      <c r="A1182" t="s">
        <v>40</v>
      </c>
      <c r="B1182">
        <v>2013</v>
      </c>
      <c r="C1182">
        <v>6</v>
      </c>
      <c r="D1182">
        <v>18342</v>
      </c>
      <c r="E1182">
        <v>24</v>
      </c>
      <c r="F1182">
        <v>17872.03</v>
      </c>
      <c r="G1182">
        <v>4756.6499999999996</v>
      </c>
      <c r="H1182" t="str">
        <f>VLOOKUP(myynnit[[#This Row],[TuoteID]],ohjaus!$A$4:$B$20,2,FALSE)</f>
        <v>Työtuoli</v>
      </c>
    </row>
    <row r="1183" spans="1:8" x14ac:dyDescent="0.35">
      <c r="A1183" t="s">
        <v>40</v>
      </c>
      <c r="B1183">
        <v>2013</v>
      </c>
      <c r="C1183">
        <v>6</v>
      </c>
      <c r="D1183">
        <v>20177</v>
      </c>
      <c r="E1183">
        <v>14</v>
      </c>
      <c r="F1183">
        <v>1481.67</v>
      </c>
      <c r="G1183">
        <v>541.11</v>
      </c>
      <c r="H1183" t="str">
        <f>VLOOKUP(myynnit[[#This Row],[TuoteID]],ohjaus!$A$4:$B$20,2,FALSE)</f>
        <v>Säkkituoli</v>
      </c>
    </row>
    <row r="1184" spans="1:8" x14ac:dyDescent="0.35">
      <c r="A1184" t="s">
        <v>40</v>
      </c>
      <c r="B1184">
        <v>2013</v>
      </c>
      <c r="C1184">
        <v>6</v>
      </c>
      <c r="D1184">
        <v>21179</v>
      </c>
      <c r="E1184">
        <v>43</v>
      </c>
      <c r="F1184">
        <v>6441.2</v>
      </c>
      <c r="G1184">
        <v>4214.29</v>
      </c>
      <c r="H1184" t="str">
        <f>VLOOKUP(myynnit[[#This Row],[TuoteID]],ohjaus!$A$4:$B$20,2,FALSE)</f>
        <v>Rahi</v>
      </c>
    </row>
    <row r="1185" spans="1:8" x14ac:dyDescent="0.35">
      <c r="A1185" t="s">
        <v>40</v>
      </c>
      <c r="B1185">
        <v>2013</v>
      </c>
      <c r="C1185">
        <v>6</v>
      </c>
      <c r="D1185">
        <v>21260</v>
      </c>
      <c r="E1185">
        <v>43</v>
      </c>
      <c r="F1185">
        <v>8791.25</v>
      </c>
      <c r="G1185">
        <v>2061.87</v>
      </c>
      <c r="H1185" t="str">
        <f>VLOOKUP(myynnit[[#This Row],[TuoteID]],ohjaus!$A$4:$B$20,2,FALSE)</f>
        <v>Lepotuoli</v>
      </c>
    </row>
    <row r="1186" spans="1:8" x14ac:dyDescent="0.35">
      <c r="A1186" t="s">
        <v>40</v>
      </c>
      <c r="B1186">
        <v>2013</v>
      </c>
      <c r="C1186">
        <v>6</v>
      </c>
      <c r="D1186">
        <v>22317</v>
      </c>
      <c r="E1186">
        <v>10</v>
      </c>
      <c r="F1186">
        <v>893.72</v>
      </c>
      <c r="G1186">
        <v>417.42</v>
      </c>
      <c r="H1186" t="str">
        <f>VLOOKUP(myynnit[[#This Row],[TuoteID]],ohjaus!$A$4:$B$20,2,FALSE)</f>
        <v>Säkkituoli</v>
      </c>
    </row>
    <row r="1187" spans="1:8" x14ac:dyDescent="0.35">
      <c r="A1187" t="s">
        <v>40</v>
      </c>
      <c r="B1187">
        <v>2013</v>
      </c>
      <c r="C1187">
        <v>6</v>
      </c>
      <c r="D1187">
        <v>22940</v>
      </c>
      <c r="E1187">
        <v>209</v>
      </c>
      <c r="F1187">
        <v>29727.14</v>
      </c>
      <c r="G1187">
        <v>7088.68</v>
      </c>
      <c r="H1187" t="str">
        <f>VLOOKUP(myynnit[[#This Row],[TuoteID]],ohjaus!$A$4:$B$20,2,FALSE)</f>
        <v>Pinnatuoli</v>
      </c>
    </row>
    <row r="1188" spans="1:8" x14ac:dyDescent="0.35">
      <c r="A1188" t="s">
        <v>40</v>
      </c>
      <c r="B1188">
        <v>2013</v>
      </c>
      <c r="C1188">
        <v>6</v>
      </c>
      <c r="D1188">
        <v>23178</v>
      </c>
      <c r="E1188">
        <v>316</v>
      </c>
      <c r="F1188">
        <v>57693.85</v>
      </c>
      <c r="G1188">
        <v>15115.61</v>
      </c>
      <c r="H1188" t="str">
        <f>VLOOKUP(myynnit[[#This Row],[TuoteID]],ohjaus!$A$4:$B$20,2,FALSE)</f>
        <v>Pinnatuoli</v>
      </c>
    </row>
    <row r="1189" spans="1:8" x14ac:dyDescent="0.35">
      <c r="A1189" t="s">
        <v>40</v>
      </c>
      <c r="B1189">
        <v>2013</v>
      </c>
      <c r="C1189">
        <v>6</v>
      </c>
      <c r="D1189">
        <v>23600</v>
      </c>
      <c r="E1189">
        <v>302</v>
      </c>
      <c r="F1189">
        <v>37606.29</v>
      </c>
      <c r="G1189">
        <v>9839.51</v>
      </c>
      <c r="H1189" t="str">
        <f>VLOOKUP(myynnit[[#This Row],[TuoteID]],ohjaus!$A$4:$B$20,2,FALSE)</f>
        <v>Pinnatuoli</v>
      </c>
    </row>
    <row r="1190" spans="1:8" x14ac:dyDescent="0.35">
      <c r="A1190" t="s">
        <v>40</v>
      </c>
      <c r="B1190">
        <v>2013</v>
      </c>
      <c r="C1190">
        <v>6</v>
      </c>
      <c r="D1190">
        <v>23756</v>
      </c>
      <c r="E1190">
        <v>35</v>
      </c>
      <c r="F1190">
        <v>5918.26</v>
      </c>
      <c r="G1190">
        <v>2759.29</v>
      </c>
      <c r="H1190" t="str">
        <f>VLOOKUP(myynnit[[#This Row],[TuoteID]],ohjaus!$A$4:$B$20,2,FALSE)</f>
        <v>Pianotuoli</v>
      </c>
    </row>
    <row r="1191" spans="1:8" x14ac:dyDescent="0.35">
      <c r="A1191" t="s">
        <v>40</v>
      </c>
      <c r="B1191">
        <v>2013</v>
      </c>
      <c r="C1191">
        <v>6</v>
      </c>
      <c r="D1191">
        <v>24326</v>
      </c>
      <c r="E1191">
        <v>34</v>
      </c>
      <c r="F1191">
        <v>4547.78</v>
      </c>
      <c r="G1191">
        <v>1359.21</v>
      </c>
      <c r="H1191" t="str">
        <f>VLOOKUP(myynnit[[#This Row],[TuoteID]],ohjaus!$A$4:$B$20,2,FALSE)</f>
        <v>Lepotuoli</v>
      </c>
    </row>
    <row r="1192" spans="1:8" x14ac:dyDescent="0.35">
      <c r="A1192" t="s">
        <v>39</v>
      </c>
      <c r="B1192">
        <v>2013</v>
      </c>
      <c r="C1192">
        <v>6</v>
      </c>
      <c r="D1192">
        <v>12184</v>
      </c>
      <c r="E1192">
        <v>91</v>
      </c>
      <c r="F1192">
        <v>14684.94</v>
      </c>
      <c r="G1192">
        <v>10417.61</v>
      </c>
      <c r="H1192" t="str">
        <f>VLOOKUP(myynnit[[#This Row],[TuoteID]],ohjaus!$A$4:$B$20,2,FALSE)</f>
        <v>Rahi</v>
      </c>
    </row>
    <row r="1193" spans="1:8" x14ac:dyDescent="0.35">
      <c r="A1193" t="s">
        <v>39</v>
      </c>
      <c r="B1193">
        <v>2013</v>
      </c>
      <c r="C1193">
        <v>6</v>
      </c>
      <c r="D1193">
        <v>12622</v>
      </c>
      <c r="E1193">
        <v>35</v>
      </c>
      <c r="F1193">
        <v>10335.780000000001</v>
      </c>
      <c r="G1193">
        <v>6043.28</v>
      </c>
      <c r="H1193" t="str">
        <f>VLOOKUP(myynnit[[#This Row],[TuoteID]],ohjaus!$A$4:$B$20,2,FALSE)</f>
        <v>Pianotuoli</v>
      </c>
    </row>
    <row r="1194" spans="1:8" x14ac:dyDescent="0.35">
      <c r="A1194" t="s">
        <v>39</v>
      </c>
      <c r="B1194">
        <v>2013</v>
      </c>
      <c r="C1194">
        <v>6</v>
      </c>
      <c r="D1194">
        <v>13527</v>
      </c>
      <c r="E1194">
        <v>451</v>
      </c>
      <c r="F1194">
        <v>69497.289999999994</v>
      </c>
      <c r="G1194">
        <v>18116.02</v>
      </c>
      <c r="H1194" t="str">
        <f>VLOOKUP(myynnit[[#This Row],[TuoteID]],ohjaus!$A$4:$B$20,2,FALSE)</f>
        <v>Pinnatuoli</v>
      </c>
    </row>
    <row r="1195" spans="1:8" x14ac:dyDescent="0.35">
      <c r="A1195" t="s">
        <v>39</v>
      </c>
      <c r="B1195">
        <v>2013</v>
      </c>
      <c r="C1195">
        <v>6</v>
      </c>
      <c r="D1195">
        <v>13618</v>
      </c>
      <c r="E1195">
        <v>18</v>
      </c>
      <c r="F1195">
        <v>6702.83</v>
      </c>
      <c r="G1195">
        <v>3248.96</v>
      </c>
      <c r="H1195" t="str">
        <f>VLOOKUP(myynnit[[#This Row],[TuoteID]],ohjaus!$A$4:$B$20,2,FALSE)</f>
        <v>Pianotuoli</v>
      </c>
    </row>
    <row r="1196" spans="1:8" x14ac:dyDescent="0.35">
      <c r="A1196" t="s">
        <v>39</v>
      </c>
      <c r="B1196">
        <v>2013</v>
      </c>
      <c r="C1196">
        <v>6</v>
      </c>
      <c r="D1196">
        <v>16024</v>
      </c>
      <c r="E1196">
        <v>143</v>
      </c>
      <c r="F1196">
        <v>64940.37</v>
      </c>
      <c r="G1196">
        <v>19108.04</v>
      </c>
      <c r="H1196" t="str">
        <f>VLOOKUP(myynnit[[#This Row],[TuoteID]],ohjaus!$A$4:$B$20,2,FALSE)</f>
        <v>Työtuoli</v>
      </c>
    </row>
    <row r="1197" spans="1:8" x14ac:dyDescent="0.35">
      <c r="A1197" t="s">
        <v>39</v>
      </c>
      <c r="B1197">
        <v>2013</v>
      </c>
      <c r="C1197">
        <v>6</v>
      </c>
      <c r="D1197">
        <v>16650</v>
      </c>
      <c r="E1197">
        <v>49</v>
      </c>
      <c r="F1197">
        <v>6326.63</v>
      </c>
      <c r="G1197">
        <v>4111.63</v>
      </c>
      <c r="H1197" t="str">
        <f>VLOOKUP(myynnit[[#This Row],[TuoteID]],ohjaus!$A$4:$B$20,2,FALSE)</f>
        <v>Rahi</v>
      </c>
    </row>
    <row r="1198" spans="1:8" x14ac:dyDescent="0.35">
      <c r="A1198" t="s">
        <v>39</v>
      </c>
      <c r="B1198">
        <v>2013</v>
      </c>
      <c r="C1198">
        <v>6</v>
      </c>
      <c r="D1198">
        <v>17892</v>
      </c>
      <c r="E1198">
        <v>107</v>
      </c>
      <c r="F1198">
        <v>13842.6</v>
      </c>
      <c r="G1198">
        <v>4572.6499999999996</v>
      </c>
      <c r="H1198" t="str">
        <f>VLOOKUP(myynnit[[#This Row],[TuoteID]],ohjaus!$A$4:$B$20,2,FALSE)</f>
        <v>Lepotuoli</v>
      </c>
    </row>
    <row r="1199" spans="1:8" x14ac:dyDescent="0.35">
      <c r="A1199" t="s">
        <v>39</v>
      </c>
      <c r="B1199">
        <v>2013</v>
      </c>
      <c r="C1199">
        <v>6</v>
      </c>
      <c r="D1199">
        <v>18342</v>
      </c>
      <c r="E1199">
        <v>100</v>
      </c>
      <c r="F1199">
        <v>76557.279999999999</v>
      </c>
      <c r="G1199">
        <v>23322</v>
      </c>
      <c r="H1199" t="str">
        <f>VLOOKUP(myynnit[[#This Row],[TuoteID]],ohjaus!$A$4:$B$20,2,FALSE)</f>
        <v>Työtuoli</v>
      </c>
    </row>
    <row r="1200" spans="1:8" x14ac:dyDescent="0.35">
      <c r="A1200" t="s">
        <v>39</v>
      </c>
      <c r="B1200">
        <v>2013</v>
      </c>
      <c r="C1200">
        <v>6</v>
      </c>
      <c r="D1200">
        <v>20177</v>
      </c>
      <c r="E1200">
        <v>80</v>
      </c>
      <c r="F1200">
        <v>7655.99</v>
      </c>
      <c r="G1200">
        <v>3024.53</v>
      </c>
      <c r="H1200" t="str">
        <f>VLOOKUP(myynnit[[#This Row],[TuoteID]],ohjaus!$A$4:$B$20,2,FALSE)</f>
        <v>Säkkituoli</v>
      </c>
    </row>
    <row r="1201" spans="1:8" x14ac:dyDescent="0.35">
      <c r="A1201" t="s">
        <v>39</v>
      </c>
      <c r="B1201">
        <v>2013</v>
      </c>
      <c r="C1201">
        <v>6</v>
      </c>
      <c r="D1201">
        <v>21179</v>
      </c>
      <c r="E1201">
        <v>67</v>
      </c>
      <c r="F1201">
        <v>10110.82</v>
      </c>
      <c r="G1201">
        <v>6779.17</v>
      </c>
      <c r="H1201" t="str">
        <f>VLOOKUP(myynnit[[#This Row],[TuoteID]],ohjaus!$A$4:$B$20,2,FALSE)</f>
        <v>Rahi</v>
      </c>
    </row>
    <row r="1202" spans="1:8" x14ac:dyDescent="0.35">
      <c r="A1202" t="s">
        <v>39</v>
      </c>
      <c r="B1202">
        <v>2013</v>
      </c>
      <c r="C1202">
        <v>6</v>
      </c>
      <c r="D1202">
        <v>21260</v>
      </c>
      <c r="E1202">
        <v>61</v>
      </c>
      <c r="F1202">
        <v>11738.24</v>
      </c>
      <c r="G1202">
        <v>3585.52</v>
      </c>
      <c r="H1202" t="str">
        <f>VLOOKUP(myynnit[[#This Row],[TuoteID]],ohjaus!$A$4:$B$20,2,FALSE)</f>
        <v>Lepotuoli</v>
      </c>
    </row>
    <row r="1203" spans="1:8" x14ac:dyDescent="0.35">
      <c r="A1203" t="s">
        <v>39</v>
      </c>
      <c r="B1203">
        <v>2013</v>
      </c>
      <c r="C1203">
        <v>6</v>
      </c>
      <c r="D1203">
        <v>22317</v>
      </c>
      <c r="E1203">
        <v>47</v>
      </c>
      <c r="F1203">
        <v>3786.47</v>
      </c>
      <c r="G1203">
        <v>1959.77</v>
      </c>
      <c r="H1203" t="str">
        <f>VLOOKUP(myynnit[[#This Row],[TuoteID]],ohjaus!$A$4:$B$20,2,FALSE)</f>
        <v>Säkkituoli</v>
      </c>
    </row>
    <row r="1204" spans="1:8" x14ac:dyDescent="0.35">
      <c r="A1204" t="s">
        <v>39</v>
      </c>
      <c r="B1204">
        <v>2013</v>
      </c>
      <c r="C1204">
        <v>6</v>
      </c>
      <c r="D1204">
        <v>22940</v>
      </c>
      <c r="E1204">
        <v>372</v>
      </c>
      <c r="F1204">
        <v>51181.85</v>
      </c>
      <c r="G1204">
        <v>14012.47</v>
      </c>
      <c r="H1204" t="str">
        <f>VLOOKUP(myynnit[[#This Row],[TuoteID]],ohjaus!$A$4:$B$20,2,FALSE)</f>
        <v>Pinnatuoli</v>
      </c>
    </row>
    <row r="1205" spans="1:8" x14ac:dyDescent="0.35">
      <c r="A1205" t="s">
        <v>39</v>
      </c>
      <c r="B1205">
        <v>2013</v>
      </c>
      <c r="C1205">
        <v>6</v>
      </c>
      <c r="D1205">
        <v>23178</v>
      </c>
      <c r="E1205">
        <v>189</v>
      </c>
      <c r="F1205">
        <v>36951.300000000003</v>
      </c>
      <c r="G1205">
        <v>10562.77</v>
      </c>
      <c r="H1205" t="str">
        <f>VLOOKUP(myynnit[[#This Row],[TuoteID]],ohjaus!$A$4:$B$20,2,FALSE)</f>
        <v>Pinnatuoli</v>
      </c>
    </row>
    <row r="1206" spans="1:8" x14ac:dyDescent="0.35">
      <c r="A1206" t="s">
        <v>39</v>
      </c>
      <c r="B1206">
        <v>2013</v>
      </c>
      <c r="C1206">
        <v>6</v>
      </c>
      <c r="D1206">
        <v>23600</v>
      </c>
      <c r="E1206">
        <v>1149</v>
      </c>
      <c r="F1206">
        <v>134326.96</v>
      </c>
      <c r="G1206">
        <v>33828.33</v>
      </c>
      <c r="H1206" t="str">
        <f>VLOOKUP(myynnit[[#This Row],[TuoteID]],ohjaus!$A$4:$B$20,2,FALSE)</f>
        <v>Pinnatuoli</v>
      </c>
    </row>
    <row r="1207" spans="1:8" x14ac:dyDescent="0.35">
      <c r="A1207" t="s">
        <v>39</v>
      </c>
      <c r="B1207">
        <v>2013</v>
      </c>
      <c r="C1207">
        <v>6</v>
      </c>
      <c r="D1207">
        <v>23756</v>
      </c>
      <c r="E1207">
        <v>114</v>
      </c>
      <c r="F1207">
        <v>21013.759999999998</v>
      </c>
      <c r="G1207">
        <v>12854.26</v>
      </c>
      <c r="H1207" t="str">
        <f>VLOOKUP(myynnit[[#This Row],[TuoteID]],ohjaus!$A$4:$B$20,2,FALSE)</f>
        <v>Pianotuoli</v>
      </c>
    </row>
    <row r="1208" spans="1:8" x14ac:dyDescent="0.35">
      <c r="A1208" t="s">
        <v>39</v>
      </c>
      <c r="B1208">
        <v>2013</v>
      </c>
      <c r="C1208">
        <v>6</v>
      </c>
      <c r="D1208">
        <v>24326</v>
      </c>
      <c r="E1208">
        <v>107</v>
      </c>
      <c r="F1208">
        <v>17088.150000000001</v>
      </c>
      <c r="G1208">
        <v>4841.04</v>
      </c>
      <c r="H1208" t="str">
        <f>VLOOKUP(myynnit[[#This Row],[TuoteID]],ohjaus!$A$4:$B$20,2,FALSE)</f>
        <v>Lepotuoli</v>
      </c>
    </row>
    <row r="1209" spans="1:8" x14ac:dyDescent="0.35">
      <c r="A1209" t="s">
        <v>38</v>
      </c>
      <c r="B1209">
        <v>2013</v>
      </c>
      <c r="C1209">
        <v>6</v>
      </c>
      <c r="D1209">
        <v>12184</v>
      </c>
      <c r="E1209">
        <v>60</v>
      </c>
      <c r="F1209">
        <v>8711.19</v>
      </c>
      <c r="G1209">
        <v>5642.23</v>
      </c>
      <c r="H1209" t="str">
        <f>VLOOKUP(myynnit[[#This Row],[TuoteID]],ohjaus!$A$4:$B$20,2,FALSE)</f>
        <v>Rahi</v>
      </c>
    </row>
    <row r="1210" spans="1:8" x14ac:dyDescent="0.35">
      <c r="A1210" t="s">
        <v>38</v>
      </c>
      <c r="B1210">
        <v>2013</v>
      </c>
      <c r="C1210">
        <v>6</v>
      </c>
      <c r="D1210">
        <v>12622</v>
      </c>
      <c r="E1210">
        <v>42</v>
      </c>
      <c r="F1210">
        <v>10049.99</v>
      </c>
      <c r="G1210">
        <v>4786.3</v>
      </c>
      <c r="H1210" t="str">
        <f>VLOOKUP(myynnit[[#This Row],[TuoteID]],ohjaus!$A$4:$B$20,2,FALSE)</f>
        <v>Pianotuoli</v>
      </c>
    </row>
    <row r="1211" spans="1:8" x14ac:dyDescent="0.35">
      <c r="A1211" t="s">
        <v>38</v>
      </c>
      <c r="B1211">
        <v>2013</v>
      </c>
      <c r="C1211">
        <v>6</v>
      </c>
      <c r="D1211">
        <v>13527</v>
      </c>
      <c r="E1211">
        <v>439</v>
      </c>
      <c r="F1211">
        <v>67749.55</v>
      </c>
      <c r="G1211">
        <v>15783.31</v>
      </c>
      <c r="H1211" t="str">
        <f>VLOOKUP(myynnit[[#This Row],[TuoteID]],ohjaus!$A$4:$B$20,2,FALSE)</f>
        <v>Pinnatuoli</v>
      </c>
    </row>
    <row r="1212" spans="1:8" x14ac:dyDescent="0.35">
      <c r="A1212" t="s">
        <v>38</v>
      </c>
      <c r="B1212">
        <v>2013</v>
      </c>
      <c r="C1212">
        <v>6</v>
      </c>
      <c r="D1212">
        <v>13618</v>
      </c>
      <c r="E1212">
        <v>8</v>
      </c>
      <c r="F1212">
        <v>2935.23</v>
      </c>
      <c r="G1212">
        <v>1547.12</v>
      </c>
      <c r="H1212" t="str">
        <f>VLOOKUP(myynnit[[#This Row],[TuoteID]],ohjaus!$A$4:$B$20,2,FALSE)</f>
        <v>Pianotuoli</v>
      </c>
    </row>
    <row r="1213" spans="1:8" x14ac:dyDescent="0.35">
      <c r="A1213" t="s">
        <v>38</v>
      </c>
      <c r="B1213">
        <v>2013</v>
      </c>
      <c r="C1213">
        <v>6</v>
      </c>
      <c r="D1213">
        <v>16024</v>
      </c>
      <c r="E1213">
        <v>133</v>
      </c>
      <c r="F1213">
        <v>62232.97</v>
      </c>
      <c r="G1213">
        <v>17737.02</v>
      </c>
      <c r="H1213" t="str">
        <f>VLOOKUP(myynnit[[#This Row],[TuoteID]],ohjaus!$A$4:$B$20,2,FALSE)</f>
        <v>Työtuoli</v>
      </c>
    </row>
    <row r="1214" spans="1:8" x14ac:dyDescent="0.35">
      <c r="A1214" t="s">
        <v>38</v>
      </c>
      <c r="B1214">
        <v>2013</v>
      </c>
      <c r="C1214">
        <v>6</v>
      </c>
      <c r="D1214">
        <v>16650</v>
      </c>
      <c r="E1214">
        <v>60</v>
      </c>
      <c r="F1214">
        <v>8637.16</v>
      </c>
      <c r="G1214">
        <v>4326.45</v>
      </c>
      <c r="H1214" t="str">
        <f>VLOOKUP(myynnit[[#This Row],[TuoteID]],ohjaus!$A$4:$B$20,2,FALSE)</f>
        <v>Rahi</v>
      </c>
    </row>
    <row r="1215" spans="1:8" x14ac:dyDescent="0.35">
      <c r="A1215" t="s">
        <v>38</v>
      </c>
      <c r="B1215">
        <v>2013</v>
      </c>
      <c r="C1215">
        <v>6</v>
      </c>
      <c r="D1215">
        <v>17892</v>
      </c>
      <c r="E1215">
        <v>99</v>
      </c>
      <c r="F1215">
        <v>13079.35</v>
      </c>
      <c r="G1215">
        <v>2902.34</v>
      </c>
      <c r="H1215" t="str">
        <f>VLOOKUP(myynnit[[#This Row],[TuoteID]],ohjaus!$A$4:$B$20,2,FALSE)</f>
        <v>Lepotuoli</v>
      </c>
    </row>
    <row r="1216" spans="1:8" x14ac:dyDescent="0.35">
      <c r="A1216" t="s">
        <v>38</v>
      </c>
      <c r="B1216">
        <v>2013</v>
      </c>
      <c r="C1216">
        <v>6</v>
      </c>
      <c r="D1216">
        <v>18342</v>
      </c>
      <c r="E1216">
        <v>129</v>
      </c>
      <c r="F1216">
        <v>115367.19</v>
      </c>
      <c r="G1216">
        <v>24002.25</v>
      </c>
      <c r="H1216" t="str">
        <f>VLOOKUP(myynnit[[#This Row],[TuoteID]],ohjaus!$A$4:$B$20,2,FALSE)</f>
        <v>Työtuoli</v>
      </c>
    </row>
    <row r="1217" spans="1:8" x14ac:dyDescent="0.35">
      <c r="A1217" t="s">
        <v>38</v>
      </c>
      <c r="B1217">
        <v>2013</v>
      </c>
      <c r="C1217">
        <v>6</v>
      </c>
      <c r="D1217">
        <v>20177</v>
      </c>
      <c r="E1217">
        <v>104</v>
      </c>
      <c r="F1217">
        <v>10326.66</v>
      </c>
      <c r="G1217">
        <v>4353.92</v>
      </c>
      <c r="H1217" t="str">
        <f>VLOOKUP(myynnit[[#This Row],[TuoteID]],ohjaus!$A$4:$B$20,2,FALSE)</f>
        <v>Säkkituoli</v>
      </c>
    </row>
    <row r="1218" spans="1:8" x14ac:dyDescent="0.35">
      <c r="A1218" t="s">
        <v>38</v>
      </c>
      <c r="B1218">
        <v>2013</v>
      </c>
      <c r="C1218">
        <v>6</v>
      </c>
      <c r="D1218">
        <v>21179</v>
      </c>
      <c r="E1218">
        <v>50</v>
      </c>
      <c r="F1218">
        <v>6552.29</v>
      </c>
      <c r="G1218">
        <v>3652.29</v>
      </c>
      <c r="H1218" t="str">
        <f>VLOOKUP(myynnit[[#This Row],[TuoteID]],ohjaus!$A$4:$B$20,2,FALSE)</f>
        <v>Rahi</v>
      </c>
    </row>
    <row r="1219" spans="1:8" x14ac:dyDescent="0.35">
      <c r="A1219" t="s">
        <v>38</v>
      </c>
      <c r="B1219">
        <v>2013</v>
      </c>
      <c r="C1219">
        <v>6</v>
      </c>
      <c r="D1219">
        <v>21260</v>
      </c>
      <c r="E1219">
        <v>56</v>
      </c>
      <c r="F1219">
        <v>9905.2900000000009</v>
      </c>
      <c r="G1219">
        <v>2174.44</v>
      </c>
      <c r="H1219" t="str">
        <f>VLOOKUP(myynnit[[#This Row],[TuoteID]],ohjaus!$A$4:$B$20,2,FALSE)</f>
        <v>Lepotuoli</v>
      </c>
    </row>
    <row r="1220" spans="1:8" x14ac:dyDescent="0.35">
      <c r="A1220" t="s">
        <v>38</v>
      </c>
      <c r="B1220">
        <v>2013</v>
      </c>
      <c r="C1220">
        <v>6</v>
      </c>
      <c r="D1220">
        <v>22317</v>
      </c>
      <c r="E1220">
        <v>53</v>
      </c>
      <c r="F1220">
        <v>4960.1899999999996</v>
      </c>
      <c r="G1220">
        <v>1663.78</v>
      </c>
      <c r="H1220" t="str">
        <f>VLOOKUP(myynnit[[#This Row],[TuoteID]],ohjaus!$A$4:$B$20,2,FALSE)</f>
        <v>Säkkituoli</v>
      </c>
    </row>
    <row r="1221" spans="1:8" x14ac:dyDescent="0.35">
      <c r="A1221" t="s">
        <v>38</v>
      </c>
      <c r="B1221">
        <v>2013</v>
      </c>
      <c r="C1221">
        <v>6</v>
      </c>
      <c r="D1221">
        <v>22940</v>
      </c>
      <c r="E1221">
        <v>607</v>
      </c>
      <c r="F1221">
        <v>73585.08</v>
      </c>
      <c r="G1221">
        <v>15867.23</v>
      </c>
      <c r="H1221" t="str">
        <f>VLOOKUP(myynnit[[#This Row],[TuoteID]],ohjaus!$A$4:$B$20,2,FALSE)</f>
        <v>Pinnatuoli</v>
      </c>
    </row>
    <row r="1222" spans="1:8" x14ac:dyDescent="0.35">
      <c r="A1222" t="s">
        <v>38</v>
      </c>
      <c r="B1222">
        <v>2013</v>
      </c>
      <c r="C1222">
        <v>6</v>
      </c>
      <c r="D1222">
        <v>23178</v>
      </c>
      <c r="E1222">
        <v>204</v>
      </c>
      <c r="F1222">
        <v>32987.89</v>
      </c>
      <c r="G1222">
        <v>7004.16</v>
      </c>
      <c r="H1222" t="str">
        <f>VLOOKUP(myynnit[[#This Row],[TuoteID]],ohjaus!$A$4:$B$20,2,FALSE)</f>
        <v>Pinnatuoli</v>
      </c>
    </row>
    <row r="1223" spans="1:8" x14ac:dyDescent="0.35">
      <c r="A1223" t="s">
        <v>38</v>
      </c>
      <c r="B1223">
        <v>2013</v>
      </c>
      <c r="C1223">
        <v>6</v>
      </c>
      <c r="D1223">
        <v>23600</v>
      </c>
      <c r="E1223">
        <v>744</v>
      </c>
      <c r="F1223">
        <v>80498.16</v>
      </c>
      <c r="G1223">
        <v>17522.7</v>
      </c>
      <c r="H1223" t="str">
        <f>VLOOKUP(myynnit[[#This Row],[TuoteID]],ohjaus!$A$4:$B$20,2,FALSE)</f>
        <v>Pinnatuoli</v>
      </c>
    </row>
    <row r="1224" spans="1:8" x14ac:dyDescent="0.35">
      <c r="A1224" t="s">
        <v>38</v>
      </c>
      <c r="B1224">
        <v>2013</v>
      </c>
      <c r="C1224">
        <v>6</v>
      </c>
      <c r="D1224">
        <v>23756</v>
      </c>
      <c r="E1224">
        <v>113</v>
      </c>
      <c r="F1224">
        <v>19400.990000000002</v>
      </c>
      <c r="G1224">
        <v>8993.6299999999992</v>
      </c>
      <c r="H1224" t="str">
        <f>VLOOKUP(myynnit[[#This Row],[TuoteID]],ohjaus!$A$4:$B$20,2,FALSE)</f>
        <v>Pianotuoli</v>
      </c>
    </row>
    <row r="1225" spans="1:8" x14ac:dyDescent="0.35">
      <c r="A1225" t="s">
        <v>38</v>
      </c>
      <c r="B1225">
        <v>2013</v>
      </c>
      <c r="C1225">
        <v>6</v>
      </c>
      <c r="D1225">
        <v>24326</v>
      </c>
      <c r="E1225">
        <v>144</v>
      </c>
      <c r="F1225">
        <v>18019.77</v>
      </c>
      <c r="G1225">
        <v>4310.6000000000004</v>
      </c>
      <c r="H1225" t="str">
        <f>VLOOKUP(myynnit[[#This Row],[TuoteID]],ohjaus!$A$4:$B$20,2,FALSE)</f>
        <v>Lepotuoli</v>
      </c>
    </row>
    <row r="1226" spans="1:8" x14ac:dyDescent="0.35">
      <c r="A1226" t="s">
        <v>37</v>
      </c>
      <c r="B1226">
        <v>2013</v>
      </c>
      <c r="C1226">
        <v>7</v>
      </c>
      <c r="D1226">
        <v>12184</v>
      </c>
      <c r="E1226">
        <v>62</v>
      </c>
      <c r="F1226">
        <v>6738.98</v>
      </c>
      <c r="G1226">
        <v>3671.19</v>
      </c>
      <c r="H1226" t="str">
        <f>VLOOKUP(myynnit[[#This Row],[TuoteID]],ohjaus!$A$4:$B$20,2,FALSE)</f>
        <v>Rahi</v>
      </c>
    </row>
    <row r="1227" spans="1:8" x14ac:dyDescent="0.35">
      <c r="A1227" t="s">
        <v>37</v>
      </c>
      <c r="B1227">
        <v>2013</v>
      </c>
      <c r="C1227">
        <v>7</v>
      </c>
      <c r="D1227">
        <v>12622</v>
      </c>
      <c r="E1227">
        <v>82</v>
      </c>
      <c r="F1227">
        <v>20052.07</v>
      </c>
      <c r="G1227">
        <v>10813.04</v>
      </c>
      <c r="H1227" t="str">
        <f>VLOOKUP(myynnit[[#This Row],[TuoteID]],ohjaus!$A$4:$B$20,2,FALSE)</f>
        <v>Pianotuoli</v>
      </c>
    </row>
    <row r="1228" spans="1:8" x14ac:dyDescent="0.35">
      <c r="A1228" t="s">
        <v>37</v>
      </c>
      <c r="B1228">
        <v>2013</v>
      </c>
      <c r="C1228">
        <v>7</v>
      </c>
      <c r="D1228">
        <v>13527</v>
      </c>
      <c r="E1228">
        <v>826</v>
      </c>
      <c r="F1228">
        <v>123965.91</v>
      </c>
      <c r="G1228">
        <v>26088.95</v>
      </c>
      <c r="H1228" t="str">
        <f>VLOOKUP(myynnit[[#This Row],[TuoteID]],ohjaus!$A$4:$B$20,2,FALSE)</f>
        <v>Pinnatuoli</v>
      </c>
    </row>
    <row r="1229" spans="1:8" x14ac:dyDescent="0.35">
      <c r="A1229" t="s">
        <v>37</v>
      </c>
      <c r="B1229">
        <v>2013</v>
      </c>
      <c r="C1229">
        <v>7</v>
      </c>
      <c r="D1229">
        <v>13618</v>
      </c>
      <c r="E1229">
        <v>24</v>
      </c>
      <c r="F1229">
        <v>7947.45</v>
      </c>
      <c r="G1229">
        <v>3987.21</v>
      </c>
      <c r="H1229" t="str">
        <f>VLOOKUP(myynnit[[#This Row],[TuoteID]],ohjaus!$A$4:$B$20,2,FALSE)</f>
        <v>Pianotuoli</v>
      </c>
    </row>
    <row r="1230" spans="1:8" x14ac:dyDescent="0.35">
      <c r="A1230" t="s">
        <v>37</v>
      </c>
      <c r="B1230">
        <v>2013</v>
      </c>
      <c r="C1230">
        <v>7</v>
      </c>
      <c r="D1230">
        <v>16024</v>
      </c>
      <c r="E1230">
        <v>293</v>
      </c>
      <c r="F1230">
        <v>125727.33</v>
      </c>
      <c r="G1230">
        <v>32770.800000000003</v>
      </c>
      <c r="H1230" t="str">
        <f>VLOOKUP(myynnit[[#This Row],[TuoteID]],ohjaus!$A$4:$B$20,2,FALSE)</f>
        <v>Työtuoli</v>
      </c>
    </row>
    <row r="1231" spans="1:8" x14ac:dyDescent="0.35">
      <c r="A1231" t="s">
        <v>37</v>
      </c>
      <c r="B1231">
        <v>2013</v>
      </c>
      <c r="C1231">
        <v>7</v>
      </c>
      <c r="D1231">
        <v>16650</v>
      </c>
      <c r="E1231">
        <v>53</v>
      </c>
      <c r="F1231">
        <v>8484.9500000000007</v>
      </c>
      <c r="G1231">
        <v>3880.98</v>
      </c>
      <c r="H1231" t="str">
        <f>VLOOKUP(myynnit[[#This Row],[TuoteID]],ohjaus!$A$4:$B$20,2,FALSE)</f>
        <v>Rahi</v>
      </c>
    </row>
    <row r="1232" spans="1:8" x14ac:dyDescent="0.35">
      <c r="A1232" t="s">
        <v>37</v>
      </c>
      <c r="B1232">
        <v>2013</v>
      </c>
      <c r="C1232">
        <v>7</v>
      </c>
      <c r="D1232">
        <v>17892</v>
      </c>
      <c r="E1232">
        <v>195</v>
      </c>
      <c r="F1232">
        <v>29927.26</v>
      </c>
      <c r="G1232">
        <v>8737.9</v>
      </c>
      <c r="H1232" t="str">
        <f>VLOOKUP(myynnit[[#This Row],[TuoteID]],ohjaus!$A$4:$B$20,2,FALSE)</f>
        <v>Lepotuoli</v>
      </c>
    </row>
    <row r="1233" spans="1:8" x14ac:dyDescent="0.35">
      <c r="A1233" t="s">
        <v>37</v>
      </c>
      <c r="B1233">
        <v>2013</v>
      </c>
      <c r="C1233">
        <v>7</v>
      </c>
      <c r="D1233">
        <v>18342</v>
      </c>
      <c r="E1233">
        <v>248</v>
      </c>
      <c r="F1233">
        <v>198723.37</v>
      </c>
      <c r="G1233">
        <v>63841.67</v>
      </c>
      <c r="H1233" t="str">
        <f>VLOOKUP(myynnit[[#This Row],[TuoteID]],ohjaus!$A$4:$B$20,2,FALSE)</f>
        <v>Työtuoli</v>
      </c>
    </row>
    <row r="1234" spans="1:8" x14ac:dyDescent="0.35">
      <c r="A1234" t="s">
        <v>37</v>
      </c>
      <c r="B1234">
        <v>2013</v>
      </c>
      <c r="C1234">
        <v>7</v>
      </c>
      <c r="D1234">
        <v>20177</v>
      </c>
      <c r="E1234">
        <v>72</v>
      </c>
      <c r="F1234">
        <v>6609.78</v>
      </c>
      <c r="G1234">
        <v>2756.3</v>
      </c>
      <c r="H1234" t="str">
        <f>VLOOKUP(myynnit[[#This Row],[TuoteID]],ohjaus!$A$4:$B$20,2,FALSE)</f>
        <v>Säkkituoli</v>
      </c>
    </row>
    <row r="1235" spans="1:8" x14ac:dyDescent="0.35">
      <c r="A1235" t="s">
        <v>37</v>
      </c>
      <c r="B1235">
        <v>2013</v>
      </c>
      <c r="C1235">
        <v>7</v>
      </c>
      <c r="D1235">
        <v>21179</v>
      </c>
      <c r="E1235">
        <v>80</v>
      </c>
      <c r="F1235">
        <v>8079.81</v>
      </c>
      <c r="G1235">
        <v>4233.62</v>
      </c>
      <c r="H1235" t="str">
        <f>VLOOKUP(myynnit[[#This Row],[TuoteID]],ohjaus!$A$4:$B$20,2,FALSE)</f>
        <v>Rahi</v>
      </c>
    </row>
    <row r="1236" spans="1:8" x14ac:dyDescent="0.35">
      <c r="A1236" t="s">
        <v>37</v>
      </c>
      <c r="B1236">
        <v>2013</v>
      </c>
      <c r="C1236">
        <v>7</v>
      </c>
      <c r="D1236">
        <v>21260</v>
      </c>
      <c r="E1236">
        <v>100</v>
      </c>
      <c r="F1236">
        <v>17997.689999999999</v>
      </c>
      <c r="G1236">
        <v>5760.94</v>
      </c>
      <c r="H1236" t="str">
        <f>VLOOKUP(myynnit[[#This Row],[TuoteID]],ohjaus!$A$4:$B$20,2,FALSE)</f>
        <v>Lepotuoli</v>
      </c>
    </row>
    <row r="1237" spans="1:8" x14ac:dyDescent="0.35">
      <c r="A1237" t="s">
        <v>37</v>
      </c>
      <c r="B1237">
        <v>2013</v>
      </c>
      <c r="C1237">
        <v>7</v>
      </c>
      <c r="D1237">
        <v>22317</v>
      </c>
      <c r="E1237">
        <v>123</v>
      </c>
      <c r="F1237">
        <v>10551</v>
      </c>
      <c r="G1237">
        <v>4231.87</v>
      </c>
      <c r="H1237" t="str">
        <f>VLOOKUP(myynnit[[#This Row],[TuoteID]],ohjaus!$A$4:$B$20,2,FALSE)</f>
        <v>Säkkituoli</v>
      </c>
    </row>
    <row r="1238" spans="1:8" x14ac:dyDescent="0.35">
      <c r="A1238" t="s">
        <v>37</v>
      </c>
      <c r="B1238">
        <v>2013</v>
      </c>
      <c r="C1238">
        <v>7</v>
      </c>
      <c r="D1238">
        <v>22940</v>
      </c>
      <c r="E1238">
        <v>351</v>
      </c>
      <c r="F1238">
        <v>46238.01</v>
      </c>
      <c r="G1238">
        <v>9684.11</v>
      </c>
      <c r="H1238" t="str">
        <f>VLOOKUP(myynnit[[#This Row],[TuoteID]],ohjaus!$A$4:$B$20,2,FALSE)</f>
        <v>Pinnatuoli</v>
      </c>
    </row>
    <row r="1239" spans="1:8" x14ac:dyDescent="0.35">
      <c r="A1239" t="s">
        <v>37</v>
      </c>
      <c r="B1239">
        <v>2013</v>
      </c>
      <c r="C1239">
        <v>7</v>
      </c>
      <c r="D1239">
        <v>23178</v>
      </c>
      <c r="E1239">
        <v>281</v>
      </c>
      <c r="F1239">
        <v>52735.78</v>
      </c>
      <c r="G1239">
        <v>8498.43</v>
      </c>
      <c r="H1239" t="str">
        <f>VLOOKUP(myynnit[[#This Row],[TuoteID]],ohjaus!$A$4:$B$20,2,FALSE)</f>
        <v>Pinnatuoli</v>
      </c>
    </row>
    <row r="1240" spans="1:8" x14ac:dyDescent="0.35">
      <c r="A1240" t="s">
        <v>37</v>
      </c>
      <c r="B1240">
        <v>2013</v>
      </c>
      <c r="C1240">
        <v>7</v>
      </c>
      <c r="D1240">
        <v>23600</v>
      </c>
      <c r="E1240">
        <v>541</v>
      </c>
      <c r="F1240">
        <v>54619.56</v>
      </c>
      <c r="G1240">
        <v>14924.21</v>
      </c>
      <c r="H1240" t="str">
        <f>VLOOKUP(myynnit[[#This Row],[TuoteID]],ohjaus!$A$4:$B$20,2,FALSE)</f>
        <v>Pinnatuoli</v>
      </c>
    </row>
    <row r="1241" spans="1:8" x14ac:dyDescent="0.35">
      <c r="A1241" t="s">
        <v>37</v>
      </c>
      <c r="B1241">
        <v>2013</v>
      </c>
      <c r="C1241">
        <v>7</v>
      </c>
      <c r="D1241">
        <v>23756</v>
      </c>
      <c r="E1241">
        <v>105</v>
      </c>
      <c r="F1241">
        <v>22180.07</v>
      </c>
      <c r="G1241">
        <v>9526.48</v>
      </c>
      <c r="H1241" t="str">
        <f>VLOOKUP(myynnit[[#This Row],[TuoteID]],ohjaus!$A$4:$B$20,2,FALSE)</f>
        <v>Pianotuoli</v>
      </c>
    </row>
    <row r="1242" spans="1:8" x14ac:dyDescent="0.35">
      <c r="A1242" t="s">
        <v>37</v>
      </c>
      <c r="B1242">
        <v>2013</v>
      </c>
      <c r="C1242">
        <v>7</v>
      </c>
      <c r="D1242">
        <v>24326</v>
      </c>
      <c r="E1242">
        <v>190</v>
      </c>
      <c r="F1242">
        <v>27581.01</v>
      </c>
      <c r="G1242">
        <v>8918.1</v>
      </c>
      <c r="H1242" t="str">
        <f>VLOOKUP(myynnit[[#This Row],[TuoteID]],ohjaus!$A$4:$B$20,2,FALSE)</f>
        <v>Lepotuoli</v>
      </c>
    </row>
    <row r="1243" spans="1:8" x14ac:dyDescent="0.35">
      <c r="A1243" t="s">
        <v>40</v>
      </c>
      <c r="B1243">
        <v>2013</v>
      </c>
      <c r="C1243">
        <v>7</v>
      </c>
      <c r="D1243">
        <v>12184</v>
      </c>
      <c r="E1243">
        <v>14</v>
      </c>
      <c r="F1243">
        <v>1920.37</v>
      </c>
      <c r="G1243">
        <v>830.86</v>
      </c>
      <c r="H1243" t="str">
        <f>VLOOKUP(myynnit[[#This Row],[TuoteID]],ohjaus!$A$4:$B$20,2,FALSE)</f>
        <v>Rahi</v>
      </c>
    </row>
    <row r="1244" spans="1:8" x14ac:dyDescent="0.35">
      <c r="A1244" t="s">
        <v>40</v>
      </c>
      <c r="B1244">
        <v>2013</v>
      </c>
      <c r="C1244">
        <v>7</v>
      </c>
      <c r="D1244">
        <v>12622</v>
      </c>
      <c r="E1244">
        <v>18</v>
      </c>
      <c r="F1244">
        <v>4208.2299999999996</v>
      </c>
      <c r="G1244">
        <v>1951.68</v>
      </c>
      <c r="H1244" t="str">
        <f>VLOOKUP(myynnit[[#This Row],[TuoteID]],ohjaus!$A$4:$B$20,2,FALSE)</f>
        <v>Pianotuoli</v>
      </c>
    </row>
    <row r="1245" spans="1:8" x14ac:dyDescent="0.35">
      <c r="A1245" t="s">
        <v>40</v>
      </c>
      <c r="B1245">
        <v>2013</v>
      </c>
      <c r="C1245">
        <v>7</v>
      </c>
      <c r="D1245">
        <v>13527</v>
      </c>
      <c r="E1245">
        <v>269</v>
      </c>
      <c r="F1245">
        <v>44296.09</v>
      </c>
      <c r="G1245">
        <v>6765.37</v>
      </c>
      <c r="H1245" t="str">
        <f>VLOOKUP(myynnit[[#This Row],[TuoteID]],ohjaus!$A$4:$B$20,2,FALSE)</f>
        <v>Pinnatuoli</v>
      </c>
    </row>
    <row r="1246" spans="1:8" x14ac:dyDescent="0.35">
      <c r="A1246" t="s">
        <v>40</v>
      </c>
      <c r="B1246">
        <v>2013</v>
      </c>
      <c r="C1246">
        <v>7</v>
      </c>
      <c r="D1246">
        <v>13618</v>
      </c>
      <c r="E1246">
        <v>8</v>
      </c>
      <c r="F1246">
        <v>3223.18</v>
      </c>
      <c r="G1246">
        <v>1493.52</v>
      </c>
      <c r="H1246" t="str">
        <f>VLOOKUP(myynnit[[#This Row],[TuoteID]],ohjaus!$A$4:$B$20,2,FALSE)</f>
        <v>Pianotuoli</v>
      </c>
    </row>
    <row r="1247" spans="1:8" x14ac:dyDescent="0.35">
      <c r="A1247" t="s">
        <v>40</v>
      </c>
      <c r="B1247">
        <v>2013</v>
      </c>
      <c r="C1247">
        <v>7</v>
      </c>
      <c r="D1247">
        <v>16024</v>
      </c>
      <c r="E1247">
        <v>111</v>
      </c>
      <c r="F1247">
        <v>47953.78</v>
      </c>
      <c r="G1247">
        <v>14807.81</v>
      </c>
      <c r="H1247" t="str">
        <f>VLOOKUP(myynnit[[#This Row],[TuoteID]],ohjaus!$A$4:$B$20,2,FALSE)</f>
        <v>Työtuoli</v>
      </c>
    </row>
    <row r="1248" spans="1:8" x14ac:dyDescent="0.35">
      <c r="A1248" t="s">
        <v>40</v>
      </c>
      <c r="B1248">
        <v>2013</v>
      </c>
      <c r="C1248">
        <v>7</v>
      </c>
      <c r="D1248">
        <v>16650</v>
      </c>
      <c r="E1248">
        <v>31</v>
      </c>
      <c r="F1248">
        <v>6019.86</v>
      </c>
      <c r="G1248">
        <v>4136.5600000000004</v>
      </c>
      <c r="H1248" t="str">
        <f>VLOOKUP(myynnit[[#This Row],[TuoteID]],ohjaus!$A$4:$B$20,2,FALSE)</f>
        <v>Rahi</v>
      </c>
    </row>
    <row r="1249" spans="1:8" x14ac:dyDescent="0.35">
      <c r="A1249" t="s">
        <v>40</v>
      </c>
      <c r="B1249">
        <v>2013</v>
      </c>
      <c r="C1249">
        <v>7</v>
      </c>
      <c r="D1249">
        <v>17892</v>
      </c>
      <c r="E1249">
        <v>95</v>
      </c>
      <c r="F1249">
        <v>12137.45</v>
      </c>
      <c r="G1249">
        <v>2660.37</v>
      </c>
      <c r="H1249" t="str">
        <f>VLOOKUP(myynnit[[#This Row],[TuoteID]],ohjaus!$A$4:$B$20,2,FALSE)</f>
        <v>Lepotuoli</v>
      </c>
    </row>
    <row r="1250" spans="1:8" x14ac:dyDescent="0.35">
      <c r="A1250" t="s">
        <v>40</v>
      </c>
      <c r="B1250">
        <v>2013</v>
      </c>
      <c r="C1250">
        <v>7</v>
      </c>
      <c r="D1250">
        <v>18342</v>
      </c>
      <c r="E1250">
        <v>19</v>
      </c>
      <c r="F1250">
        <v>17184.36</v>
      </c>
      <c r="G1250">
        <v>4651.3100000000004</v>
      </c>
      <c r="H1250" t="str">
        <f>VLOOKUP(myynnit[[#This Row],[TuoteID]],ohjaus!$A$4:$B$20,2,FALSE)</f>
        <v>Työtuoli</v>
      </c>
    </row>
    <row r="1251" spans="1:8" x14ac:dyDescent="0.35">
      <c r="A1251" t="s">
        <v>40</v>
      </c>
      <c r="B1251">
        <v>2013</v>
      </c>
      <c r="C1251">
        <v>7</v>
      </c>
      <c r="D1251">
        <v>20177</v>
      </c>
      <c r="E1251">
        <v>17</v>
      </c>
      <c r="F1251">
        <v>1993.25</v>
      </c>
      <c r="G1251">
        <v>810.97</v>
      </c>
      <c r="H1251" t="str">
        <f>VLOOKUP(myynnit[[#This Row],[TuoteID]],ohjaus!$A$4:$B$20,2,FALSE)</f>
        <v>Säkkituoli</v>
      </c>
    </row>
    <row r="1252" spans="1:8" x14ac:dyDescent="0.35">
      <c r="A1252" t="s">
        <v>40</v>
      </c>
      <c r="B1252">
        <v>2013</v>
      </c>
      <c r="C1252">
        <v>7</v>
      </c>
      <c r="D1252">
        <v>21179</v>
      </c>
      <c r="E1252">
        <v>23</v>
      </c>
      <c r="F1252">
        <v>3186.49</v>
      </c>
      <c r="G1252">
        <v>1588.98</v>
      </c>
      <c r="H1252" t="str">
        <f>VLOOKUP(myynnit[[#This Row],[TuoteID]],ohjaus!$A$4:$B$20,2,FALSE)</f>
        <v>Rahi</v>
      </c>
    </row>
    <row r="1253" spans="1:8" x14ac:dyDescent="0.35">
      <c r="A1253" t="s">
        <v>40</v>
      </c>
      <c r="B1253">
        <v>2013</v>
      </c>
      <c r="C1253">
        <v>7</v>
      </c>
      <c r="D1253">
        <v>21260</v>
      </c>
      <c r="E1253">
        <v>57</v>
      </c>
      <c r="F1253">
        <v>10318.620000000001</v>
      </c>
      <c r="G1253">
        <v>2683.54</v>
      </c>
      <c r="H1253" t="str">
        <f>VLOOKUP(myynnit[[#This Row],[TuoteID]],ohjaus!$A$4:$B$20,2,FALSE)</f>
        <v>Lepotuoli</v>
      </c>
    </row>
    <row r="1254" spans="1:8" x14ac:dyDescent="0.35">
      <c r="A1254" t="s">
        <v>40</v>
      </c>
      <c r="B1254">
        <v>2013</v>
      </c>
      <c r="C1254">
        <v>7</v>
      </c>
      <c r="D1254">
        <v>22317</v>
      </c>
      <c r="E1254">
        <v>6</v>
      </c>
      <c r="F1254">
        <v>609.9</v>
      </c>
      <c r="G1254">
        <v>322.14999999999998</v>
      </c>
      <c r="H1254" t="str">
        <f>VLOOKUP(myynnit[[#This Row],[TuoteID]],ohjaus!$A$4:$B$20,2,FALSE)</f>
        <v>Säkkituoli</v>
      </c>
    </row>
    <row r="1255" spans="1:8" x14ac:dyDescent="0.35">
      <c r="A1255" t="s">
        <v>40</v>
      </c>
      <c r="B1255">
        <v>2013</v>
      </c>
      <c r="C1255">
        <v>7</v>
      </c>
      <c r="D1255">
        <v>22940</v>
      </c>
      <c r="E1255">
        <v>145</v>
      </c>
      <c r="F1255">
        <v>18666.21</v>
      </c>
      <c r="G1255">
        <v>5212.88</v>
      </c>
      <c r="H1255" t="str">
        <f>VLOOKUP(myynnit[[#This Row],[TuoteID]],ohjaus!$A$4:$B$20,2,FALSE)</f>
        <v>Pinnatuoli</v>
      </c>
    </row>
    <row r="1256" spans="1:8" x14ac:dyDescent="0.35">
      <c r="A1256" t="s">
        <v>40</v>
      </c>
      <c r="B1256">
        <v>2013</v>
      </c>
      <c r="C1256">
        <v>7</v>
      </c>
      <c r="D1256">
        <v>23178</v>
      </c>
      <c r="E1256">
        <v>269</v>
      </c>
      <c r="F1256">
        <v>46647.01</v>
      </c>
      <c r="G1256">
        <v>13354.67</v>
      </c>
      <c r="H1256" t="str">
        <f>VLOOKUP(myynnit[[#This Row],[TuoteID]],ohjaus!$A$4:$B$20,2,FALSE)</f>
        <v>Pinnatuoli</v>
      </c>
    </row>
    <row r="1257" spans="1:8" x14ac:dyDescent="0.35">
      <c r="A1257" t="s">
        <v>40</v>
      </c>
      <c r="B1257">
        <v>2013</v>
      </c>
      <c r="C1257">
        <v>7</v>
      </c>
      <c r="D1257">
        <v>23600</v>
      </c>
      <c r="E1257">
        <v>658</v>
      </c>
      <c r="F1257">
        <v>69852.210000000006</v>
      </c>
      <c r="G1257">
        <v>18665.29</v>
      </c>
      <c r="H1257" t="str">
        <f>VLOOKUP(myynnit[[#This Row],[TuoteID]],ohjaus!$A$4:$B$20,2,FALSE)</f>
        <v>Pinnatuoli</v>
      </c>
    </row>
    <row r="1258" spans="1:8" x14ac:dyDescent="0.35">
      <c r="A1258" t="s">
        <v>40</v>
      </c>
      <c r="B1258">
        <v>2013</v>
      </c>
      <c r="C1258">
        <v>7</v>
      </c>
      <c r="D1258">
        <v>23756</v>
      </c>
      <c r="E1258">
        <v>98</v>
      </c>
      <c r="F1258">
        <v>15989.93</v>
      </c>
      <c r="G1258">
        <v>7710.4</v>
      </c>
      <c r="H1258" t="str">
        <f>VLOOKUP(myynnit[[#This Row],[TuoteID]],ohjaus!$A$4:$B$20,2,FALSE)</f>
        <v>Pianotuoli</v>
      </c>
    </row>
    <row r="1259" spans="1:8" x14ac:dyDescent="0.35">
      <c r="A1259" t="s">
        <v>40</v>
      </c>
      <c r="B1259">
        <v>2013</v>
      </c>
      <c r="C1259">
        <v>7</v>
      </c>
      <c r="D1259">
        <v>24326</v>
      </c>
      <c r="E1259">
        <v>21</v>
      </c>
      <c r="F1259">
        <v>3157.35</v>
      </c>
      <c r="G1259">
        <v>1073.58</v>
      </c>
      <c r="H1259" t="str">
        <f>VLOOKUP(myynnit[[#This Row],[TuoteID]],ohjaus!$A$4:$B$20,2,FALSE)</f>
        <v>Lepotuoli</v>
      </c>
    </row>
    <row r="1260" spans="1:8" x14ac:dyDescent="0.35">
      <c r="A1260" t="s">
        <v>39</v>
      </c>
      <c r="B1260">
        <v>2013</v>
      </c>
      <c r="C1260">
        <v>7</v>
      </c>
      <c r="D1260">
        <v>12184</v>
      </c>
      <c r="E1260">
        <v>71</v>
      </c>
      <c r="F1260">
        <v>10984.56</v>
      </c>
      <c r="G1260">
        <v>7278.48</v>
      </c>
      <c r="H1260" t="str">
        <f>VLOOKUP(myynnit[[#This Row],[TuoteID]],ohjaus!$A$4:$B$20,2,FALSE)</f>
        <v>Rahi</v>
      </c>
    </row>
    <row r="1261" spans="1:8" x14ac:dyDescent="0.35">
      <c r="A1261" t="s">
        <v>39</v>
      </c>
      <c r="B1261">
        <v>2013</v>
      </c>
      <c r="C1261">
        <v>7</v>
      </c>
      <c r="D1261">
        <v>12622</v>
      </c>
      <c r="E1261">
        <v>61</v>
      </c>
      <c r="F1261">
        <v>20386.27</v>
      </c>
      <c r="G1261">
        <v>11440.02</v>
      </c>
      <c r="H1261" t="str">
        <f>VLOOKUP(myynnit[[#This Row],[TuoteID]],ohjaus!$A$4:$B$20,2,FALSE)</f>
        <v>Pianotuoli</v>
      </c>
    </row>
    <row r="1262" spans="1:8" x14ac:dyDescent="0.35">
      <c r="A1262" t="s">
        <v>39</v>
      </c>
      <c r="B1262">
        <v>2013</v>
      </c>
      <c r="C1262">
        <v>7</v>
      </c>
      <c r="D1262">
        <v>13527</v>
      </c>
      <c r="E1262">
        <v>468</v>
      </c>
      <c r="F1262">
        <v>73585.63</v>
      </c>
      <c r="G1262">
        <v>17894.05</v>
      </c>
      <c r="H1262" t="str">
        <f>VLOOKUP(myynnit[[#This Row],[TuoteID]],ohjaus!$A$4:$B$20,2,FALSE)</f>
        <v>Pinnatuoli</v>
      </c>
    </row>
    <row r="1263" spans="1:8" x14ac:dyDescent="0.35">
      <c r="A1263" t="s">
        <v>39</v>
      </c>
      <c r="B1263">
        <v>2013</v>
      </c>
      <c r="C1263">
        <v>7</v>
      </c>
      <c r="D1263">
        <v>13618</v>
      </c>
      <c r="E1263">
        <v>23</v>
      </c>
      <c r="F1263">
        <v>8918.67</v>
      </c>
      <c r="G1263">
        <v>5240.03</v>
      </c>
      <c r="H1263" t="str">
        <f>VLOOKUP(myynnit[[#This Row],[TuoteID]],ohjaus!$A$4:$B$20,2,FALSE)</f>
        <v>Pianotuoli</v>
      </c>
    </row>
    <row r="1264" spans="1:8" x14ac:dyDescent="0.35">
      <c r="A1264" t="s">
        <v>39</v>
      </c>
      <c r="B1264">
        <v>2013</v>
      </c>
      <c r="C1264">
        <v>7</v>
      </c>
      <c r="D1264">
        <v>16024</v>
      </c>
      <c r="E1264">
        <v>279</v>
      </c>
      <c r="F1264">
        <v>125100.66</v>
      </c>
      <c r="G1264">
        <v>40054.69</v>
      </c>
      <c r="H1264" t="str">
        <f>VLOOKUP(myynnit[[#This Row],[TuoteID]],ohjaus!$A$4:$B$20,2,FALSE)</f>
        <v>Työtuoli</v>
      </c>
    </row>
    <row r="1265" spans="1:8" x14ac:dyDescent="0.35">
      <c r="A1265" t="s">
        <v>39</v>
      </c>
      <c r="B1265">
        <v>2013</v>
      </c>
      <c r="C1265">
        <v>7</v>
      </c>
      <c r="D1265">
        <v>16650</v>
      </c>
      <c r="E1265">
        <v>43</v>
      </c>
      <c r="F1265">
        <v>6788.85</v>
      </c>
      <c r="G1265">
        <v>4102.8599999999997</v>
      </c>
      <c r="H1265" t="str">
        <f>VLOOKUP(myynnit[[#This Row],[TuoteID]],ohjaus!$A$4:$B$20,2,FALSE)</f>
        <v>Rahi</v>
      </c>
    </row>
    <row r="1266" spans="1:8" x14ac:dyDescent="0.35">
      <c r="A1266" t="s">
        <v>39</v>
      </c>
      <c r="B1266">
        <v>2013</v>
      </c>
      <c r="C1266">
        <v>7</v>
      </c>
      <c r="D1266">
        <v>17892</v>
      </c>
      <c r="E1266">
        <v>73</v>
      </c>
      <c r="F1266">
        <v>9754.14</v>
      </c>
      <c r="G1266">
        <v>3380.05</v>
      </c>
      <c r="H1266" t="str">
        <f>VLOOKUP(myynnit[[#This Row],[TuoteID]],ohjaus!$A$4:$B$20,2,FALSE)</f>
        <v>Lepotuoli</v>
      </c>
    </row>
    <row r="1267" spans="1:8" x14ac:dyDescent="0.35">
      <c r="A1267" t="s">
        <v>39</v>
      </c>
      <c r="B1267">
        <v>2013</v>
      </c>
      <c r="C1267">
        <v>7</v>
      </c>
      <c r="D1267">
        <v>18342</v>
      </c>
      <c r="E1267">
        <v>84</v>
      </c>
      <c r="F1267">
        <v>72499.820000000007</v>
      </c>
      <c r="G1267">
        <v>24292.01</v>
      </c>
      <c r="H1267" t="str">
        <f>VLOOKUP(myynnit[[#This Row],[TuoteID]],ohjaus!$A$4:$B$20,2,FALSE)</f>
        <v>Työtuoli</v>
      </c>
    </row>
    <row r="1268" spans="1:8" x14ac:dyDescent="0.35">
      <c r="A1268" t="s">
        <v>39</v>
      </c>
      <c r="B1268">
        <v>2013</v>
      </c>
      <c r="C1268">
        <v>7</v>
      </c>
      <c r="D1268">
        <v>20177</v>
      </c>
      <c r="E1268">
        <v>40</v>
      </c>
      <c r="F1268">
        <v>4013.62</v>
      </c>
      <c r="G1268">
        <v>2013.39</v>
      </c>
      <c r="H1268" t="str">
        <f>VLOOKUP(myynnit[[#This Row],[TuoteID]],ohjaus!$A$4:$B$20,2,FALSE)</f>
        <v>Säkkituoli</v>
      </c>
    </row>
    <row r="1269" spans="1:8" x14ac:dyDescent="0.35">
      <c r="A1269" t="s">
        <v>39</v>
      </c>
      <c r="B1269">
        <v>2013</v>
      </c>
      <c r="C1269">
        <v>7</v>
      </c>
      <c r="D1269">
        <v>21179</v>
      </c>
      <c r="E1269">
        <v>27</v>
      </c>
      <c r="F1269">
        <v>3132.84</v>
      </c>
      <c r="G1269">
        <v>2069.2399999999998</v>
      </c>
      <c r="H1269" t="str">
        <f>VLOOKUP(myynnit[[#This Row],[TuoteID]],ohjaus!$A$4:$B$20,2,FALSE)</f>
        <v>Rahi</v>
      </c>
    </row>
    <row r="1270" spans="1:8" x14ac:dyDescent="0.35">
      <c r="A1270" t="s">
        <v>39</v>
      </c>
      <c r="B1270">
        <v>2013</v>
      </c>
      <c r="C1270">
        <v>7</v>
      </c>
      <c r="D1270">
        <v>21260</v>
      </c>
      <c r="E1270">
        <v>58</v>
      </c>
      <c r="F1270">
        <v>10717.85</v>
      </c>
      <c r="G1270">
        <v>3588.24</v>
      </c>
      <c r="H1270" t="str">
        <f>VLOOKUP(myynnit[[#This Row],[TuoteID]],ohjaus!$A$4:$B$20,2,FALSE)</f>
        <v>Lepotuoli</v>
      </c>
    </row>
    <row r="1271" spans="1:8" x14ac:dyDescent="0.35">
      <c r="A1271" t="s">
        <v>39</v>
      </c>
      <c r="B1271">
        <v>2013</v>
      </c>
      <c r="C1271">
        <v>7</v>
      </c>
      <c r="D1271">
        <v>22317</v>
      </c>
      <c r="E1271">
        <v>47</v>
      </c>
      <c r="F1271">
        <v>3869.28</v>
      </c>
      <c r="G1271">
        <v>1944.04</v>
      </c>
      <c r="H1271" t="str">
        <f>VLOOKUP(myynnit[[#This Row],[TuoteID]],ohjaus!$A$4:$B$20,2,FALSE)</f>
        <v>Säkkituoli</v>
      </c>
    </row>
    <row r="1272" spans="1:8" x14ac:dyDescent="0.35">
      <c r="A1272" t="s">
        <v>39</v>
      </c>
      <c r="B1272">
        <v>2013</v>
      </c>
      <c r="C1272">
        <v>7</v>
      </c>
      <c r="D1272">
        <v>22940</v>
      </c>
      <c r="E1272">
        <v>352</v>
      </c>
      <c r="F1272">
        <v>45205.1</v>
      </c>
      <c r="G1272">
        <v>11034.64</v>
      </c>
      <c r="H1272" t="str">
        <f>VLOOKUP(myynnit[[#This Row],[TuoteID]],ohjaus!$A$4:$B$20,2,FALSE)</f>
        <v>Pinnatuoli</v>
      </c>
    </row>
    <row r="1273" spans="1:8" x14ac:dyDescent="0.35">
      <c r="A1273" t="s">
        <v>39</v>
      </c>
      <c r="B1273">
        <v>2013</v>
      </c>
      <c r="C1273">
        <v>7</v>
      </c>
      <c r="D1273">
        <v>23178</v>
      </c>
      <c r="E1273">
        <v>161</v>
      </c>
      <c r="F1273">
        <v>27777.63</v>
      </c>
      <c r="G1273">
        <v>7253.61</v>
      </c>
      <c r="H1273" t="str">
        <f>VLOOKUP(myynnit[[#This Row],[TuoteID]],ohjaus!$A$4:$B$20,2,FALSE)</f>
        <v>Pinnatuoli</v>
      </c>
    </row>
    <row r="1274" spans="1:8" x14ac:dyDescent="0.35">
      <c r="A1274" t="s">
        <v>39</v>
      </c>
      <c r="B1274">
        <v>2013</v>
      </c>
      <c r="C1274">
        <v>7</v>
      </c>
      <c r="D1274">
        <v>23600</v>
      </c>
      <c r="E1274">
        <v>924</v>
      </c>
      <c r="F1274">
        <v>103399.67</v>
      </c>
      <c r="G1274">
        <v>30067</v>
      </c>
      <c r="H1274" t="str">
        <f>VLOOKUP(myynnit[[#This Row],[TuoteID]],ohjaus!$A$4:$B$20,2,FALSE)</f>
        <v>Pinnatuoli</v>
      </c>
    </row>
    <row r="1275" spans="1:8" x14ac:dyDescent="0.35">
      <c r="A1275" t="s">
        <v>39</v>
      </c>
      <c r="B1275">
        <v>2013</v>
      </c>
      <c r="C1275">
        <v>7</v>
      </c>
      <c r="D1275">
        <v>23756</v>
      </c>
      <c r="E1275">
        <v>131</v>
      </c>
      <c r="F1275">
        <v>25979.51</v>
      </c>
      <c r="G1275">
        <v>16991.72</v>
      </c>
      <c r="H1275" t="str">
        <f>VLOOKUP(myynnit[[#This Row],[TuoteID]],ohjaus!$A$4:$B$20,2,FALSE)</f>
        <v>Pianotuoli</v>
      </c>
    </row>
    <row r="1276" spans="1:8" x14ac:dyDescent="0.35">
      <c r="A1276" t="s">
        <v>39</v>
      </c>
      <c r="B1276">
        <v>2013</v>
      </c>
      <c r="C1276">
        <v>7</v>
      </c>
      <c r="D1276">
        <v>24326</v>
      </c>
      <c r="E1276">
        <v>128</v>
      </c>
      <c r="F1276">
        <v>18935.599999999999</v>
      </c>
      <c r="G1276">
        <v>6568.03</v>
      </c>
      <c r="H1276" t="str">
        <f>VLOOKUP(myynnit[[#This Row],[TuoteID]],ohjaus!$A$4:$B$20,2,FALSE)</f>
        <v>Lepotuoli</v>
      </c>
    </row>
    <row r="1277" spans="1:8" x14ac:dyDescent="0.35">
      <c r="A1277" t="s">
        <v>38</v>
      </c>
      <c r="B1277">
        <v>2013</v>
      </c>
      <c r="C1277">
        <v>7</v>
      </c>
      <c r="D1277">
        <v>12184</v>
      </c>
      <c r="E1277">
        <v>53</v>
      </c>
      <c r="F1277">
        <v>5707.28</v>
      </c>
      <c r="G1277">
        <v>2809.37</v>
      </c>
      <c r="H1277" t="str">
        <f>VLOOKUP(myynnit[[#This Row],[TuoteID]],ohjaus!$A$4:$B$20,2,FALSE)</f>
        <v>Rahi</v>
      </c>
    </row>
    <row r="1278" spans="1:8" x14ac:dyDescent="0.35">
      <c r="A1278" t="s">
        <v>38</v>
      </c>
      <c r="B1278">
        <v>2013</v>
      </c>
      <c r="C1278">
        <v>7</v>
      </c>
      <c r="D1278">
        <v>12622</v>
      </c>
      <c r="E1278">
        <v>25</v>
      </c>
      <c r="F1278">
        <v>6583.34</v>
      </c>
      <c r="G1278">
        <v>3456.46</v>
      </c>
      <c r="H1278" t="str">
        <f>VLOOKUP(myynnit[[#This Row],[TuoteID]],ohjaus!$A$4:$B$20,2,FALSE)</f>
        <v>Pianotuoli</v>
      </c>
    </row>
    <row r="1279" spans="1:8" x14ac:dyDescent="0.35">
      <c r="A1279" t="s">
        <v>38</v>
      </c>
      <c r="B1279">
        <v>2013</v>
      </c>
      <c r="C1279">
        <v>7</v>
      </c>
      <c r="D1279">
        <v>13527</v>
      </c>
      <c r="E1279">
        <v>342</v>
      </c>
      <c r="F1279">
        <v>59467.72</v>
      </c>
      <c r="G1279">
        <v>10927.39</v>
      </c>
      <c r="H1279" t="str">
        <f>VLOOKUP(myynnit[[#This Row],[TuoteID]],ohjaus!$A$4:$B$20,2,FALSE)</f>
        <v>Pinnatuoli</v>
      </c>
    </row>
    <row r="1280" spans="1:8" x14ac:dyDescent="0.35">
      <c r="A1280" t="s">
        <v>38</v>
      </c>
      <c r="B1280">
        <v>2013</v>
      </c>
      <c r="C1280">
        <v>7</v>
      </c>
      <c r="D1280">
        <v>13618</v>
      </c>
      <c r="E1280">
        <v>18</v>
      </c>
      <c r="F1280">
        <v>6557.2</v>
      </c>
      <c r="G1280">
        <v>3050.95</v>
      </c>
      <c r="H1280" t="str">
        <f>VLOOKUP(myynnit[[#This Row],[TuoteID]],ohjaus!$A$4:$B$20,2,FALSE)</f>
        <v>Pianotuoli</v>
      </c>
    </row>
    <row r="1281" spans="1:8" x14ac:dyDescent="0.35">
      <c r="A1281" t="s">
        <v>38</v>
      </c>
      <c r="B1281">
        <v>2013</v>
      </c>
      <c r="C1281">
        <v>7</v>
      </c>
      <c r="D1281">
        <v>16024</v>
      </c>
      <c r="E1281">
        <v>169</v>
      </c>
      <c r="F1281">
        <v>76264.350000000006</v>
      </c>
      <c r="G1281">
        <v>16991.330000000002</v>
      </c>
      <c r="H1281" t="str">
        <f>VLOOKUP(myynnit[[#This Row],[TuoteID]],ohjaus!$A$4:$B$20,2,FALSE)</f>
        <v>Työtuoli</v>
      </c>
    </row>
    <row r="1282" spans="1:8" x14ac:dyDescent="0.35">
      <c r="A1282" t="s">
        <v>38</v>
      </c>
      <c r="B1282">
        <v>2013</v>
      </c>
      <c r="C1282">
        <v>7</v>
      </c>
      <c r="D1282">
        <v>16650</v>
      </c>
      <c r="E1282">
        <v>35</v>
      </c>
      <c r="F1282">
        <v>5726.09</v>
      </c>
      <c r="G1282">
        <v>3444.25</v>
      </c>
      <c r="H1282" t="str">
        <f>VLOOKUP(myynnit[[#This Row],[TuoteID]],ohjaus!$A$4:$B$20,2,FALSE)</f>
        <v>Rahi</v>
      </c>
    </row>
    <row r="1283" spans="1:8" x14ac:dyDescent="0.35">
      <c r="A1283" t="s">
        <v>38</v>
      </c>
      <c r="B1283">
        <v>2013</v>
      </c>
      <c r="C1283">
        <v>7</v>
      </c>
      <c r="D1283">
        <v>17892</v>
      </c>
      <c r="E1283">
        <v>40</v>
      </c>
      <c r="F1283">
        <v>5697.4</v>
      </c>
      <c r="G1283">
        <v>1576.25</v>
      </c>
      <c r="H1283" t="str">
        <f>VLOOKUP(myynnit[[#This Row],[TuoteID]],ohjaus!$A$4:$B$20,2,FALSE)</f>
        <v>Lepotuoli</v>
      </c>
    </row>
    <row r="1284" spans="1:8" x14ac:dyDescent="0.35">
      <c r="A1284" t="s">
        <v>38</v>
      </c>
      <c r="B1284">
        <v>2013</v>
      </c>
      <c r="C1284">
        <v>7</v>
      </c>
      <c r="D1284">
        <v>18342</v>
      </c>
      <c r="E1284">
        <v>195</v>
      </c>
      <c r="F1284">
        <v>144211.85</v>
      </c>
      <c r="G1284">
        <v>38038.199999999997</v>
      </c>
      <c r="H1284" t="str">
        <f>VLOOKUP(myynnit[[#This Row],[TuoteID]],ohjaus!$A$4:$B$20,2,FALSE)</f>
        <v>Työtuoli</v>
      </c>
    </row>
    <row r="1285" spans="1:8" x14ac:dyDescent="0.35">
      <c r="A1285" t="s">
        <v>38</v>
      </c>
      <c r="B1285">
        <v>2013</v>
      </c>
      <c r="C1285">
        <v>7</v>
      </c>
      <c r="D1285">
        <v>20177</v>
      </c>
      <c r="E1285">
        <v>75</v>
      </c>
      <c r="F1285">
        <v>8013.81</v>
      </c>
      <c r="G1285">
        <v>2907.2</v>
      </c>
      <c r="H1285" t="str">
        <f>VLOOKUP(myynnit[[#This Row],[TuoteID]],ohjaus!$A$4:$B$20,2,FALSE)</f>
        <v>Säkkituoli</v>
      </c>
    </row>
    <row r="1286" spans="1:8" x14ac:dyDescent="0.35">
      <c r="A1286" t="s">
        <v>38</v>
      </c>
      <c r="B1286">
        <v>2013</v>
      </c>
      <c r="C1286">
        <v>7</v>
      </c>
      <c r="D1286">
        <v>21179</v>
      </c>
      <c r="E1286">
        <v>25</v>
      </c>
      <c r="F1286">
        <v>3063.99</v>
      </c>
      <c r="G1286">
        <v>1555.64</v>
      </c>
      <c r="H1286" t="str">
        <f>VLOOKUP(myynnit[[#This Row],[TuoteID]],ohjaus!$A$4:$B$20,2,FALSE)</f>
        <v>Rahi</v>
      </c>
    </row>
    <row r="1287" spans="1:8" x14ac:dyDescent="0.35">
      <c r="A1287" t="s">
        <v>38</v>
      </c>
      <c r="B1287">
        <v>2013</v>
      </c>
      <c r="C1287">
        <v>7</v>
      </c>
      <c r="D1287">
        <v>21260</v>
      </c>
      <c r="E1287">
        <v>58</v>
      </c>
      <c r="F1287">
        <v>9906.4500000000007</v>
      </c>
      <c r="G1287">
        <v>2577.52</v>
      </c>
      <c r="H1287" t="str">
        <f>VLOOKUP(myynnit[[#This Row],[TuoteID]],ohjaus!$A$4:$B$20,2,FALSE)</f>
        <v>Lepotuoli</v>
      </c>
    </row>
    <row r="1288" spans="1:8" x14ac:dyDescent="0.35">
      <c r="A1288" t="s">
        <v>38</v>
      </c>
      <c r="B1288">
        <v>2013</v>
      </c>
      <c r="C1288">
        <v>7</v>
      </c>
      <c r="D1288">
        <v>22317</v>
      </c>
      <c r="E1288">
        <v>61</v>
      </c>
      <c r="F1288">
        <v>5538.86</v>
      </c>
      <c r="G1288">
        <v>1950.05</v>
      </c>
      <c r="H1288" t="str">
        <f>VLOOKUP(myynnit[[#This Row],[TuoteID]],ohjaus!$A$4:$B$20,2,FALSE)</f>
        <v>Säkkituoli</v>
      </c>
    </row>
    <row r="1289" spans="1:8" x14ac:dyDescent="0.35">
      <c r="A1289" t="s">
        <v>38</v>
      </c>
      <c r="B1289">
        <v>2013</v>
      </c>
      <c r="C1289">
        <v>7</v>
      </c>
      <c r="D1289">
        <v>22940</v>
      </c>
      <c r="E1289">
        <v>304</v>
      </c>
      <c r="F1289">
        <v>38122.5</v>
      </c>
      <c r="G1289">
        <v>9060.26</v>
      </c>
      <c r="H1289" t="str">
        <f>VLOOKUP(myynnit[[#This Row],[TuoteID]],ohjaus!$A$4:$B$20,2,FALSE)</f>
        <v>Pinnatuoli</v>
      </c>
    </row>
    <row r="1290" spans="1:8" x14ac:dyDescent="0.35">
      <c r="A1290" t="s">
        <v>38</v>
      </c>
      <c r="B1290">
        <v>2013</v>
      </c>
      <c r="C1290">
        <v>7</v>
      </c>
      <c r="D1290">
        <v>23178</v>
      </c>
      <c r="E1290">
        <v>184</v>
      </c>
      <c r="F1290">
        <v>30280.22</v>
      </c>
      <c r="G1290">
        <v>5473.28</v>
      </c>
      <c r="H1290" t="str">
        <f>VLOOKUP(myynnit[[#This Row],[TuoteID]],ohjaus!$A$4:$B$20,2,FALSE)</f>
        <v>Pinnatuoli</v>
      </c>
    </row>
    <row r="1291" spans="1:8" x14ac:dyDescent="0.35">
      <c r="A1291" t="s">
        <v>38</v>
      </c>
      <c r="B1291">
        <v>2013</v>
      </c>
      <c r="C1291">
        <v>7</v>
      </c>
      <c r="D1291">
        <v>23600</v>
      </c>
      <c r="E1291">
        <v>1097</v>
      </c>
      <c r="F1291">
        <v>126938.14</v>
      </c>
      <c r="G1291">
        <v>34315.25</v>
      </c>
      <c r="H1291" t="str">
        <f>VLOOKUP(myynnit[[#This Row],[TuoteID]],ohjaus!$A$4:$B$20,2,FALSE)</f>
        <v>Pinnatuoli</v>
      </c>
    </row>
    <row r="1292" spans="1:8" x14ac:dyDescent="0.35">
      <c r="A1292" t="s">
        <v>38</v>
      </c>
      <c r="B1292">
        <v>2013</v>
      </c>
      <c r="C1292">
        <v>7</v>
      </c>
      <c r="D1292">
        <v>23756</v>
      </c>
      <c r="E1292">
        <v>64</v>
      </c>
      <c r="F1292">
        <v>11949.49</v>
      </c>
      <c r="G1292">
        <v>5878.41</v>
      </c>
      <c r="H1292" t="str">
        <f>VLOOKUP(myynnit[[#This Row],[TuoteID]],ohjaus!$A$4:$B$20,2,FALSE)</f>
        <v>Pianotuoli</v>
      </c>
    </row>
    <row r="1293" spans="1:8" x14ac:dyDescent="0.35">
      <c r="A1293" t="s">
        <v>38</v>
      </c>
      <c r="B1293">
        <v>2013</v>
      </c>
      <c r="C1293">
        <v>7</v>
      </c>
      <c r="D1293">
        <v>24326</v>
      </c>
      <c r="E1293">
        <v>79</v>
      </c>
      <c r="F1293">
        <v>11080.05</v>
      </c>
      <c r="G1293">
        <v>2474.0300000000002</v>
      </c>
      <c r="H1293" t="str">
        <f>VLOOKUP(myynnit[[#This Row],[TuoteID]],ohjaus!$A$4:$B$20,2,FALSE)</f>
        <v>Lepotuoli</v>
      </c>
    </row>
    <row r="1294" spans="1:8" x14ac:dyDescent="0.35">
      <c r="A1294" t="s">
        <v>37</v>
      </c>
      <c r="B1294">
        <v>2013</v>
      </c>
      <c r="C1294">
        <v>8</v>
      </c>
      <c r="D1294">
        <v>12184</v>
      </c>
      <c r="E1294">
        <v>64</v>
      </c>
      <c r="F1294">
        <v>8457.98</v>
      </c>
      <c r="G1294">
        <v>3995.9</v>
      </c>
      <c r="H1294" t="str">
        <f>VLOOKUP(myynnit[[#This Row],[TuoteID]],ohjaus!$A$4:$B$20,2,FALSE)</f>
        <v>Rahi</v>
      </c>
    </row>
    <row r="1295" spans="1:8" x14ac:dyDescent="0.35">
      <c r="A1295" t="s">
        <v>37</v>
      </c>
      <c r="B1295">
        <v>2013</v>
      </c>
      <c r="C1295">
        <v>8</v>
      </c>
      <c r="D1295">
        <v>12622</v>
      </c>
      <c r="E1295">
        <v>39</v>
      </c>
      <c r="F1295">
        <v>10126.23</v>
      </c>
      <c r="G1295">
        <v>4140.6899999999996</v>
      </c>
      <c r="H1295" t="str">
        <f>VLOOKUP(myynnit[[#This Row],[TuoteID]],ohjaus!$A$4:$B$20,2,FALSE)</f>
        <v>Pianotuoli</v>
      </c>
    </row>
    <row r="1296" spans="1:8" x14ac:dyDescent="0.35">
      <c r="A1296" t="s">
        <v>37</v>
      </c>
      <c r="B1296">
        <v>2013</v>
      </c>
      <c r="C1296">
        <v>8</v>
      </c>
      <c r="D1296">
        <v>13527</v>
      </c>
      <c r="E1296">
        <v>767</v>
      </c>
      <c r="F1296">
        <v>115301.01</v>
      </c>
      <c r="G1296">
        <v>23050.63</v>
      </c>
      <c r="H1296" t="str">
        <f>VLOOKUP(myynnit[[#This Row],[TuoteID]],ohjaus!$A$4:$B$20,2,FALSE)</f>
        <v>Pinnatuoli</v>
      </c>
    </row>
    <row r="1297" spans="1:8" x14ac:dyDescent="0.35">
      <c r="A1297" t="s">
        <v>37</v>
      </c>
      <c r="B1297">
        <v>2013</v>
      </c>
      <c r="C1297">
        <v>8</v>
      </c>
      <c r="D1297">
        <v>13618</v>
      </c>
      <c r="E1297">
        <v>13</v>
      </c>
      <c r="F1297">
        <v>5543.29</v>
      </c>
      <c r="G1297">
        <v>2407.46</v>
      </c>
      <c r="H1297" t="str">
        <f>VLOOKUP(myynnit[[#This Row],[TuoteID]],ohjaus!$A$4:$B$20,2,FALSE)</f>
        <v>Pianotuoli</v>
      </c>
    </row>
    <row r="1298" spans="1:8" x14ac:dyDescent="0.35">
      <c r="A1298" t="s">
        <v>37</v>
      </c>
      <c r="B1298">
        <v>2013</v>
      </c>
      <c r="C1298">
        <v>8</v>
      </c>
      <c r="D1298">
        <v>16024</v>
      </c>
      <c r="E1298">
        <v>348</v>
      </c>
      <c r="F1298">
        <v>146554.75</v>
      </c>
      <c r="G1298">
        <v>39624.39</v>
      </c>
      <c r="H1298" t="str">
        <f>VLOOKUP(myynnit[[#This Row],[TuoteID]],ohjaus!$A$4:$B$20,2,FALSE)</f>
        <v>Työtuoli</v>
      </c>
    </row>
    <row r="1299" spans="1:8" x14ac:dyDescent="0.35">
      <c r="A1299" t="s">
        <v>37</v>
      </c>
      <c r="B1299">
        <v>2013</v>
      </c>
      <c r="C1299">
        <v>8</v>
      </c>
      <c r="D1299">
        <v>16650</v>
      </c>
      <c r="E1299">
        <v>76</v>
      </c>
      <c r="F1299">
        <v>13010.45</v>
      </c>
      <c r="G1299">
        <v>6169.31</v>
      </c>
      <c r="H1299" t="str">
        <f>VLOOKUP(myynnit[[#This Row],[TuoteID]],ohjaus!$A$4:$B$20,2,FALSE)</f>
        <v>Rahi</v>
      </c>
    </row>
    <row r="1300" spans="1:8" x14ac:dyDescent="0.35">
      <c r="A1300" t="s">
        <v>37</v>
      </c>
      <c r="B1300">
        <v>2013</v>
      </c>
      <c r="C1300">
        <v>8</v>
      </c>
      <c r="D1300">
        <v>17892</v>
      </c>
      <c r="E1300">
        <v>70</v>
      </c>
      <c r="F1300">
        <v>10418.24</v>
      </c>
      <c r="G1300">
        <v>2644.97</v>
      </c>
      <c r="H1300" t="str">
        <f>VLOOKUP(myynnit[[#This Row],[TuoteID]],ohjaus!$A$4:$B$20,2,FALSE)</f>
        <v>Lepotuoli</v>
      </c>
    </row>
    <row r="1301" spans="1:8" x14ac:dyDescent="0.35">
      <c r="A1301" t="s">
        <v>37</v>
      </c>
      <c r="B1301">
        <v>2013</v>
      </c>
      <c r="C1301">
        <v>8</v>
      </c>
      <c r="D1301">
        <v>18342</v>
      </c>
      <c r="E1301">
        <v>251</v>
      </c>
      <c r="F1301">
        <v>219632.83</v>
      </c>
      <c r="G1301">
        <v>56706.080000000002</v>
      </c>
      <c r="H1301" t="str">
        <f>VLOOKUP(myynnit[[#This Row],[TuoteID]],ohjaus!$A$4:$B$20,2,FALSE)</f>
        <v>Työtuoli</v>
      </c>
    </row>
    <row r="1302" spans="1:8" x14ac:dyDescent="0.35">
      <c r="A1302" t="s">
        <v>37</v>
      </c>
      <c r="B1302">
        <v>2013</v>
      </c>
      <c r="C1302">
        <v>8</v>
      </c>
      <c r="D1302">
        <v>20177</v>
      </c>
      <c r="E1302">
        <v>68</v>
      </c>
      <c r="F1302">
        <v>7098.5</v>
      </c>
      <c r="G1302">
        <v>2422.02</v>
      </c>
      <c r="H1302" t="str">
        <f>VLOOKUP(myynnit[[#This Row],[TuoteID]],ohjaus!$A$4:$B$20,2,FALSE)</f>
        <v>Säkkituoli</v>
      </c>
    </row>
    <row r="1303" spans="1:8" x14ac:dyDescent="0.35">
      <c r="A1303" t="s">
        <v>37</v>
      </c>
      <c r="B1303">
        <v>2013</v>
      </c>
      <c r="C1303">
        <v>8</v>
      </c>
      <c r="D1303">
        <v>21179</v>
      </c>
      <c r="E1303">
        <v>73</v>
      </c>
      <c r="F1303">
        <v>10297.879999999999</v>
      </c>
      <c r="G1303">
        <v>4373.26</v>
      </c>
      <c r="H1303" t="str">
        <f>VLOOKUP(myynnit[[#This Row],[TuoteID]],ohjaus!$A$4:$B$20,2,FALSE)</f>
        <v>Rahi</v>
      </c>
    </row>
    <row r="1304" spans="1:8" x14ac:dyDescent="0.35">
      <c r="A1304" t="s">
        <v>37</v>
      </c>
      <c r="B1304">
        <v>2013</v>
      </c>
      <c r="C1304">
        <v>8</v>
      </c>
      <c r="D1304">
        <v>21260</v>
      </c>
      <c r="E1304">
        <v>110</v>
      </c>
      <c r="F1304">
        <v>19735.080000000002</v>
      </c>
      <c r="G1304">
        <v>5686.15</v>
      </c>
      <c r="H1304" t="str">
        <f>VLOOKUP(myynnit[[#This Row],[TuoteID]],ohjaus!$A$4:$B$20,2,FALSE)</f>
        <v>Lepotuoli</v>
      </c>
    </row>
    <row r="1305" spans="1:8" x14ac:dyDescent="0.35">
      <c r="A1305" t="s">
        <v>37</v>
      </c>
      <c r="B1305">
        <v>2013</v>
      </c>
      <c r="C1305">
        <v>8</v>
      </c>
      <c r="D1305">
        <v>22317</v>
      </c>
      <c r="E1305">
        <v>79</v>
      </c>
      <c r="F1305">
        <v>7879.41</v>
      </c>
      <c r="G1305">
        <v>3420.88</v>
      </c>
      <c r="H1305" t="str">
        <f>VLOOKUP(myynnit[[#This Row],[TuoteID]],ohjaus!$A$4:$B$20,2,FALSE)</f>
        <v>Säkkituoli</v>
      </c>
    </row>
    <row r="1306" spans="1:8" x14ac:dyDescent="0.35">
      <c r="A1306" t="s">
        <v>37</v>
      </c>
      <c r="B1306">
        <v>2013</v>
      </c>
      <c r="C1306">
        <v>8</v>
      </c>
      <c r="D1306">
        <v>22940</v>
      </c>
      <c r="E1306">
        <v>345</v>
      </c>
      <c r="F1306">
        <v>40894.699999999997</v>
      </c>
      <c r="G1306">
        <v>7935.45</v>
      </c>
      <c r="H1306" t="str">
        <f>VLOOKUP(myynnit[[#This Row],[TuoteID]],ohjaus!$A$4:$B$20,2,FALSE)</f>
        <v>Pinnatuoli</v>
      </c>
    </row>
    <row r="1307" spans="1:8" x14ac:dyDescent="0.35">
      <c r="A1307" t="s">
        <v>37</v>
      </c>
      <c r="B1307">
        <v>2013</v>
      </c>
      <c r="C1307">
        <v>8</v>
      </c>
      <c r="D1307">
        <v>23178</v>
      </c>
      <c r="E1307">
        <v>279</v>
      </c>
      <c r="F1307">
        <v>52046.83</v>
      </c>
      <c r="G1307">
        <v>10719.25</v>
      </c>
      <c r="H1307" t="str">
        <f>VLOOKUP(myynnit[[#This Row],[TuoteID]],ohjaus!$A$4:$B$20,2,FALSE)</f>
        <v>Pinnatuoli</v>
      </c>
    </row>
    <row r="1308" spans="1:8" x14ac:dyDescent="0.35">
      <c r="A1308" t="s">
        <v>37</v>
      </c>
      <c r="B1308">
        <v>2013</v>
      </c>
      <c r="C1308">
        <v>8</v>
      </c>
      <c r="D1308">
        <v>23600</v>
      </c>
      <c r="E1308">
        <v>838</v>
      </c>
      <c r="F1308">
        <v>87651.03</v>
      </c>
      <c r="G1308">
        <v>21828.98</v>
      </c>
      <c r="H1308" t="str">
        <f>VLOOKUP(myynnit[[#This Row],[TuoteID]],ohjaus!$A$4:$B$20,2,FALSE)</f>
        <v>Pinnatuoli</v>
      </c>
    </row>
    <row r="1309" spans="1:8" x14ac:dyDescent="0.35">
      <c r="A1309" t="s">
        <v>37</v>
      </c>
      <c r="B1309">
        <v>2013</v>
      </c>
      <c r="C1309">
        <v>8</v>
      </c>
      <c r="D1309">
        <v>23756</v>
      </c>
      <c r="E1309">
        <v>142</v>
      </c>
      <c r="F1309">
        <v>22400.6</v>
      </c>
      <c r="G1309">
        <v>11220.6</v>
      </c>
      <c r="H1309" t="str">
        <f>VLOOKUP(myynnit[[#This Row],[TuoteID]],ohjaus!$A$4:$B$20,2,FALSE)</f>
        <v>Pianotuoli</v>
      </c>
    </row>
    <row r="1310" spans="1:8" x14ac:dyDescent="0.35">
      <c r="A1310" t="s">
        <v>37</v>
      </c>
      <c r="B1310">
        <v>2013</v>
      </c>
      <c r="C1310">
        <v>8</v>
      </c>
      <c r="D1310">
        <v>24326</v>
      </c>
      <c r="E1310">
        <v>123</v>
      </c>
      <c r="F1310">
        <v>15439.06</v>
      </c>
      <c r="G1310">
        <v>4774.38</v>
      </c>
      <c r="H1310" t="str">
        <f>VLOOKUP(myynnit[[#This Row],[TuoteID]],ohjaus!$A$4:$B$20,2,FALSE)</f>
        <v>Lepotuoli</v>
      </c>
    </row>
    <row r="1311" spans="1:8" x14ac:dyDescent="0.35">
      <c r="A1311" t="s">
        <v>40</v>
      </c>
      <c r="B1311">
        <v>2013</v>
      </c>
      <c r="C1311">
        <v>8</v>
      </c>
      <c r="D1311">
        <v>12184</v>
      </c>
      <c r="E1311">
        <v>38</v>
      </c>
      <c r="F1311">
        <v>5263.9</v>
      </c>
      <c r="G1311">
        <v>2429.4299999999998</v>
      </c>
      <c r="H1311" t="str">
        <f>VLOOKUP(myynnit[[#This Row],[TuoteID]],ohjaus!$A$4:$B$20,2,FALSE)</f>
        <v>Rahi</v>
      </c>
    </row>
    <row r="1312" spans="1:8" x14ac:dyDescent="0.35">
      <c r="A1312" t="s">
        <v>40</v>
      </c>
      <c r="B1312">
        <v>2013</v>
      </c>
      <c r="C1312">
        <v>8</v>
      </c>
      <c r="D1312">
        <v>12622</v>
      </c>
      <c r="E1312">
        <v>8</v>
      </c>
      <c r="F1312">
        <v>1950.21</v>
      </c>
      <c r="G1312">
        <v>713.24</v>
      </c>
      <c r="H1312" t="str">
        <f>VLOOKUP(myynnit[[#This Row],[TuoteID]],ohjaus!$A$4:$B$20,2,FALSE)</f>
        <v>Pianotuoli</v>
      </c>
    </row>
    <row r="1313" spans="1:8" x14ac:dyDescent="0.35">
      <c r="A1313" t="s">
        <v>40</v>
      </c>
      <c r="B1313">
        <v>2013</v>
      </c>
      <c r="C1313">
        <v>8</v>
      </c>
      <c r="D1313">
        <v>13527</v>
      </c>
      <c r="E1313">
        <v>297</v>
      </c>
      <c r="F1313">
        <v>44165.05</v>
      </c>
      <c r="G1313">
        <v>7478.5</v>
      </c>
      <c r="H1313" t="str">
        <f>VLOOKUP(myynnit[[#This Row],[TuoteID]],ohjaus!$A$4:$B$20,2,FALSE)</f>
        <v>Pinnatuoli</v>
      </c>
    </row>
    <row r="1314" spans="1:8" x14ac:dyDescent="0.35">
      <c r="A1314" t="s">
        <v>40</v>
      </c>
      <c r="B1314">
        <v>2013</v>
      </c>
      <c r="C1314">
        <v>8</v>
      </c>
      <c r="D1314">
        <v>13618</v>
      </c>
      <c r="E1314">
        <v>8</v>
      </c>
      <c r="F1314">
        <v>3124.88</v>
      </c>
      <c r="G1314">
        <v>1317.74</v>
      </c>
      <c r="H1314" t="str">
        <f>VLOOKUP(myynnit[[#This Row],[TuoteID]],ohjaus!$A$4:$B$20,2,FALSE)</f>
        <v>Pianotuoli</v>
      </c>
    </row>
    <row r="1315" spans="1:8" x14ac:dyDescent="0.35">
      <c r="A1315" t="s">
        <v>40</v>
      </c>
      <c r="B1315">
        <v>2013</v>
      </c>
      <c r="C1315">
        <v>8</v>
      </c>
      <c r="D1315">
        <v>16024</v>
      </c>
      <c r="E1315">
        <v>136</v>
      </c>
      <c r="F1315">
        <v>52133.88</v>
      </c>
      <c r="G1315">
        <v>16454.509999999998</v>
      </c>
      <c r="H1315" t="str">
        <f>VLOOKUP(myynnit[[#This Row],[TuoteID]],ohjaus!$A$4:$B$20,2,FALSE)</f>
        <v>Työtuoli</v>
      </c>
    </row>
    <row r="1316" spans="1:8" x14ac:dyDescent="0.35">
      <c r="A1316" t="s">
        <v>40</v>
      </c>
      <c r="B1316">
        <v>2013</v>
      </c>
      <c r="C1316">
        <v>8</v>
      </c>
      <c r="D1316">
        <v>16650</v>
      </c>
      <c r="E1316">
        <v>21</v>
      </c>
      <c r="F1316">
        <v>2941.28</v>
      </c>
      <c r="G1316">
        <v>1822.74</v>
      </c>
      <c r="H1316" t="str">
        <f>VLOOKUP(myynnit[[#This Row],[TuoteID]],ohjaus!$A$4:$B$20,2,FALSE)</f>
        <v>Rahi</v>
      </c>
    </row>
    <row r="1317" spans="1:8" x14ac:dyDescent="0.35">
      <c r="A1317" t="s">
        <v>40</v>
      </c>
      <c r="B1317">
        <v>2013</v>
      </c>
      <c r="C1317">
        <v>8</v>
      </c>
      <c r="D1317">
        <v>17892</v>
      </c>
      <c r="E1317">
        <v>62</v>
      </c>
      <c r="F1317">
        <v>7743.05</v>
      </c>
      <c r="G1317">
        <v>2028.47</v>
      </c>
      <c r="H1317" t="str">
        <f>VLOOKUP(myynnit[[#This Row],[TuoteID]],ohjaus!$A$4:$B$20,2,FALSE)</f>
        <v>Lepotuoli</v>
      </c>
    </row>
    <row r="1318" spans="1:8" x14ac:dyDescent="0.35">
      <c r="A1318" t="s">
        <v>40</v>
      </c>
      <c r="B1318">
        <v>2013</v>
      </c>
      <c r="C1318">
        <v>8</v>
      </c>
      <c r="D1318">
        <v>18342</v>
      </c>
      <c r="E1318">
        <v>13</v>
      </c>
      <c r="F1318">
        <v>10430</v>
      </c>
      <c r="G1318">
        <v>3293.09</v>
      </c>
      <c r="H1318" t="str">
        <f>VLOOKUP(myynnit[[#This Row],[TuoteID]],ohjaus!$A$4:$B$20,2,FALSE)</f>
        <v>Työtuoli</v>
      </c>
    </row>
    <row r="1319" spans="1:8" x14ac:dyDescent="0.35">
      <c r="A1319" t="s">
        <v>40</v>
      </c>
      <c r="B1319">
        <v>2013</v>
      </c>
      <c r="C1319">
        <v>8</v>
      </c>
      <c r="D1319">
        <v>20177</v>
      </c>
      <c r="E1319">
        <v>23</v>
      </c>
      <c r="F1319">
        <v>2303.8000000000002</v>
      </c>
      <c r="G1319">
        <v>968.21</v>
      </c>
      <c r="H1319" t="str">
        <f>VLOOKUP(myynnit[[#This Row],[TuoteID]],ohjaus!$A$4:$B$20,2,FALSE)</f>
        <v>Säkkituoli</v>
      </c>
    </row>
    <row r="1320" spans="1:8" x14ac:dyDescent="0.35">
      <c r="A1320" t="s">
        <v>40</v>
      </c>
      <c r="B1320">
        <v>2013</v>
      </c>
      <c r="C1320">
        <v>8</v>
      </c>
      <c r="D1320">
        <v>21179</v>
      </c>
      <c r="E1320">
        <v>29</v>
      </c>
      <c r="F1320">
        <v>3384.9</v>
      </c>
      <c r="G1320">
        <v>1662.36</v>
      </c>
      <c r="H1320" t="str">
        <f>VLOOKUP(myynnit[[#This Row],[TuoteID]],ohjaus!$A$4:$B$20,2,FALSE)</f>
        <v>Rahi</v>
      </c>
    </row>
    <row r="1321" spans="1:8" x14ac:dyDescent="0.35">
      <c r="A1321" t="s">
        <v>40</v>
      </c>
      <c r="B1321">
        <v>2013</v>
      </c>
      <c r="C1321">
        <v>8</v>
      </c>
      <c r="D1321">
        <v>21260</v>
      </c>
      <c r="E1321">
        <v>54</v>
      </c>
      <c r="F1321">
        <v>9696.49</v>
      </c>
      <c r="G1321">
        <v>2172.94</v>
      </c>
      <c r="H1321" t="str">
        <f>VLOOKUP(myynnit[[#This Row],[TuoteID]],ohjaus!$A$4:$B$20,2,FALSE)</f>
        <v>Lepotuoli</v>
      </c>
    </row>
    <row r="1322" spans="1:8" x14ac:dyDescent="0.35">
      <c r="A1322" t="s">
        <v>40</v>
      </c>
      <c r="B1322">
        <v>2013</v>
      </c>
      <c r="C1322">
        <v>8</v>
      </c>
      <c r="D1322">
        <v>22317</v>
      </c>
      <c r="E1322">
        <v>12</v>
      </c>
      <c r="F1322">
        <v>980.69</v>
      </c>
      <c r="G1322">
        <v>425.66</v>
      </c>
      <c r="H1322" t="str">
        <f>VLOOKUP(myynnit[[#This Row],[TuoteID]],ohjaus!$A$4:$B$20,2,FALSE)</f>
        <v>Säkkituoli</v>
      </c>
    </row>
    <row r="1323" spans="1:8" x14ac:dyDescent="0.35">
      <c r="A1323" t="s">
        <v>40</v>
      </c>
      <c r="B1323">
        <v>2013</v>
      </c>
      <c r="C1323">
        <v>8</v>
      </c>
      <c r="D1323">
        <v>22940</v>
      </c>
      <c r="E1323">
        <v>166</v>
      </c>
      <c r="F1323">
        <v>20647.23</v>
      </c>
      <c r="G1323">
        <v>4932.75</v>
      </c>
      <c r="H1323" t="str">
        <f>VLOOKUP(myynnit[[#This Row],[TuoteID]],ohjaus!$A$4:$B$20,2,FALSE)</f>
        <v>Pinnatuoli</v>
      </c>
    </row>
    <row r="1324" spans="1:8" x14ac:dyDescent="0.35">
      <c r="A1324" t="s">
        <v>40</v>
      </c>
      <c r="B1324">
        <v>2013</v>
      </c>
      <c r="C1324">
        <v>8</v>
      </c>
      <c r="D1324">
        <v>23178</v>
      </c>
      <c r="E1324">
        <v>288</v>
      </c>
      <c r="F1324">
        <v>53454.82</v>
      </c>
      <c r="G1324">
        <v>15309.6</v>
      </c>
      <c r="H1324" t="str">
        <f>VLOOKUP(myynnit[[#This Row],[TuoteID]],ohjaus!$A$4:$B$20,2,FALSE)</f>
        <v>Pinnatuoli</v>
      </c>
    </row>
    <row r="1325" spans="1:8" x14ac:dyDescent="0.35">
      <c r="A1325" t="s">
        <v>40</v>
      </c>
      <c r="B1325">
        <v>2013</v>
      </c>
      <c r="C1325">
        <v>8</v>
      </c>
      <c r="D1325">
        <v>23600</v>
      </c>
      <c r="E1325">
        <v>715</v>
      </c>
      <c r="F1325">
        <v>79712.05</v>
      </c>
      <c r="G1325">
        <v>20695.740000000002</v>
      </c>
      <c r="H1325" t="str">
        <f>VLOOKUP(myynnit[[#This Row],[TuoteID]],ohjaus!$A$4:$B$20,2,FALSE)</f>
        <v>Pinnatuoli</v>
      </c>
    </row>
    <row r="1326" spans="1:8" x14ac:dyDescent="0.35">
      <c r="A1326" t="s">
        <v>40</v>
      </c>
      <c r="B1326">
        <v>2013</v>
      </c>
      <c r="C1326">
        <v>8</v>
      </c>
      <c r="D1326">
        <v>23756</v>
      </c>
      <c r="E1326">
        <v>68</v>
      </c>
      <c r="F1326">
        <v>10376.76</v>
      </c>
      <c r="G1326">
        <v>5235.18</v>
      </c>
      <c r="H1326" t="str">
        <f>VLOOKUP(myynnit[[#This Row],[TuoteID]],ohjaus!$A$4:$B$20,2,FALSE)</f>
        <v>Pianotuoli</v>
      </c>
    </row>
    <row r="1327" spans="1:8" x14ac:dyDescent="0.35">
      <c r="A1327" t="s">
        <v>40</v>
      </c>
      <c r="B1327">
        <v>2013</v>
      </c>
      <c r="C1327">
        <v>8</v>
      </c>
      <c r="D1327">
        <v>24326</v>
      </c>
      <c r="E1327">
        <v>21</v>
      </c>
      <c r="F1327">
        <v>3175.43</v>
      </c>
      <c r="G1327">
        <v>943.56</v>
      </c>
      <c r="H1327" t="str">
        <f>VLOOKUP(myynnit[[#This Row],[TuoteID]],ohjaus!$A$4:$B$20,2,FALSE)</f>
        <v>Lepotuoli</v>
      </c>
    </row>
    <row r="1328" spans="1:8" x14ac:dyDescent="0.35">
      <c r="A1328" t="s">
        <v>39</v>
      </c>
      <c r="B1328">
        <v>2013</v>
      </c>
      <c r="C1328">
        <v>8</v>
      </c>
      <c r="D1328">
        <v>12184</v>
      </c>
      <c r="E1328">
        <v>44</v>
      </c>
      <c r="F1328">
        <v>5811.57</v>
      </c>
      <c r="G1328">
        <v>4032.38</v>
      </c>
      <c r="H1328" t="str">
        <f>VLOOKUP(myynnit[[#This Row],[TuoteID]],ohjaus!$A$4:$B$20,2,FALSE)</f>
        <v>Rahi</v>
      </c>
    </row>
    <row r="1329" spans="1:8" x14ac:dyDescent="0.35">
      <c r="A1329" t="s">
        <v>39</v>
      </c>
      <c r="B1329">
        <v>2013</v>
      </c>
      <c r="C1329">
        <v>8</v>
      </c>
      <c r="D1329">
        <v>12622</v>
      </c>
      <c r="E1329">
        <v>35</v>
      </c>
      <c r="F1329">
        <v>9030.6200000000008</v>
      </c>
      <c r="G1329">
        <v>4802.2700000000004</v>
      </c>
      <c r="H1329" t="str">
        <f>VLOOKUP(myynnit[[#This Row],[TuoteID]],ohjaus!$A$4:$B$20,2,FALSE)</f>
        <v>Pianotuoli</v>
      </c>
    </row>
    <row r="1330" spans="1:8" x14ac:dyDescent="0.35">
      <c r="A1330" t="s">
        <v>39</v>
      </c>
      <c r="B1330">
        <v>2013</v>
      </c>
      <c r="C1330">
        <v>8</v>
      </c>
      <c r="D1330">
        <v>13527</v>
      </c>
      <c r="E1330">
        <v>358</v>
      </c>
      <c r="F1330">
        <v>62154.89</v>
      </c>
      <c r="G1330">
        <v>16382.8</v>
      </c>
      <c r="H1330" t="str">
        <f>VLOOKUP(myynnit[[#This Row],[TuoteID]],ohjaus!$A$4:$B$20,2,FALSE)</f>
        <v>Pinnatuoli</v>
      </c>
    </row>
    <row r="1331" spans="1:8" x14ac:dyDescent="0.35">
      <c r="A1331" t="s">
        <v>39</v>
      </c>
      <c r="B1331">
        <v>2013</v>
      </c>
      <c r="C1331">
        <v>8</v>
      </c>
      <c r="D1331">
        <v>13618</v>
      </c>
      <c r="E1331">
        <v>11</v>
      </c>
      <c r="F1331">
        <v>5062.99</v>
      </c>
      <c r="G1331">
        <v>2741.26</v>
      </c>
      <c r="H1331" t="str">
        <f>VLOOKUP(myynnit[[#This Row],[TuoteID]],ohjaus!$A$4:$B$20,2,FALSE)</f>
        <v>Pianotuoli</v>
      </c>
    </row>
    <row r="1332" spans="1:8" x14ac:dyDescent="0.35">
      <c r="A1332" t="s">
        <v>39</v>
      </c>
      <c r="B1332">
        <v>2013</v>
      </c>
      <c r="C1332">
        <v>8</v>
      </c>
      <c r="D1332">
        <v>16024</v>
      </c>
      <c r="E1332">
        <v>287</v>
      </c>
      <c r="F1332">
        <v>129156.9</v>
      </c>
      <c r="G1332">
        <v>32735.63</v>
      </c>
      <c r="H1332" t="str">
        <f>VLOOKUP(myynnit[[#This Row],[TuoteID]],ohjaus!$A$4:$B$20,2,FALSE)</f>
        <v>Työtuoli</v>
      </c>
    </row>
    <row r="1333" spans="1:8" x14ac:dyDescent="0.35">
      <c r="A1333" t="s">
        <v>39</v>
      </c>
      <c r="B1333">
        <v>2013</v>
      </c>
      <c r="C1333">
        <v>8</v>
      </c>
      <c r="D1333">
        <v>16650</v>
      </c>
      <c r="E1333">
        <v>20</v>
      </c>
      <c r="F1333">
        <v>3101.61</v>
      </c>
      <c r="G1333">
        <v>2433.0700000000002</v>
      </c>
      <c r="H1333" t="str">
        <f>VLOOKUP(myynnit[[#This Row],[TuoteID]],ohjaus!$A$4:$B$20,2,FALSE)</f>
        <v>Rahi</v>
      </c>
    </row>
    <row r="1334" spans="1:8" x14ac:dyDescent="0.35">
      <c r="A1334" t="s">
        <v>39</v>
      </c>
      <c r="B1334">
        <v>2013</v>
      </c>
      <c r="C1334">
        <v>8</v>
      </c>
      <c r="D1334">
        <v>17892</v>
      </c>
      <c r="E1334">
        <v>101</v>
      </c>
      <c r="F1334">
        <v>15568.79</v>
      </c>
      <c r="G1334">
        <v>4564.5600000000004</v>
      </c>
      <c r="H1334" t="str">
        <f>VLOOKUP(myynnit[[#This Row],[TuoteID]],ohjaus!$A$4:$B$20,2,FALSE)</f>
        <v>Lepotuoli</v>
      </c>
    </row>
    <row r="1335" spans="1:8" x14ac:dyDescent="0.35">
      <c r="A1335" t="s">
        <v>39</v>
      </c>
      <c r="B1335">
        <v>2013</v>
      </c>
      <c r="C1335">
        <v>8</v>
      </c>
      <c r="D1335">
        <v>18342</v>
      </c>
      <c r="E1335">
        <v>140</v>
      </c>
      <c r="F1335">
        <v>125025.68</v>
      </c>
      <c r="G1335">
        <v>37859.03</v>
      </c>
      <c r="H1335" t="str">
        <f>VLOOKUP(myynnit[[#This Row],[TuoteID]],ohjaus!$A$4:$B$20,2,FALSE)</f>
        <v>Työtuoli</v>
      </c>
    </row>
    <row r="1336" spans="1:8" x14ac:dyDescent="0.35">
      <c r="A1336" t="s">
        <v>39</v>
      </c>
      <c r="B1336">
        <v>2013</v>
      </c>
      <c r="C1336">
        <v>8</v>
      </c>
      <c r="D1336">
        <v>20177</v>
      </c>
      <c r="E1336">
        <v>54</v>
      </c>
      <c r="F1336">
        <v>6337.66</v>
      </c>
      <c r="G1336">
        <v>3014.54</v>
      </c>
      <c r="H1336" t="str">
        <f>VLOOKUP(myynnit[[#This Row],[TuoteID]],ohjaus!$A$4:$B$20,2,FALSE)</f>
        <v>Säkkituoli</v>
      </c>
    </row>
    <row r="1337" spans="1:8" x14ac:dyDescent="0.35">
      <c r="A1337" t="s">
        <v>39</v>
      </c>
      <c r="B1337">
        <v>2013</v>
      </c>
      <c r="C1337">
        <v>8</v>
      </c>
      <c r="D1337">
        <v>21179</v>
      </c>
      <c r="E1337">
        <v>40</v>
      </c>
      <c r="F1337">
        <v>5520.82</v>
      </c>
      <c r="G1337">
        <v>3351.36</v>
      </c>
      <c r="H1337" t="str">
        <f>VLOOKUP(myynnit[[#This Row],[TuoteID]],ohjaus!$A$4:$B$20,2,FALSE)</f>
        <v>Rahi</v>
      </c>
    </row>
    <row r="1338" spans="1:8" x14ac:dyDescent="0.35">
      <c r="A1338" t="s">
        <v>39</v>
      </c>
      <c r="B1338">
        <v>2013</v>
      </c>
      <c r="C1338">
        <v>8</v>
      </c>
      <c r="D1338">
        <v>21260</v>
      </c>
      <c r="E1338">
        <v>51</v>
      </c>
      <c r="F1338">
        <v>9285.18</v>
      </c>
      <c r="G1338">
        <v>3277.18</v>
      </c>
      <c r="H1338" t="str">
        <f>VLOOKUP(myynnit[[#This Row],[TuoteID]],ohjaus!$A$4:$B$20,2,FALSE)</f>
        <v>Lepotuoli</v>
      </c>
    </row>
    <row r="1339" spans="1:8" x14ac:dyDescent="0.35">
      <c r="A1339" t="s">
        <v>39</v>
      </c>
      <c r="B1339">
        <v>2013</v>
      </c>
      <c r="C1339">
        <v>8</v>
      </c>
      <c r="D1339">
        <v>22317</v>
      </c>
      <c r="E1339">
        <v>30</v>
      </c>
      <c r="F1339">
        <v>3016.02</v>
      </c>
      <c r="G1339">
        <v>1311.94</v>
      </c>
      <c r="H1339" t="str">
        <f>VLOOKUP(myynnit[[#This Row],[TuoteID]],ohjaus!$A$4:$B$20,2,FALSE)</f>
        <v>Säkkituoli</v>
      </c>
    </row>
    <row r="1340" spans="1:8" x14ac:dyDescent="0.35">
      <c r="A1340" t="s">
        <v>39</v>
      </c>
      <c r="B1340">
        <v>2013</v>
      </c>
      <c r="C1340">
        <v>8</v>
      </c>
      <c r="D1340">
        <v>22940</v>
      </c>
      <c r="E1340">
        <v>566</v>
      </c>
      <c r="F1340">
        <v>76236.92</v>
      </c>
      <c r="G1340">
        <v>19149.330000000002</v>
      </c>
      <c r="H1340" t="str">
        <f>VLOOKUP(myynnit[[#This Row],[TuoteID]],ohjaus!$A$4:$B$20,2,FALSE)</f>
        <v>Pinnatuoli</v>
      </c>
    </row>
    <row r="1341" spans="1:8" x14ac:dyDescent="0.35">
      <c r="A1341" t="s">
        <v>39</v>
      </c>
      <c r="B1341">
        <v>2013</v>
      </c>
      <c r="C1341">
        <v>8</v>
      </c>
      <c r="D1341">
        <v>23178</v>
      </c>
      <c r="E1341">
        <v>195</v>
      </c>
      <c r="F1341">
        <v>33621.24</v>
      </c>
      <c r="G1341">
        <v>8102.01</v>
      </c>
      <c r="H1341" t="str">
        <f>VLOOKUP(myynnit[[#This Row],[TuoteID]],ohjaus!$A$4:$B$20,2,FALSE)</f>
        <v>Pinnatuoli</v>
      </c>
    </row>
    <row r="1342" spans="1:8" x14ac:dyDescent="0.35">
      <c r="A1342" t="s">
        <v>39</v>
      </c>
      <c r="B1342">
        <v>2013</v>
      </c>
      <c r="C1342">
        <v>8</v>
      </c>
      <c r="D1342">
        <v>23600</v>
      </c>
      <c r="E1342">
        <v>554</v>
      </c>
      <c r="F1342">
        <v>66156.25</v>
      </c>
      <c r="G1342">
        <v>18337.22</v>
      </c>
      <c r="H1342" t="str">
        <f>VLOOKUP(myynnit[[#This Row],[TuoteID]],ohjaus!$A$4:$B$20,2,FALSE)</f>
        <v>Pinnatuoli</v>
      </c>
    </row>
    <row r="1343" spans="1:8" x14ac:dyDescent="0.35">
      <c r="A1343" t="s">
        <v>39</v>
      </c>
      <c r="B1343">
        <v>2013</v>
      </c>
      <c r="C1343">
        <v>8</v>
      </c>
      <c r="D1343">
        <v>23756</v>
      </c>
      <c r="E1343">
        <v>91</v>
      </c>
      <c r="F1343">
        <v>16122.22</v>
      </c>
      <c r="G1343">
        <v>8755.5499999999993</v>
      </c>
      <c r="H1343" t="str">
        <f>VLOOKUP(myynnit[[#This Row],[TuoteID]],ohjaus!$A$4:$B$20,2,FALSE)</f>
        <v>Pianotuoli</v>
      </c>
    </row>
    <row r="1344" spans="1:8" x14ac:dyDescent="0.35">
      <c r="A1344" t="s">
        <v>39</v>
      </c>
      <c r="B1344">
        <v>2013</v>
      </c>
      <c r="C1344">
        <v>8</v>
      </c>
      <c r="D1344">
        <v>24326</v>
      </c>
      <c r="E1344">
        <v>101</v>
      </c>
      <c r="F1344">
        <v>15120.51</v>
      </c>
      <c r="G1344">
        <v>4442.12</v>
      </c>
      <c r="H1344" t="str">
        <f>VLOOKUP(myynnit[[#This Row],[TuoteID]],ohjaus!$A$4:$B$20,2,FALSE)</f>
        <v>Lepotuoli</v>
      </c>
    </row>
    <row r="1345" spans="1:8" x14ac:dyDescent="0.35">
      <c r="A1345" t="s">
        <v>38</v>
      </c>
      <c r="B1345">
        <v>2013</v>
      </c>
      <c r="C1345">
        <v>8</v>
      </c>
      <c r="D1345">
        <v>12184</v>
      </c>
      <c r="E1345">
        <v>35</v>
      </c>
      <c r="F1345">
        <v>5039.84</v>
      </c>
      <c r="G1345">
        <v>2586.56</v>
      </c>
      <c r="H1345" t="str">
        <f>VLOOKUP(myynnit[[#This Row],[TuoteID]],ohjaus!$A$4:$B$20,2,FALSE)</f>
        <v>Rahi</v>
      </c>
    </row>
    <row r="1346" spans="1:8" x14ac:dyDescent="0.35">
      <c r="A1346" t="s">
        <v>38</v>
      </c>
      <c r="B1346">
        <v>2013</v>
      </c>
      <c r="C1346">
        <v>8</v>
      </c>
      <c r="D1346">
        <v>12622</v>
      </c>
      <c r="E1346">
        <v>37</v>
      </c>
      <c r="F1346">
        <v>10075.209999999999</v>
      </c>
      <c r="G1346">
        <v>4755.6400000000003</v>
      </c>
      <c r="H1346" t="str">
        <f>VLOOKUP(myynnit[[#This Row],[TuoteID]],ohjaus!$A$4:$B$20,2,FALSE)</f>
        <v>Pianotuoli</v>
      </c>
    </row>
    <row r="1347" spans="1:8" x14ac:dyDescent="0.35">
      <c r="A1347" t="s">
        <v>38</v>
      </c>
      <c r="B1347">
        <v>2013</v>
      </c>
      <c r="C1347">
        <v>8</v>
      </c>
      <c r="D1347">
        <v>13527</v>
      </c>
      <c r="E1347">
        <v>313</v>
      </c>
      <c r="F1347">
        <v>52236.37</v>
      </c>
      <c r="G1347">
        <v>9688.7000000000007</v>
      </c>
      <c r="H1347" t="str">
        <f>VLOOKUP(myynnit[[#This Row],[TuoteID]],ohjaus!$A$4:$B$20,2,FALSE)</f>
        <v>Pinnatuoli</v>
      </c>
    </row>
    <row r="1348" spans="1:8" x14ac:dyDescent="0.35">
      <c r="A1348" t="s">
        <v>38</v>
      </c>
      <c r="B1348">
        <v>2013</v>
      </c>
      <c r="C1348">
        <v>8</v>
      </c>
      <c r="D1348">
        <v>13618</v>
      </c>
      <c r="E1348">
        <v>18</v>
      </c>
      <c r="F1348">
        <v>7782.22</v>
      </c>
      <c r="G1348">
        <v>3801.98</v>
      </c>
      <c r="H1348" t="str">
        <f>VLOOKUP(myynnit[[#This Row],[TuoteID]],ohjaus!$A$4:$B$20,2,FALSE)</f>
        <v>Pianotuoli</v>
      </c>
    </row>
    <row r="1349" spans="1:8" x14ac:dyDescent="0.35">
      <c r="A1349" t="s">
        <v>38</v>
      </c>
      <c r="B1349">
        <v>2013</v>
      </c>
      <c r="C1349">
        <v>8</v>
      </c>
      <c r="D1349">
        <v>16024</v>
      </c>
      <c r="E1349">
        <v>84</v>
      </c>
      <c r="F1349">
        <v>36106.120000000003</v>
      </c>
      <c r="G1349">
        <v>9074.31</v>
      </c>
      <c r="H1349" t="str">
        <f>VLOOKUP(myynnit[[#This Row],[TuoteID]],ohjaus!$A$4:$B$20,2,FALSE)</f>
        <v>Työtuoli</v>
      </c>
    </row>
    <row r="1350" spans="1:8" x14ac:dyDescent="0.35">
      <c r="A1350" t="s">
        <v>38</v>
      </c>
      <c r="B1350">
        <v>2013</v>
      </c>
      <c r="C1350">
        <v>8</v>
      </c>
      <c r="D1350">
        <v>16650</v>
      </c>
      <c r="E1350">
        <v>34</v>
      </c>
      <c r="F1350">
        <v>4956.87</v>
      </c>
      <c r="G1350">
        <v>2494.75</v>
      </c>
      <c r="H1350" t="str">
        <f>VLOOKUP(myynnit[[#This Row],[TuoteID]],ohjaus!$A$4:$B$20,2,FALSE)</f>
        <v>Rahi</v>
      </c>
    </row>
    <row r="1351" spans="1:8" x14ac:dyDescent="0.35">
      <c r="A1351" t="s">
        <v>38</v>
      </c>
      <c r="B1351">
        <v>2013</v>
      </c>
      <c r="C1351">
        <v>8</v>
      </c>
      <c r="D1351">
        <v>17892</v>
      </c>
      <c r="E1351">
        <v>46</v>
      </c>
      <c r="F1351">
        <v>6166</v>
      </c>
      <c r="G1351">
        <v>1534.39</v>
      </c>
      <c r="H1351" t="str">
        <f>VLOOKUP(myynnit[[#This Row],[TuoteID]],ohjaus!$A$4:$B$20,2,FALSE)</f>
        <v>Lepotuoli</v>
      </c>
    </row>
    <row r="1352" spans="1:8" x14ac:dyDescent="0.35">
      <c r="A1352" t="s">
        <v>38</v>
      </c>
      <c r="B1352">
        <v>2013</v>
      </c>
      <c r="C1352">
        <v>8</v>
      </c>
      <c r="D1352">
        <v>18342</v>
      </c>
      <c r="E1352">
        <v>153</v>
      </c>
      <c r="F1352">
        <v>113655.78</v>
      </c>
      <c r="G1352">
        <v>25588.66</v>
      </c>
      <c r="H1352" t="str">
        <f>VLOOKUP(myynnit[[#This Row],[TuoteID]],ohjaus!$A$4:$B$20,2,FALSE)</f>
        <v>Työtuoli</v>
      </c>
    </row>
    <row r="1353" spans="1:8" x14ac:dyDescent="0.35">
      <c r="A1353" t="s">
        <v>38</v>
      </c>
      <c r="B1353">
        <v>2013</v>
      </c>
      <c r="C1353">
        <v>8</v>
      </c>
      <c r="D1353">
        <v>20177</v>
      </c>
      <c r="E1353">
        <v>52</v>
      </c>
      <c r="F1353">
        <v>5104.7299999999996</v>
      </c>
      <c r="G1353">
        <v>2163.86</v>
      </c>
      <c r="H1353" t="str">
        <f>VLOOKUP(myynnit[[#This Row],[TuoteID]],ohjaus!$A$4:$B$20,2,FALSE)</f>
        <v>Säkkituoli</v>
      </c>
    </row>
    <row r="1354" spans="1:8" x14ac:dyDescent="0.35">
      <c r="A1354" t="s">
        <v>38</v>
      </c>
      <c r="B1354">
        <v>2013</v>
      </c>
      <c r="C1354">
        <v>8</v>
      </c>
      <c r="D1354">
        <v>21179</v>
      </c>
      <c r="E1354">
        <v>23</v>
      </c>
      <c r="F1354">
        <v>3223.07</v>
      </c>
      <c r="G1354">
        <v>1790.71</v>
      </c>
      <c r="H1354" t="str">
        <f>VLOOKUP(myynnit[[#This Row],[TuoteID]],ohjaus!$A$4:$B$20,2,FALSE)</f>
        <v>Rahi</v>
      </c>
    </row>
    <row r="1355" spans="1:8" x14ac:dyDescent="0.35">
      <c r="A1355" t="s">
        <v>38</v>
      </c>
      <c r="B1355">
        <v>2013</v>
      </c>
      <c r="C1355">
        <v>8</v>
      </c>
      <c r="D1355">
        <v>21260</v>
      </c>
      <c r="E1355">
        <v>47</v>
      </c>
      <c r="F1355">
        <v>8373.11</v>
      </c>
      <c r="G1355">
        <v>2273.48</v>
      </c>
      <c r="H1355" t="str">
        <f>VLOOKUP(myynnit[[#This Row],[TuoteID]],ohjaus!$A$4:$B$20,2,FALSE)</f>
        <v>Lepotuoli</v>
      </c>
    </row>
    <row r="1356" spans="1:8" x14ac:dyDescent="0.35">
      <c r="A1356" t="s">
        <v>38</v>
      </c>
      <c r="B1356">
        <v>2013</v>
      </c>
      <c r="C1356">
        <v>8</v>
      </c>
      <c r="D1356">
        <v>22317</v>
      </c>
      <c r="E1356">
        <v>32</v>
      </c>
      <c r="F1356">
        <v>2933.07</v>
      </c>
      <c r="G1356">
        <v>1151.33</v>
      </c>
      <c r="H1356" t="str">
        <f>VLOOKUP(myynnit[[#This Row],[TuoteID]],ohjaus!$A$4:$B$20,2,FALSE)</f>
        <v>Säkkituoli</v>
      </c>
    </row>
    <row r="1357" spans="1:8" x14ac:dyDescent="0.35">
      <c r="A1357" t="s">
        <v>38</v>
      </c>
      <c r="B1357">
        <v>2013</v>
      </c>
      <c r="C1357">
        <v>8</v>
      </c>
      <c r="D1357">
        <v>22940</v>
      </c>
      <c r="E1357">
        <v>439</v>
      </c>
      <c r="F1357">
        <v>58216.160000000003</v>
      </c>
      <c r="G1357">
        <v>12344.97</v>
      </c>
      <c r="H1357" t="str">
        <f>VLOOKUP(myynnit[[#This Row],[TuoteID]],ohjaus!$A$4:$B$20,2,FALSE)</f>
        <v>Pinnatuoli</v>
      </c>
    </row>
    <row r="1358" spans="1:8" x14ac:dyDescent="0.35">
      <c r="A1358" t="s">
        <v>38</v>
      </c>
      <c r="B1358">
        <v>2013</v>
      </c>
      <c r="C1358">
        <v>8</v>
      </c>
      <c r="D1358">
        <v>23178</v>
      </c>
      <c r="E1358">
        <v>159</v>
      </c>
      <c r="F1358">
        <v>28317.4</v>
      </c>
      <c r="G1358">
        <v>6405.08</v>
      </c>
      <c r="H1358" t="str">
        <f>VLOOKUP(myynnit[[#This Row],[TuoteID]],ohjaus!$A$4:$B$20,2,FALSE)</f>
        <v>Pinnatuoli</v>
      </c>
    </row>
    <row r="1359" spans="1:8" x14ac:dyDescent="0.35">
      <c r="A1359" t="s">
        <v>38</v>
      </c>
      <c r="B1359">
        <v>2013</v>
      </c>
      <c r="C1359">
        <v>8</v>
      </c>
      <c r="D1359">
        <v>23600</v>
      </c>
      <c r="E1359">
        <v>922</v>
      </c>
      <c r="F1359">
        <v>107825.61</v>
      </c>
      <c r="G1359">
        <v>25255.93</v>
      </c>
      <c r="H1359" t="str">
        <f>VLOOKUP(myynnit[[#This Row],[TuoteID]],ohjaus!$A$4:$B$20,2,FALSE)</f>
        <v>Pinnatuoli</v>
      </c>
    </row>
    <row r="1360" spans="1:8" x14ac:dyDescent="0.35">
      <c r="A1360" t="s">
        <v>38</v>
      </c>
      <c r="B1360">
        <v>2013</v>
      </c>
      <c r="C1360">
        <v>8</v>
      </c>
      <c r="D1360">
        <v>23756</v>
      </c>
      <c r="E1360">
        <v>66</v>
      </c>
      <c r="F1360">
        <v>13103.79</v>
      </c>
      <c r="G1360">
        <v>6941.05</v>
      </c>
      <c r="H1360" t="str">
        <f>VLOOKUP(myynnit[[#This Row],[TuoteID]],ohjaus!$A$4:$B$20,2,FALSE)</f>
        <v>Pianotuoli</v>
      </c>
    </row>
    <row r="1361" spans="1:8" x14ac:dyDescent="0.35">
      <c r="A1361" t="s">
        <v>38</v>
      </c>
      <c r="B1361">
        <v>2013</v>
      </c>
      <c r="C1361">
        <v>8</v>
      </c>
      <c r="D1361">
        <v>24326</v>
      </c>
      <c r="E1361">
        <v>128</v>
      </c>
      <c r="F1361">
        <v>19331.439999999999</v>
      </c>
      <c r="G1361">
        <v>5248.5</v>
      </c>
      <c r="H1361" t="str">
        <f>VLOOKUP(myynnit[[#This Row],[TuoteID]],ohjaus!$A$4:$B$20,2,FALSE)</f>
        <v>Lepotuoli</v>
      </c>
    </row>
    <row r="1362" spans="1:8" x14ac:dyDescent="0.35">
      <c r="A1362" t="s">
        <v>37</v>
      </c>
      <c r="B1362">
        <v>2013</v>
      </c>
      <c r="C1362">
        <v>9</v>
      </c>
      <c r="D1362">
        <v>12184</v>
      </c>
      <c r="E1362">
        <v>93</v>
      </c>
      <c r="F1362">
        <v>13005.8</v>
      </c>
      <c r="G1362">
        <v>5984.14</v>
      </c>
      <c r="H1362" t="str">
        <f>VLOOKUP(myynnit[[#This Row],[TuoteID]],ohjaus!$A$4:$B$20,2,FALSE)</f>
        <v>Rahi</v>
      </c>
    </row>
    <row r="1363" spans="1:8" x14ac:dyDescent="0.35">
      <c r="A1363" t="s">
        <v>37</v>
      </c>
      <c r="B1363">
        <v>2013</v>
      </c>
      <c r="C1363">
        <v>9</v>
      </c>
      <c r="D1363">
        <v>12622</v>
      </c>
      <c r="E1363">
        <v>46</v>
      </c>
      <c r="F1363">
        <v>10764.08</v>
      </c>
      <c r="G1363">
        <v>4820.1000000000004</v>
      </c>
      <c r="H1363" t="str">
        <f>VLOOKUP(myynnit[[#This Row],[TuoteID]],ohjaus!$A$4:$B$20,2,FALSE)</f>
        <v>Pianotuoli</v>
      </c>
    </row>
    <row r="1364" spans="1:8" x14ac:dyDescent="0.35">
      <c r="A1364" t="s">
        <v>37</v>
      </c>
      <c r="B1364">
        <v>2013</v>
      </c>
      <c r="C1364">
        <v>9</v>
      </c>
      <c r="D1364">
        <v>13527</v>
      </c>
      <c r="E1364">
        <v>285</v>
      </c>
      <c r="F1364">
        <v>47100.76</v>
      </c>
      <c r="G1364">
        <v>7577.97</v>
      </c>
      <c r="H1364" t="str">
        <f>VLOOKUP(myynnit[[#This Row],[TuoteID]],ohjaus!$A$4:$B$20,2,FALSE)</f>
        <v>Pinnatuoli</v>
      </c>
    </row>
    <row r="1365" spans="1:8" x14ac:dyDescent="0.35">
      <c r="A1365" t="s">
        <v>37</v>
      </c>
      <c r="B1365">
        <v>2013</v>
      </c>
      <c r="C1365">
        <v>9</v>
      </c>
      <c r="D1365">
        <v>13618</v>
      </c>
      <c r="E1365">
        <v>14</v>
      </c>
      <c r="F1365">
        <v>5957.18</v>
      </c>
      <c r="G1365">
        <v>2870.2</v>
      </c>
      <c r="H1365" t="str">
        <f>VLOOKUP(myynnit[[#This Row],[TuoteID]],ohjaus!$A$4:$B$20,2,FALSE)</f>
        <v>Pianotuoli</v>
      </c>
    </row>
    <row r="1366" spans="1:8" x14ac:dyDescent="0.35">
      <c r="A1366" t="s">
        <v>37</v>
      </c>
      <c r="B1366">
        <v>2013</v>
      </c>
      <c r="C1366">
        <v>9</v>
      </c>
      <c r="D1366">
        <v>16024</v>
      </c>
      <c r="E1366">
        <v>243</v>
      </c>
      <c r="F1366">
        <v>95160.81</v>
      </c>
      <c r="G1366">
        <v>27181.46</v>
      </c>
      <c r="H1366" t="str">
        <f>VLOOKUP(myynnit[[#This Row],[TuoteID]],ohjaus!$A$4:$B$20,2,FALSE)</f>
        <v>Työtuoli</v>
      </c>
    </row>
    <row r="1367" spans="1:8" x14ac:dyDescent="0.35">
      <c r="A1367" t="s">
        <v>37</v>
      </c>
      <c r="B1367">
        <v>2013</v>
      </c>
      <c r="C1367">
        <v>9</v>
      </c>
      <c r="D1367">
        <v>16650</v>
      </c>
      <c r="E1367">
        <v>70</v>
      </c>
      <c r="F1367">
        <v>9943.67</v>
      </c>
      <c r="G1367">
        <v>5384.2</v>
      </c>
      <c r="H1367" t="str">
        <f>VLOOKUP(myynnit[[#This Row],[TuoteID]],ohjaus!$A$4:$B$20,2,FALSE)</f>
        <v>Rahi</v>
      </c>
    </row>
    <row r="1368" spans="1:8" x14ac:dyDescent="0.35">
      <c r="A1368" t="s">
        <v>37</v>
      </c>
      <c r="B1368">
        <v>2013</v>
      </c>
      <c r="C1368">
        <v>9</v>
      </c>
      <c r="D1368">
        <v>17892</v>
      </c>
      <c r="E1368">
        <v>72</v>
      </c>
      <c r="F1368">
        <v>10692.85</v>
      </c>
      <c r="G1368">
        <v>3063.99</v>
      </c>
      <c r="H1368" t="str">
        <f>VLOOKUP(myynnit[[#This Row],[TuoteID]],ohjaus!$A$4:$B$20,2,FALSE)</f>
        <v>Lepotuoli</v>
      </c>
    </row>
    <row r="1369" spans="1:8" x14ac:dyDescent="0.35">
      <c r="A1369" t="s">
        <v>37</v>
      </c>
      <c r="B1369">
        <v>2013</v>
      </c>
      <c r="C1369">
        <v>9</v>
      </c>
      <c r="D1369">
        <v>18342</v>
      </c>
      <c r="E1369">
        <v>187</v>
      </c>
      <c r="F1369">
        <v>166702.45000000001</v>
      </c>
      <c r="G1369">
        <v>43010.92</v>
      </c>
      <c r="H1369" t="str">
        <f>VLOOKUP(myynnit[[#This Row],[TuoteID]],ohjaus!$A$4:$B$20,2,FALSE)</f>
        <v>Työtuoli</v>
      </c>
    </row>
    <row r="1370" spans="1:8" x14ac:dyDescent="0.35">
      <c r="A1370" t="s">
        <v>37</v>
      </c>
      <c r="B1370">
        <v>2013</v>
      </c>
      <c r="C1370">
        <v>9</v>
      </c>
      <c r="D1370">
        <v>20177</v>
      </c>
      <c r="E1370">
        <v>101</v>
      </c>
      <c r="F1370">
        <v>10834.04</v>
      </c>
      <c r="G1370">
        <v>3709.92</v>
      </c>
      <c r="H1370" t="str">
        <f>VLOOKUP(myynnit[[#This Row],[TuoteID]],ohjaus!$A$4:$B$20,2,FALSE)</f>
        <v>Säkkituoli</v>
      </c>
    </row>
    <row r="1371" spans="1:8" x14ac:dyDescent="0.35">
      <c r="A1371" t="s">
        <v>37</v>
      </c>
      <c r="B1371">
        <v>2013</v>
      </c>
      <c r="C1371">
        <v>9</v>
      </c>
      <c r="D1371">
        <v>21179</v>
      </c>
      <c r="E1371">
        <v>49</v>
      </c>
      <c r="F1371">
        <v>6308.51</v>
      </c>
      <c r="G1371">
        <v>2656.13</v>
      </c>
      <c r="H1371" t="str">
        <f>VLOOKUP(myynnit[[#This Row],[TuoteID]],ohjaus!$A$4:$B$20,2,FALSE)</f>
        <v>Rahi</v>
      </c>
    </row>
    <row r="1372" spans="1:8" x14ac:dyDescent="0.35">
      <c r="A1372" t="s">
        <v>37</v>
      </c>
      <c r="B1372">
        <v>2013</v>
      </c>
      <c r="C1372">
        <v>9</v>
      </c>
      <c r="D1372">
        <v>21260</v>
      </c>
      <c r="E1372">
        <v>92</v>
      </c>
      <c r="F1372">
        <v>18569.57</v>
      </c>
      <c r="G1372">
        <v>4935.78</v>
      </c>
      <c r="H1372" t="str">
        <f>VLOOKUP(myynnit[[#This Row],[TuoteID]],ohjaus!$A$4:$B$20,2,FALSE)</f>
        <v>Lepotuoli</v>
      </c>
    </row>
    <row r="1373" spans="1:8" x14ac:dyDescent="0.35">
      <c r="A1373" t="s">
        <v>37</v>
      </c>
      <c r="B1373">
        <v>2013</v>
      </c>
      <c r="C1373">
        <v>9</v>
      </c>
      <c r="D1373">
        <v>22317</v>
      </c>
      <c r="E1373">
        <v>116</v>
      </c>
      <c r="F1373">
        <v>9208.91</v>
      </c>
      <c r="G1373">
        <v>3530.64</v>
      </c>
      <c r="H1373" t="str">
        <f>VLOOKUP(myynnit[[#This Row],[TuoteID]],ohjaus!$A$4:$B$20,2,FALSE)</f>
        <v>Säkkituoli</v>
      </c>
    </row>
    <row r="1374" spans="1:8" x14ac:dyDescent="0.35">
      <c r="A1374" t="s">
        <v>37</v>
      </c>
      <c r="B1374">
        <v>2013</v>
      </c>
      <c r="C1374">
        <v>9</v>
      </c>
      <c r="D1374">
        <v>22940</v>
      </c>
      <c r="E1374">
        <v>531</v>
      </c>
      <c r="F1374">
        <v>68005.36</v>
      </c>
      <c r="G1374">
        <v>12430.21</v>
      </c>
      <c r="H1374" t="str">
        <f>VLOOKUP(myynnit[[#This Row],[TuoteID]],ohjaus!$A$4:$B$20,2,FALSE)</f>
        <v>Pinnatuoli</v>
      </c>
    </row>
    <row r="1375" spans="1:8" x14ac:dyDescent="0.35">
      <c r="A1375" t="s">
        <v>37</v>
      </c>
      <c r="B1375">
        <v>2013</v>
      </c>
      <c r="C1375">
        <v>9</v>
      </c>
      <c r="D1375">
        <v>23178</v>
      </c>
      <c r="E1375">
        <v>379</v>
      </c>
      <c r="F1375">
        <v>70075.199999999997</v>
      </c>
      <c r="G1375">
        <v>15380.74</v>
      </c>
      <c r="H1375" t="str">
        <f>VLOOKUP(myynnit[[#This Row],[TuoteID]],ohjaus!$A$4:$B$20,2,FALSE)</f>
        <v>Pinnatuoli</v>
      </c>
    </row>
    <row r="1376" spans="1:8" x14ac:dyDescent="0.35">
      <c r="A1376" t="s">
        <v>37</v>
      </c>
      <c r="B1376">
        <v>2013</v>
      </c>
      <c r="C1376">
        <v>9</v>
      </c>
      <c r="D1376">
        <v>23600</v>
      </c>
      <c r="E1376">
        <v>801</v>
      </c>
      <c r="F1376">
        <v>87544.2</v>
      </c>
      <c r="G1376">
        <v>23942.11</v>
      </c>
      <c r="H1376" t="str">
        <f>VLOOKUP(myynnit[[#This Row],[TuoteID]],ohjaus!$A$4:$B$20,2,FALSE)</f>
        <v>Pinnatuoli</v>
      </c>
    </row>
    <row r="1377" spans="1:8" x14ac:dyDescent="0.35">
      <c r="A1377" t="s">
        <v>37</v>
      </c>
      <c r="B1377">
        <v>2013</v>
      </c>
      <c r="C1377">
        <v>9</v>
      </c>
      <c r="D1377">
        <v>23756</v>
      </c>
      <c r="E1377">
        <v>104</v>
      </c>
      <c r="F1377">
        <v>19321.23</v>
      </c>
      <c r="G1377">
        <v>8466.17</v>
      </c>
      <c r="H1377" t="str">
        <f>VLOOKUP(myynnit[[#This Row],[TuoteID]],ohjaus!$A$4:$B$20,2,FALSE)</f>
        <v>Pianotuoli</v>
      </c>
    </row>
    <row r="1378" spans="1:8" x14ac:dyDescent="0.35">
      <c r="A1378" t="s">
        <v>37</v>
      </c>
      <c r="B1378">
        <v>2013</v>
      </c>
      <c r="C1378">
        <v>9</v>
      </c>
      <c r="D1378">
        <v>24326</v>
      </c>
      <c r="E1378">
        <v>161</v>
      </c>
      <c r="F1378">
        <v>23543.82</v>
      </c>
      <c r="G1378">
        <v>6757.12</v>
      </c>
      <c r="H1378" t="str">
        <f>VLOOKUP(myynnit[[#This Row],[TuoteID]],ohjaus!$A$4:$B$20,2,FALSE)</f>
        <v>Lepotuoli</v>
      </c>
    </row>
    <row r="1379" spans="1:8" x14ac:dyDescent="0.35">
      <c r="A1379" t="s">
        <v>40</v>
      </c>
      <c r="B1379">
        <v>2013</v>
      </c>
      <c r="C1379">
        <v>9</v>
      </c>
      <c r="D1379">
        <v>12184</v>
      </c>
      <c r="E1379">
        <v>30</v>
      </c>
      <c r="F1379">
        <v>3704.76</v>
      </c>
      <c r="G1379">
        <v>1739.86</v>
      </c>
      <c r="H1379" t="str">
        <f>VLOOKUP(myynnit[[#This Row],[TuoteID]],ohjaus!$A$4:$B$20,2,FALSE)</f>
        <v>Rahi</v>
      </c>
    </row>
    <row r="1380" spans="1:8" x14ac:dyDescent="0.35">
      <c r="A1380" t="s">
        <v>40</v>
      </c>
      <c r="B1380">
        <v>2013</v>
      </c>
      <c r="C1380">
        <v>9</v>
      </c>
      <c r="D1380">
        <v>12622</v>
      </c>
      <c r="E1380">
        <v>9</v>
      </c>
      <c r="F1380">
        <v>2024.52</v>
      </c>
      <c r="G1380">
        <v>797.23</v>
      </c>
      <c r="H1380" t="str">
        <f>VLOOKUP(myynnit[[#This Row],[TuoteID]],ohjaus!$A$4:$B$20,2,FALSE)</f>
        <v>Pianotuoli</v>
      </c>
    </row>
    <row r="1381" spans="1:8" x14ac:dyDescent="0.35">
      <c r="A1381" t="s">
        <v>40</v>
      </c>
      <c r="B1381">
        <v>2013</v>
      </c>
      <c r="C1381">
        <v>9</v>
      </c>
      <c r="D1381">
        <v>13527</v>
      </c>
      <c r="E1381">
        <v>262</v>
      </c>
      <c r="F1381">
        <v>39967.49</v>
      </c>
      <c r="G1381">
        <v>7941.14</v>
      </c>
      <c r="H1381" t="str">
        <f>VLOOKUP(myynnit[[#This Row],[TuoteID]],ohjaus!$A$4:$B$20,2,FALSE)</f>
        <v>Pinnatuoli</v>
      </c>
    </row>
    <row r="1382" spans="1:8" x14ac:dyDescent="0.35">
      <c r="A1382" t="s">
        <v>40</v>
      </c>
      <c r="B1382">
        <v>2013</v>
      </c>
      <c r="C1382">
        <v>9</v>
      </c>
      <c r="D1382">
        <v>13618</v>
      </c>
      <c r="E1382">
        <v>9</v>
      </c>
      <c r="F1382">
        <v>3861.07</v>
      </c>
      <c r="G1382">
        <v>1819.19</v>
      </c>
      <c r="H1382" t="str">
        <f>VLOOKUP(myynnit[[#This Row],[TuoteID]],ohjaus!$A$4:$B$20,2,FALSE)</f>
        <v>Pianotuoli</v>
      </c>
    </row>
    <row r="1383" spans="1:8" x14ac:dyDescent="0.35">
      <c r="A1383" t="s">
        <v>40</v>
      </c>
      <c r="B1383">
        <v>2013</v>
      </c>
      <c r="C1383">
        <v>9</v>
      </c>
      <c r="D1383">
        <v>16024</v>
      </c>
      <c r="E1383">
        <v>214</v>
      </c>
      <c r="F1383">
        <v>101259.74</v>
      </c>
      <c r="G1383">
        <v>35884.879999999997</v>
      </c>
      <c r="H1383" t="str">
        <f>VLOOKUP(myynnit[[#This Row],[TuoteID]],ohjaus!$A$4:$B$20,2,FALSE)</f>
        <v>Työtuoli</v>
      </c>
    </row>
    <row r="1384" spans="1:8" x14ac:dyDescent="0.35">
      <c r="A1384" t="s">
        <v>40</v>
      </c>
      <c r="B1384">
        <v>2013</v>
      </c>
      <c r="C1384">
        <v>9</v>
      </c>
      <c r="D1384">
        <v>16650</v>
      </c>
      <c r="E1384">
        <v>33</v>
      </c>
      <c r="F1384">
        <v>5171.41</v>
      </c>
      <c r="G1384">
        <v>2759.18</v>
      </c>
      <c r="H1384" t="str">
        <f>VLOOKUP(myynnit[[#This Row],[TuoteID]],ohjaus!$A$4:$B$20,2,FALSE)</f>
        <v>Rahi</v>
      </c>
    </row>
    <row r="1385" spans="1:8" x14ac:dyDescent="0.35">
      <c r="A1385" t="s">
        <v>40</v>
      </c>
      <c r="B1385">
        <v>2013</v>
      </c>
      <c r="C1385">
        <v>9</v>
      </c>
      <c r="D1385">
        <v>17892</v>
      </c>
      <c r="E1385">
        <v>52</v>
      </c>
      <c r="F1385">
        <v>6878.63</v>
      </c>
      <c r="G1385">
        <v>1909.4</v>
      </c>
      <c r="H1385" t="str">
        <f>VLOOKUP(myynnit[[#This Row],[TuoteID]],ohjaus!$A$4:$B$20,2,FALSE)</f>
        <v>Lepotuoli</v>
      </c>
    </row>
    <row r="1386" spans="1:8" x14ac:dyDescent="0.35">
      <c r="A1386" t="s">
        <v>40</v>
      </c>
      <c r="B1386">
        <v>2013</v>
      </c>
      <c r="C1386">
        <v>9</v>
      </c>
      <c r="D1386">
        <v>18342</v>
      </c>
      <c r="E1386">
        <v>21</v>
      </c>
      <c r="F1386">
        <v>18460.150000000001</v>
      </c>
      <c r="G1386">
        <v>5963.2</v>
      </c>
      <c r="H1386" t="str">
        <f>VLOOKUP(myynnit[[#This Row],[TuoteID]],ohjaus!$A$4:$B$20,2,FALSE)</f>
        <v>Työtuoli</v>
      </c>
    </row>
    <row r="1387" spans="1:8" x14ac:dyDescent="0.35">
      <c r="A1387" t="s">
        <v>40</v>
      </c>
      <c r="B1387">
        <v>2013</v>
      </c>
      <c r="C1387">
        <v>9</v>
      </c>
      <c r="D1387">
        <v>20177</v>
      </c>
      <c r="E1387">
        <v>17</v>
      </c>
      <c r="F1387">
        <v>1609.33</v>
      </c>
      <c r="G1387">
        <v>582.38</v>
      </c>
      <c r="H1387" t="str">
        <f>VLOOKUP(myynnit[[#This Row],[TuoteID]],ohjaus!$A$4:$B$20,2,FALSE)</f>
        <v>Säkkituoli</v>
      </c>
    </row>
    <row r="1388" spans="1:8" x14ac:dyDescent="0.35">
      <c r="A1388" t="s">
        <v>40</v>
      </c>
      <c r="B1388">
        <v>2013</v>
      </c>
      <c r="C1388">
        <v>9</v>
      </c>
      <c r="D1388">
        <v>21179</v>
      </c>
      <c r="E1388">
        <v>42</v>
      </c>
      <c r="F1388">
        <v>4781.46</v>
      </c>
      <c r="G1388">
        <v>2646.64</v>
      </c>
      <c r="H1388" t="str">
        <f>VLOOKUP(myynnit[[#This Row],[TuoteID]],ohjaus!$A$4:$B$20,2,FALSE)</f>
        <v>Rahi</v>
      </c>
    </row>
    <row r="1389" spans="1:8" x14ac:dyDescent="0.35">
      <c r="A1389" t="s">
        <v>40</v>
      </c>
      <c r="B1389">
        <v>2013</v>
      </c>
      <c r="C1389">
        <v>9</v>
      </c>
      <c r="D1389">
        <v>21260</v>
      </c>
      <c r="E1389">
        <v>49</v>
      </c>
      <c r="F1389">
        <v>9561.11</v>
      </c>
      <c r="G1389">
        <v>2233.79</v>
      </c>
      <c r="H1389" t="str">
        <f>VLOOKUP(myynnit[[#This Row],[TuoteID]],ohjaus!$A$4:$B$20,2,FALSE)</f>
        <v>Lepotuoli</v>
      </c>
    </row>
    <row r="1390" spans="1:8" x14ac:dyDescent="0.35">
      <c r="A1390" t="s">
        <v>40</v>
      </c>
      <c r="B1390">
        <v>2013</v>
      </c>
      <c r="C1390">
        <v>9</v>
      </c>
      <c r="D1390">
        <v>22317</v>
      </c>
      <c r="E1390">
        <v>10</v>
      </c>
      <c r="F1390">
        <v>767.64</v>
      </c>
      <c r="G1390">
        <v>397.3</v>
      </c>
      <c r="H1390" t="str">
        <f>VLOOKUP(myynnit[[#This Row],[TuoteID]],ohjaus!$A$4:$B$20,2,FALSE)</f>
        <v>Säkkituoli</v>
      </c>
    </row>
    <row r="1391" spans="1:8" x14ac:dyDescent="0.35">
      <c r="A1391" t="s">
        <v>40</v>
      </c>
      <c r="B1391">
        <v>2013</v>
      </c>
      <c r="C1391">
        <v>9</v>
      </c>
      <c r="D1391">
        <v>22940</v>
      </c>
      <c r="E1391">
        <v>144</v>
      </c>
      <c r="F1391">
        <v>19459.39</v>
      </c>
      <c r="G1391">
        <v>5573.84</v>
      </c>
      <c r="H1391" t="str">
        <f>VLOOKUP(myynnit[[#This Row],[TuoteID]],ohjaus!$A$4:$B$20,2,FALSE)</f>
        <v>Pinnatuoli</v>
      </c>
    </row>
    <row r="1392" spans="1:8" x14ac:dyDescent="0.35">
      <c r="A1392" t="s">
        <v>40</v>
      </c>
      <c r="B1392">
        <v>2013</v>
      </c>
      <c r="C1392">
        <v>9</v>
      </c>
      <c r="D1392">
        <v>23178</v>
      </c>
      <c r="E1392">
        <v>156</v>
      </c>
      <c r="F1392">
        <v>28726.22</v>
      </c>
      <c r="G1392">
        <v>6724.02</v>
      </c>
      <c r="H1392" t="str">
        <f>VLOOKUP(myynnit[[#This Row],[TuoteID]],ohjaus!$A$4:$B$20,2,FALSE)</f>
        <v>Pinnatuoli</v>
      </c>
    </row>
    <row r="1393" spans="1:8" x14ac:dyDescent="0.35">
      <c r="A1393" t="s">
        <v>40</v>
      </c>
      <c r="B1393">
        <v>2013</v>
      </c>
      <c r="C1393">
        <v>9</v>
      </c>
      <c r="D1393">
        <v>23600</v>
      </c>
      <c r="E1393">
        <v>610</v>
      </c>
      <c r="F1393">
        <v>62933.88</v>
      </c>
      <c r="G1393">
        <v>18812.71</v>
      </c>
      <c r="H1393" t="str">
        <f>VLOOKUP(myynnit[[#This Row],[TuoteID]],ohjaus!$A$4:$B$20,2,FALSE)</f>
        <v>Pinnatuoli</v>
      </c>
    </row>
    <row r="1394" spans="1:8" x14ac:dyDescent="0.35">
      <c r="A1394" t="s">
        <v>40</v>
      </c>
      <c r="B1394">
        <v>2013</v>
      </c>
      <c r="C1394">
        <v>9</v>
      </c>
      <c r="D1394">
        <v>23756</v>
      </c>
      <c r="E1394">
        <v>57</v>
      </c>
      <c r="F1394">
        <v>11604.83</v>
      </c>
      <c r="G1394">
        <v>4774.41</v>
      </c>
      <c r="H1394" t="str">
        <f>VLOOKUP(myynnit[[#This Row],[TuoteID]],ohjaus!$A$4:$B$20,2,FALSE)</f>
        <v>Pianotuoli</v>
      </c>
    </row>
    <row r="1395" spans="1:8" x14ac:dyDescent="0.35">
      <c r="A1395" t="s">
        <v>40</v>
      </c>
      <c r="B1395">
        <v>2013</v>
      </c>
      <c r="C1395">
        <v>9</v>
      </c>
      <c r="D1395">
        <v>24326</v>
      </c>
      <c r="E1395">
        <v>33</v>
      </c>
      <c r="F1395">
        <v>4725.5</v>
      </c>
      <c r="G1395">
        <v>1291.47</v>
      </c>
      <c r="H1395" t="str">
        <f>VLOOKUP(myynnit[[#This Row],[TuoteID]],ohjaus!$A$4:$B$20,2,FALSE)</f>
        <v>Lepotuoli</v>
      </c>
    </row>
    <row r="1396" spans="1:8" x14ac:dyDescent="0.35">
      <c r="A1396" t="s">
        <v>39</v>
      </c>
      <c r="B1396">
        <v>2013</v>
      </c>
      <c r="C1396">
        <v>9</v>
      </c>
      <c r="D1396">
        <v>12184</v>
      </c>
      <c r="E1396">
        <v>73</v>
      </c>
      <c r="F1396">
        <v>7841.33</v>
      </c>
      <c r="G1396">
        <v>5776.02</v>
      </c>
      <c r="H1396" t="str">
        <f>VLOOKUP(myynnit[[#This Row],[TuoteID]],ohjaus!$A$4:$B$20,2,FALSE)</f>
        <v>Rahi</v>
      </c>
    </row>
    <row r="1397" spans="1:8" x14ac:dyDescent="0.35">
      <c r="A1397" t="s">
        <v>39</v>
      </c>
      <c r="B1397">
        <v>2013</v>
      </c>
      <c r="C1397">
        <v>9</v>
      </c>
      <c r="D1397">
        <v>12622</v>
      </c>
      <c r="E1397">
        <v>32</v>
      </c>
      <c r="F1397">
        <v>9345.9699999999993</v>
      </c>
      <c r="G1397">
        <v>6047.66</v>
      </c>
      <c r="H1397" t="str">
        <f>VLOOKUP(myynnit[[#This Row],[TuoteID]],ohjaus!$A$4:$B$20,2,FALSE)</f>
        <v>Pianotuoli</v>
      </c>
    </row>
    <row r="1398" spans="1:8" x14ac:dyDescent="0.35">
      <c r="A1398" t="s">
        <v>39</v>
      </c>
      <c r="B1398">
        <v>2013</v>
      </c>
      <c r="C1398">
        <v>9</v>
      </c>
      <c r="D1398">
        <v>13527</v>
      </c>
      <c r="E1398">
        <v>231</v>
      </c>
      <c r="F1398">
        <v>36402.769999999997</v>
      </c>
      <c r="G1398">
        <v>9532.81</v>
      </c>
      <c r="H1398" t="str">
        <f>VLOOKUP(myynnit[[#This Row],[TuoteID]],ohjaus!$A$4:$B$20,2,FALSE)</f>
        <v>Pinnatuoli</v>
      </c>
    </row>
    <row r="1399" spans="1:8" x14ac:dyDescent="0.35">
      <c r="A1399" t="s">
        <v>39</v>
      </c>
      <c r="B1399">
        <v>2013</v>
      </c>
      <c r="C1399">
        <v>9</v>
      </c>
      <c r="D1399">
        <v>13618</v>
      </c>
      <c r="E1399">
        <v>23</v>
      </c>
      <c r="F1399">
        <v>8011.45</v>
      </c>
      <c r="G1399">
        <v>4606.1000000000004</v>
      </c>
      <c r="H1399" t="str">
        <f>VLOOKUP(myynnit[[#This Row],[TuoteID]],ohjaus!$A$4:$B$20,2,FALSE)</f>
        <v>Pianotuoli</v>
      </c>
    </row>
    <row r="1400" spans="1:8" x14ac:dyDescent="0.35">
      <c r="A1400" t="s">
        <v>39</v>
      </c>
      <c r="B1400">
        <v>2013</v>
      </c>
      <c r="C1400">
        <v>9</v>
      </c>
      <c r="D1400">
        <v>16024</v>
      </c>
      <c r="E1400">
        <v>224</v>
      </c>
      <c r="F1400">
        <v>105084.38</v>
      </c>
      <c r="G1400">
        <v>27640.67</v>
      </c>
      <c r="H1400" t="str">
        <f>VLOOKUP(myynnit[[#This Row],[TuoteID]],ohjaus!$A$4:$B$20,2,FALSE)</f>
        <v>Työtuoli</v>
      </c>
    </row>
    <row r="1401" spans="1:8" x14ac:dyDescent="0.35">
      <c r="A1401" t="s">
        <v>39</v>
      </c>
      <c r="B1401">
        <v>2013</v>
      </c>
      <c r="C1401">
        <v>9</v>
      </c>
      <c r="D1401">
        <v>16650</v>
      </c>
      <c r="E1401">
        <v>43</v>
      </c>
      <c r="F1401">
        <v>7964.09</v>
      </c>
      <c r="G1401">
        <v>5733.91</v>
      </c>
      <c r="H1401" t="str">
        <f>VLOOKUP(myynnit[[#This Row],[TuoteID]],ohjaus!$A$4:$B$20,2,FALSE)</f>
        <v>Rahi</v>
      </c>
    </row>
    <row r="1402" spans="1:8" x14ac:dyDescent="0.35">
      <c r="A1402" t="s">
        <v>39</v>
      </c>
      <c r="B1402">
        <v>2013</v>
      </c>
      <c r="C1402">
        <v>9</v>
      </c>
      <c r="D1402">
        <v>17892</v>
      </c>
      <c r="E1402">
        <v>58</v>
      </c>
      <c r="F1402">
        <v>8123.76</v>
      </c>
      <c r="G1402">
        <v>2109.11</v>
      </c>
      <c r="H1402" t="str">
        <f>VLOOKUP(myynnit[[#This Row],[TuoteID]],ohjaus!$A$4:$B$20,2,FALSE)</f>
        <v>Lepotuoli</v>
      </c>
    </row>
    <row r="1403" spans="1:8" x14ac:dyDescent="0.35">
      <c r="A1403" t="s">
        <v>39</v>
      </c>
      <c r="B1403">
        <v>2013</v>
      </c>
      <c r="C1403">
        <v>9</v>
      </c>
      <c r="D1403">
        <v>18342</v>
      </c>
      <c r="E1403">
        <v>145</v>
      </c>
      <c r="F1403">
        <v>116310.65</v>
      </c>
      <c r="G1403">
        <v>32967</v>
      </c>
      <c r="H1403" t="str">
        <f>VLOOKUP(myynnit[[#This Row],[TuoteID]],ohjaus!$A$4:$B$20,2,FALSE)</f>
        <v>Työtuoli</v>
      </c>
    </row>
    <row r="1404" spans="1:8" x14ac:dyDescent="0.35">
      <c r="A1404" t="s">
        <v>39</v>
      </c>
      <c r="B1404">
        <v>2013</v>
      </c>
      <c r="C1404">
        <v>9</v>
      </c>
      <c r="D1404">
        <v>20177</v>
      </c>
      <c r="E1404">
        <v>38</v>
      </c>
      <c r="F1404">
        <v>3485.87</v>
      </c>
      <c r="G1404">
        <v>1552.24</v>
      </c>
      <c r="H1404" t="str">
        <f>VLOOKUP(myynnit[[#This Row],[TuoteID]],ohjaus!$A$4:$B$20,2,FALSE)</f>
        <v>Säkkituoli</v>
      </c>
    </row>
    <row r="1405" spans="1:8" x14ac:dyDescent="0.35">
      <c r="A1405" t="s">
        <v>39</v>
      </c>
      <c r="B1405">
        <v>2013</v>
      </c>
      <c r="C1405">
        <v>9</v>
      </c>
      <c r="D1405">
        <v>21179</v>
      </c>
      <c r="E1405">
        <v>36</v>
      </c>
      <c r="F1405">
        <v>4433.99</v>
      </c>
      <c r="G1405">
        <v>2877.59</v>
      </c>
      <c r="H1405" t="str">
        <f>VLOOKUP(myynnit[[#This Row],[TuoteID]],ohjaus!$A$4:$B$20,2,FALSE)</f>
        <v>Rahi</v>
      </c>
    </row>
    <row r="1406" spans="1:8" x14ac:dyDescent="0.35">
      <c r="A1406" t="s">
        <v>39</v>
      </c>
      <c r="B1406">
        <v>2013</v>
      </c>
      <c r="C1406">
        <v>9</v>
      </c>
      <c r="D1406">
        <v>21260</v>
      </c>
      <c r="E1406">
        <v>69</v>
      </c>
      <c r="F1406">
        <v>12554.6</v>
      </c>
      <c r="G1406">
        <v>4048.23</v>
      </c>
      <c r="H1406" t="str">
        <f>VLOOKUP(myynnit[[#This Row],[TuoteID]],ohjaus!$A$4:$B$20,2,FALSE)</f>
        <v>Lepotuoli</v>
      </c>
    </row>
    <row r="1407" spans="1:8" x14ac:dyDescent="0.35">
      <c r="A1407" t="s">
        <v>39</v>
      </c>
      <c r="B1407">
        <v>2013</v>
      </c>
      <c r="C1407">
        <v>9</v>
      </c>
      <c r="D1407">
        <v>22317</v>
      </c>
      <c r="E1407">
        <v>54</v>
      </c>
      <c r="F1407">
        <v>4729.1000000000004</v>
      </c>
      <c r="G1407">
        <v>2179.7800000000002</v>
      </c>
      <c r="H1407" t="str">
        <f>VLOOKUP(myynnit[[#This Row],[TuoteID]],ohjaus!$A$4:$B$20,2,FALSE)</f>
        <v>Säkkituoli</v>
      </c>
    </row>
    <row r="1408" spans="1:8" x14ac:dyDescent="0.35">
      <c r="A1408" t="s">
        <v>39</v>
      </c>
      <c r="B1408">
        <v>2013</v>
      </c>
      <c r="C1408">
        <v>9</v>
      </c>
      <c r="D1408">
        <v>22940</v>
      </c>
      <c r="E1408">
        <v>370</v>
      </c>
      <c r="F1408">
        <v>52543.26</v>
      </c>
      <c r="G1408">
        <v>12028.95</v>
      </c>
      <c r="H1408" t="str">
        <f>VLOOKUP(myynnit[[#This Row],[TuoteID]],ohjaus!$A$4:$B$20,2,FALSE)</f>
        <v>Pinnatuoli</v>
      </c>
    </row>
    <row r="1409" spans="1:8" x14ac:dyDescent="0.35">
      <c r="A1409" t="s">
        <v>39</v>
      </c>
      <c r="B1409">
        <v>2013</v>
      </c>
      <c r="C1409">
        <v>9</v>
      </c>
      <c r="D1409">
        <v>23178</v>
      </c>
      <c r="E1409">
        <v>201</v>
      </c>
      <c r="F1409">
        <v>35678.800000000003</v>
      </c>
      <c r="G1409">
        <v>7686.4</v>
      </c>
      <c r="H1409" t="str">
        <f>VLOOKUP(myynnit[[#This Row],[TuoteID]],ohjaus!$A$4:$B$20,2,FALSE)</f>
        <v>Pinnatuoli</v>
      </c>
    </row>
    <row r="1410" spans="1:8" x14ac:dyDescent="0.35">
      <c r="A1410" t="s">
        <v>39</v>
      </c>
      <c r="B1410">
        <v>2013</v>
      </c>
      <c r="C1410">
        <v>9</v>
      </c>
      <c r="D1410">
        <v>23600</v>
      </c>
      <c r="E1410">
        <v>1157</v>
      </c>
      <c r="F1410">
        <v>124012.73</v>
      </c>
      <c r="G1410">
        <v>33327.75</v>
      </c>
      <c r="H1410" t="str">
        <f>VLOOKUP(myynnit[[#This Row],[TuoteID]],ohjaus!$A$4:$B$20,2,FALSE)</f>
        <v>Pinnatuoli</v>
      </c>
    </row>
    <row r="1411" spans="1:8" x14ac:dyDescent="0.35">
      <c r="A1411" t="s">
        <v>39</v>
      </c>
      <c r="B1411">
        <v>2013</v>
      </c>
      <c r="C1411">
        <v>9</v>
      </c>
      <c r="D1411">
        <v>23756</v>
      </c>
      <c r="E1411">
        <v>85</v>
      </c>
      <c r="F1411">
        <v>14030.97</v>
      </c>
      <c r="G1411">
        <v>6795.99</v>
      </c>
      <c r="H1411" t="str">
        <f>VLOOKUP(myynnit[[#This Row],[TuoteID]],ohjaus!$A$4:$B$20,2,FALSE)</f>
        <v>Pianotuoli</v>
      </c>
    </row>
    <row r="1412" spans="1:8" x14ac:dyDescent="0.35">
      <c r="A1412" t="s">
        <v>39</v>
      </c>
      <c r="B1412">
        <v>2013</v>
      </c>
      <c r="C1412">
        <v>9</v>
      </c>
      <c r="D1412">
        <v>24326</v>
      </c>
      <c r="E1412">
        <v>125</v>
      </c>
      <c r="F1412">
        <v>17594.57</v>
      </c>
      <c r="G1412">
        <v>5818.2</v>
      </c>
      <c r="H1412" t="str">
        <f>VLOOKUP(myynnit[[#This Row],[TuoteID]],ohjaus!$A$4:$B$20,2,FALSE)</f>
        <v>Lepotuoli</v>
      </c>
    </row>
    <row r="1413" spans="1:8" x14ac:dyDescent="0.35">
      <c r="A1413" t="s">
        <v>38</v>
      </c>
      <c r="B1413">
        <v>2013</v>
      </c>
      <c r="C1413">
        <v>9</v>
      </c>
      <c r="D1413">
        <v>12184</v>
      </c>
      <c r="E1413">
        <v>86</v>
      </c>
      <c r="F1413">
        <v>10984.08</v>
      </c>
      <c r="G1413">
        <v>6736.48</v>
      </c>
      <c r="H1413" t="str">
        <f>VLOOKUP(myynnit[[#This Row],[TuoteID]],ohjaus!$A$4:$B$20,2,FALSE)</f>
        <v>Rahi</v>
      </c>
    </row>
    <row r="1414" spans="1:8" x14ac:dyDescent="0.35">
      <c r="A1414" t="s">
        <v>38</v>
      </c>
      <c r="B1414">
        <v>2013</v>
      </c>
      <c r="C1414">
        <v>9</v>
      </c>
      <c r="D1414">
        <v>12622</v>
      </c>
      <c r="E1414">
        <v>66</v>
      </c>
      <c r="F1414">
        <v>14947.83</v>
      </c>
      <c r="G1414">
        <v>6273.28</v>
      </c>
      <c r="H1414" t="str">
        <f>VLOOKUP(myynnit[[#This Row],[TuoteID]],ohjaus!$A$4:$B$20,2,FALSE)</f>
        <v>Pianotuoli</v>
      </c>
    </row>
    <row r="1415" spans="1:8" x14ac:dyDescent="0.35">
      <c r="A1415" t="s">
        <v>38</v>
      </c>
      <c r="B1415">
        <v>2013</v>
      </c>
      <c r="C1415">
        <v>9</v>
      </c>
      <c r="D1415">
        <v>13527</v>
      </c>
      <c r="E1415">
        <v>627</v>
      </c>
      <c r="F1415">
        <v>99591.52</v>
      </c>
      <c r="G1415">
        <v>22645.45</v>
      </c>
      <c r="H1415" t="str">
        <f>VLOOKUP(myynnit[[#This Row],[TuoteID]],ohjaus!$A$4:$B$20,2,FALSE)</f>
        <v>Pinnatuoli</v>
      </c>
    </row>
    <row r="1416" spans="1:8" x14ac:dyDescent="0.35">
      <c r="A1416" t="s">
        <v>38</v>
      </c>
      <c r="B1416">
        <v>2013</v>
      </c>
      <c r="C1416">
        <v>9</v>
      </c>
      <c r="D1416">
        <v>13618</v>
      </c>
      <c r="E1416">
        <v>17</v>
      </c>
      <c r="F1416">
        <v>5627.86</v>
      </c>
      <c r="G1416">
        <v>2494.1799999999998</v>
      </c>
      <c r="H1416" t="str">
        <f>VLOOKUP(myynnit[[#This Row],[TuoteID]],ohjaus!$A$4:$B$20,2,FALSE)</f>
        <v>Pianotuoli</v>
      </c>
    </row>
    <row r="1417" spans="1:8" x14ac:dyDescent="0.35">
      <c r="A1417" t="s">
        <v>38</v>
      </c>
      <c r="B1417">
        <v>2013</v>
      </c>
      <c r="C1417">
        <v>9</v>
      </c>
      <c r="D1417">
        <v>16024</v>
      </c>
      <c r="E1417">
        <v>210</v>
      </c>
      <c r="F1417">
        <v>82933.62</v>
      </c>
      <c r="G1417">
        <v>17705.060000000001</v>
      </c>
      <c r="H1417" t="str">
        <f>VLOOKUP(myynnit[[#This Row],[TuoteID]],ohjaus!$A$4:$B$20,2,FALSE)</f>
        <v>Työtuoli</v>
      </c>
    </row>
    <row r="1418" spans="1:8" x14ac:dyDescent="0.35">
      <c r="A1418" t="s">
        <v>38</v>
      </c>
      <c r="B1418">
        <v>2013</v>
      </c>
      <c r="C1418">
        <v>9</v>
      </c>
      <c r="D1418">
        <v>16650</v>
      </c>
      <c r="E1418">
        <v>50</v>
      </c>
      <c r="F1418">
        <v>8534.89</v>
      </c>
      <c r="G1418">
        <v>4377.62</v>
      </c>
      <c r="H1418" t="str">
        <f>VLOOKUP(myynnit[[#This Row],[TuoteID]],ohjaus!$A$4:$B$20,2,FALSE)</f>
        <v>Rahi</v>
      </c>
    </row>
    <row r="1419" spans="1:8" x14ac:dyDescent="0.35">
      <c r="A1419" t="s">
        <v>38</v>
      </c>
      <c r="B1419">
        <v>2013</v>
      </c>
      <c r="C1419">
        <v>9</v>
      </c>
      <c r="D1419">
        <v>17892</v>
      </c>
      <c r="E1419">
        <v>73</v>
      </c>
      <c r="F1419">
        <v>10727.45</v>
      </c>
      <c r="G1419">
        <v>3024.38</v>
      </c>
      <c r="H1419" t="str">
        <f>VLOOKUP(myynnit[[#This Row],[TuoteID]],ohjaus!$A$4:$B$20,2,FALSE)</f>
        <v>Lepotuoli</v>
      </c>
    </row>
    <row r="1420" spans="1:8" x14ac:dyDescent="0.35">
      <c r="A1420" t="s">
        <v>38</v>
      </c>
      <c r="B1420">
        <v>2013</v>
      </c>
      <c r="C1420">
        <v>9</v>
      </c>
      <c r="D1420">
        <v>18342</v>
      </c>
      <c r="E1420">
        <v>215</v>
      </c>
      <c r="F1420">
        <v>165911.98000000001</v>
      </c>
      <c r="G1420">
        <v>46163.17</v>
      </c>
      <c r="H1420" t="str">
        <f>VLOOKUP(myynnit[[#This Row],[TuoteID]],ohjaus!$A$4:$B$20,2,FALSE)</f>
        <v>Työtuoli</v>
      </c>
    </row>
    <row r="1421" spans="1:8" x14ac:dyDescent="0.35">
      <c r="A1421" t="s">
        <v>38</v>
      </c>
      <c r="B1421">
        <v>2013</v>
      </c>
      <c r="C1421">
        <v>9</v>
      </c>
      <c r="D1421">
        <v>20177</v>
      </c>
      <c r="E1421">
        <v>76</v>
      </c>
      <c r="F1421">
        <v>6861.08</v>
      </c>
      <c r="G1421">
        <v>2544.52</v>
      </c>
      <c r="H1421" t="str">
        <f>VLOOKUP(myynnit[[#This Row],[TuoteID]],ohjaus!$A$4:$B$20,2,FALSE)</f>
        <v>Säkkituoli</v>
      </c>
    </row>
    <row r="1422" spans="1:8" x14ac:dyDescent="0.35">
      <c r="A1422" t="s">
        <v>38</v>
      </c>
      <c r="B1422">
        <v>2013</v>
      </c>
      <c r="C1422">
        <v>9</v>
      </c>
      <c r="D1422">
        <v>21179</v>
      </c>
      <c r="E1422">
        <v>26</v>
      </c>
      <c r="F1422">
        <v>2963.85</v>
      </c>
      <c r="G1422">
        <v>1743.12</v>
      </c>
      <c r="H1422" t="str">
        <f>VLOOKUP(myynnit[[#This Row],[TuoteID]],ohjaus!$A$4:$B$20,2,FALSE)</f>
        <v>Rahi</v>
      </c>
    </row>
    <row r="1423" spans="1:8" x14ac:dyDescent="0.35">
      <c r="A1423" t="s">
        <v>38</v>
      </c>
      <c r="B1423">
        <v>2013</v>
      </c>
      <c r="C1423">
        <v>9</v>
      </c>
      <c r="D1423">
        <v>21260</v>
      </c>
      <c r="E1423">
        <v>79</v>
      </c>
      <c r="F1423">
        <v>16489.82</v>
      </c>
      <c r="G1423">
        <v>4225.79</v>
      </c>
      <c r="H1423" t="str">
        <f>VLOOKUP(myynnit[[#This Row],[TuoteID]],ohjaus!$A$4:$B$20,2,FALSE)</f>
        <v>Lepotuoli</v>
      </c>
    </row>
    <row r="1424" spans="1:8" x14ac:dyDescent="0.35">
      <c r="A1424" t="s">
        <v>38</v>
      </c>
      <c r="B1424">
        <v>2013</v>
      </c>
      <c r="C1424">
        <v>9</v>
      </c>
      <c r="D1424">
        <v>22317</v>
      </c>
      <c r="E1424">
        <v>33</v>
      </c>
      <c r="F1424">
        <v>3189.24</v>
      </c>
      <c r="G1424">
        <v>1054.24</v>
      </c>
      <c r="H1424" t="str">
        <f>VLOOKUP(myynnit[[#This Row],[TuoteID]],ohjaus!$A$4:$B$20,2,FALSE)</f>
        <v>Säkkituoli</v>
      </c>
    </row>
    <row r="1425" spans="1:8" x14ac:dyDescent="0.35">
      <c r="A1425" t="s">
        <v>38</v>
      </c>
      <c r="B1425">
        <v>2013</v>
      </c>
      <c r="C1425">
        <v>9</v>
      </c>
      <c r="D1425">
        <v>22940</v>
      </c>
      <c r="E1425">
        <v>553</v>
      </c>
      <c r="F1425">
        <v>72814.97</v>
      </c>
      <c r="G1425">
        <v>15819.11</v>
      </c>
      <c r="H1425" t="str">
        <f>VLOOKUP(myynnit[[#This Row],[TuoteID]],ohjaus!$A$4:$B$20,2,FALSE)</f>
        <v>Pinnatuoli</v>
      </c>
    </row>
    <row r="1426" spans="1:8" x14ac:dyDescent="0.35">
      <c r="A1426" t="s">
        <v>38</v>
      </c>
      <c r="B1426">
        <v>2013</v>
      </c>
      <c r="C1426">
        <v>9</v>
      </c>
      <c r="D1426">
        <v>23178</v>
      </c>
      <c r="E1426">
        <v>154</v>
      </c>
      <c r="F1426">
        <v>28559.05</v>
      </c>
      <c r="G1426">
        <v>6202.96</v>
      </c>
      <c r="H1426" t="str">
        <f>VLOOKUP(myynnit[[#This Row],[TuoteID]],ohjaus!$A$4:$B$20,2,FALSE)</f>
        <v>Pinnatuoli</v>
      </c>
    </row>
    <row r="1427" spans="1:8" x14ac:dyDescent="0.35">
      <c r="A1427" t="s">
        <v>38</v>
      </c>
      <c r="B1427">
        <v>2013</v>
      </c>
      <c r="C1427">
        <v>9</v>
      </c>
      <c r="D1427">
        <v>23600</v>
      </c>
      <c r="E1427">
        <v>885</v>
      </c>
      <c r="F1427">
        <v>90686.45</v>
      </c>
      <c r="G1427">
        <v>21876.85</v>
      </c>
      <c r="H1427" t="str">
        <f>VLOOKUP(myynnit[[#This Row],[TuoteID]],ohjaus!$A$4:$B$20,2,FALSE)</f>
        <v>Pinnatuoli</v>
      </c>
    </row>
    <row r="1428" spans="1:8" x14ac:dyDescent="0.35">
      <c r="A1428" t="s">
        <v>38</v>
      </c>
      <c r="B1428">
        <v>2013</v>
      </c>
      <c r="C1428">
        <v>9</v>
      </c>
      <c r="D1428">
        <v>23756</v>
      </c>
      <c r="E1428">
        <v>97</v>
      </c>
      <c r="F1428">
        <v>17050.29</v>
      </c>
      <c r="G1428">
        <v>8217.1299999999992</v>
      </c>
      <c r="H1428" t="str">
        <f>VLOOKUP(myynnit[[#This Row],[TuoteID]],ohjaus!$A$4:$B$20,2,FALSE)</f>
        <v>Pianotuoli</v>
      </c>
    </row>
    <row r="1429" spans="1:8" x14ac:dyDescent="0.35">
      <c r="A1429" t="s">
        <v>38</v>
      </c>
      <c r="B1429">
        <v>2013</v>
      </c>
      <c r="C1429">
        <v>9</v>
      </c>
      <c r="D1429">
        <v>24326</v>
      </c>
      <c r="E1429">
        <v>102</v>
      </c>
      <c r="F1429">
        <v>14043.86</v>
      </c>
      <c r="G1429">
        <v>3911.31</v>
      </c>
      <c r="H1429" t="str">
        <f>VLOOKUP(myynnit[[#This Row],[TuoteID]],ohjaus!$A$4:$B$20,2,FALSE)</f>
        <v>Lepotuoli</v>
      </c>
    </row>
    <row r="1430" spans="1:8" x14ac:dyDescent="0.35">
      <c r="A1430" t="s">
        <v>37</v>
      </c>
      <c r="B1430">
        <v>2013</v>
      </c>
      <c r="C1430">
        <v>10</v>
      </c>
      <c r="D1430">
        <v>12184</v>
      </c>
      <c r="E1430">
        <v>50</v>
      </c>
      <c r="F1430">
        <v>5839.68</v>
      </c>
      <c r="G1430">
        <v>2423.9499999999998</v>
      </c>
      <c r="H1430" t="str">
        <f>VLOOKUP(myynnit[[#This Row],[TuoteID]],ohjaus!$A$4:$B$20,2,FALSE)</f>
        <v>Rahi</v>
      </c>
    </row>
    <row r="1431" spans="1:8" x14ac:dyDescent="0.35">
      <c r="A1431" t="s">
        <v>37</v>
      </c>
      <c r="B1431">
        <v>2013</v>
      </c>
      <c r="C1431">
        <v>10</v>
      </c>
      <c r="D1431">
        <v>12622</v>
      </c>
      <c r="E1431">
        <v>64</v>
      </c>
      <c r="F1431">
        <v>19569.310000000001</v>
      </c>
      <c r="G1431">
        <v>9924.8799999999992</v>
      </c>
      <c r="H1431" t="str">
        <f>VLOOKUP(myynnit[[#This Row],[TuoteID]],ohjaus!$A$4:$B$20,2,FALSE)</f>
        <v>Pianotuoli</v>
      </c>
    </row>
    <row r="1432" spans="1:8" x14ac:dyDescent="0.35">
      <c r="A1432" t="s">
        <v>37</v>
      </c>
      <c r="B1432">
        <v>2013</v>
      </c>
      <c r="C1432">
        <v>10</v>
      </c>
      <c r="D1432">
        <v>13527</v>
      </c>
      <c r="E1432">
        <v>486</v>
      </c>
      <c r="F1432">
        <v>78977.73</v>
      </c>
      <c r="G1432">
        <v>13365.3</v>
      </c>
      <c r="H1432" t="str">
        <f>VLOOKUP(myynnit[[#This Row],[TuoteID]],ohjaus!$A$4:$B$20,2,FALSE)</f>
        <v>Pinnatuoli</v>
      </c>
    </row>
    <row r="1433" spans="1:8" x14ac:dyDescent="0.35">
      <c r="A1433" t="s">
        <v>37</v>
      </c>
      <c r="B1433">
        <v>2013</v>
      </c>
      <c r="C1433">
        <v>10</v>
      </c>
      <c r="D1433">
        <v>13618</v>
      </c>
      <c r="E1433">
        <v>11</v>
      </c>
      <c r="F1433">
        <v>4431.58</v>
      </c>
      <c r="G1433">
        <v>2008.76</v>
      </c>
      <c r="H1433" t="str">
        <f>VLOOKUP(myynnit[[#This Row],[TuoteID]],ohjaus!$A$4:$B$20,2,FALSE)</f>
        <v>Pianotuoli</v>
      </c>
    </row>
    <row r="1434" spans="1:8" x14ac:dyDescent="0.35">
      <c r="A1434" t="s">
        <v>37</v>
      </c>
      <c r="B1434">
        <v>2013</v>
      </c>
      <c r="C1434">
        <v>10</v>
      </c>
      <c r="D1434">
        <v>16024</v>
      </c>
      <c r="E1434">
        <v>152</v>
      </c>
      <c r="F1434">
        <v>70928.95</v>
      </c>
      <c r="G1434">
        <v>20529.830000000002</v>
      </c>
      <c r="H1434" t="str">
        <f>VLOOKUP(myynnit[[#This Row],[TuoteID]],ohjaus!$A$4:$B$20,2,FALSE)</f>
        <v>Työtuoli</v>
      </c>
    </row>
    <row r="1435" spans="1:8" x14ac:dyDescent="0.35">
      <c r="A1435" t="s">
        <v>37</v>
      </c>
      <c r="B1435">
        <v>2013</v>
      </c>
      <c r="C1435">
        <v>10</v>
      </c>
      <c r="D1435">
        <v>16650</v>
      </c>
      <c r="E1435">
        <v>75</v>
      </c>
      <c r="F1435">
        <v>10433.49</v>
      </c>
      <c r="G1435">
        <v>5480.85</v>
      </c>
      <c r="H1435" t="str">
        <f>VLOOKUP(myynnit[[#This Row],[TuoteID]],ohjaus!$A$4:$B$20,2,FALSE)</f>
        <v>Rahi</v>
      </c>
    </row>
    <row r="1436" spans="1:8" x14ac:dyDescent="0.35">
      <c r="A1436" t="s">
        <v>37</v>
      </c>
      <c r="B1436">
        <v>2013</v>
      </c>
      <c r="C1436">
        <v>10</v>
      </c>
      <c r="D1436">
        <v>17892</v>
      </c>
      <c r="E1436">
        <v>87</v>
      </c>
      <c r="F1436">
        <v>11732.37</v>
      </c>
      <c r="G1436">
        <v>3654.05</v>
      </c>
      <c r="H1436" t="str">
        <f>VLOOKUP(myynnit[[#This Row],[TuoteID]],ohjaus!$A$4:$B$20,2,FALSE)</f>
        <v>Lepotuoli</v>
      </c>
    </row>
    <row r="1437" spans="1:8" x14ac:dyDescent="0.35">
      <c r="A1437" t="s">
        <v>37</v>
      </c>
      <c r="B1437">
        <v>2013</v>
      </c>
      <c r="C1437">
        <v>10</v>
      </c>
      <c r="D1437">
        <v>18342</v>
      </c>
      <c r="E1437">
        <v>206</v>
      </c>
      <c r="F1437">
        <v>161463.35999999999</v>
      </c>
      <c r="G1437">
        <v>48352.3</v>
      </c>
      <c r="H1437" t="str">
        <f>VLOOKUP(myynnit[[#This Row],[TuoteID]],ohjaus!$A$4:$B$20,2,FALSE)</f>
        <v>Työtuoli</v>
      </c>
    </row>
    <row r="1438" spans="1:8" x14ac:dyDescent="0.35">
      <c r="A1438" t="s">
        <v>37</v>
      </c>
      <c r="B1438">
        <v>2013</v>
      </c>
      <c r="C1438">
        <v>10</v>
      </c>
      <c r="D1438">
        <v>20177</v>
      </c>
      <c r="E1438">
        <v>162</v>
      </c>
      <c r="F1438">
        <v>18803.41</v>
      </c>
      <c r="G1438">
        <v>6043.16</v>
      </c>
      <c r="H1438" t="str">
        <f>VLOOKUP(myynnit[[#This Row],[TuoteID]],ohjaus!$A$4:$B$20,2,FALSE)</f>
        <v>Säkkituoli</v>
      </c>
    </row>
    <row r="1439" spans="1:8" x14ac:dyDescent="0.35">
      <c r="A1439" t="s">
        <v>37</v>
      </c>
      <c r="B1439">
        <v>2013</v>
      </c>
      <c r="C1439">
        <v>10</v>
      </c>
      <c r="D1439">
        <v>21179</v>
      </c>
      <c r="E1439">
        <v>68</v>
      </c>
      <c r="F1439">
        <v>7074.21</v>
      </c>
      <c r="G1439">
        <v>3298.96</v>
      </c>
      <c r="H1439" t="str">
        <f>VLOOKUP(myynnit[[#This Row],[TuoteID]],ohjaus!$A$4:$B$20,2,FALSE)</f>
        <v>Rahi</v>
      </c>
    </row>
    <row r="1440" spans="1:8" x14ac:dyDescent="0.35">
      <c r="A1440" t="s">
        <v>37</v>
      </c>
      <c r="B1440">
        <v>2013</v>
      </c>
      <c r="C1440">
        <v>10</v>
      </c>
      <c r="D1440">
        <v>21260</v>
      </c>
      <c r="E1440">
        <v>84</v>
      </c>
      <c r="F1440">
        <v>17673.2</v>
      </c>
      <c r="G1440">
        <v>4847.95</v>
      </c>
      <c r="H1440" t="str">
        <f>VLOOKUP(myynnit[[#This Row],[TuoteID]],ohjaus!$A$4:$B$20,2,FALSE)</f>
        <v>Lepotuoli</v>
      </c>
    </row>
    <row r="1441" spans="1:8" x14ac:dyDescent="0.35">
      <c r="A1441" t="s">
        <v>37</v>
      </c>
      <c r="B1441">
        <v>2013</v>
      </c>
      <c r="C1441">
        <v>10</v>
      </c>
      <c r="D1441">
        <v>22317</v>
      </c>
      <c r="E1441">
        <v>129</v>
      </c>
      <c r="F1441">
        <v>11080.08</v>
      </c>
      <c r="G1441">
        <v>4444.3500000000004</v>
      </c>
      <c r="H1441" t="str">
        <f>VLOOKUP(myynnit[[#This Row],[TuoteID]],ohjaus!$A$4:$B$20,2,FALSE)</f>
        <v>Säkkituoli</v>
      </c>
    </row>
    <row r="1442" spans="1:8" x14ac:dyDescent="0.35">
      <c r="A1442" t="s">
        <v>37</v>
      </c>
      <c r="B1442">
        <v>2013</v>
      </c>
      <c r="C1442">
        <v>10</v>
      </c>
      <c r="D1442">
        <v>22940</v>
      </c>
      <c r="E1442">
        <v>799</v>
      </c>
      <c r="F1442">
        <v>94508.35</v>
      </c>
      <c r="G1442">
        <v>16707.79</v>
      </c>
      <c r="H1442" t="str">
        <f>VLOOKUP(myynnit[[#This Row],[TuoteID]],ohjaus!$A$4:$B$20,2,FALSE)</f>
        <v>Pinnatuoli</v>
      </c>
    </row>
    <row r="1443" spans="1:8" x14ac:dyDescent="0.35">
      <c r="A1443" t="s">
        <v>37</v>
      </c>
      <c r="B1443">
        <v>2013</v>
      </c>
      <c r="C1443">
        <v>10</v>
      </c>
      <c r="D1443">
        <v>23178</v>
      </c>
      <c r="E1443">
        <v>231</v>
      </c>
      <c r="F1443">
        <v>37901.31</v>
      </c>
      <c r="G1443">
        <v>8047.41</v>
      </c>
      <c r="H1443" t="str">
        <f>VLOOKUP(myynnit[[#This Row],[TuoteID]],ohjaus!$A$4:$B$20,2,FALSE)</f>
        <v>Pinnatuoli</v>
      </c>
    </row>
    <row r="1444" spans="1:8" x14ac:dyDescent="0.35">
      <c r="A1444" t="s">
        <v>37</v>
      </c>
      <c r="B1444">
        <v>2013</v>
      </c>
      <c r="C1444">
        <v>10</v>
      </c>
      <c r="D1444">
        <v>23600</v>
      </c>
      <c r="E1444">
        <v>900</v>
      </c>
      <c r="F1444">
        <v>109089.98</v>
      </c>
      <c r="G1444">
        <v>22210.38</v>
      </c>
      <c r="H1444" t="str">
        <f>VLOOKUP(myynnit[[#This Row],[TuoteID]],ohjaus!$A$4:$B$20,2,FALSE)</f>
        <v>Pinnatuoli</v>
      </c>
    </row>
    <row r="1445" spans="1:8" x14ac:dyDescent="0.35">
      <c r="A1445" t="s">
        <v>37</v>
      </c>
      <c r="B1445">
        <v>2013</v>
      </c>
      <c r="C1445">
        <v>10</v>
      </c>
      <c r="D1445">
        <v>23756</v>
      </c>
      <c r="E1445">
        <v>106</v>
      </c>
      <c r="F1445">
        <v>22690.99</v>
      </c>
      <c r="G1445">
        <v>10613</v>
      </c>
      <c r="H1445" t="str">
        <f>VLOOKUP(myynnit[[#This Row],[TuoteID]],ohjaus!$A$4:$B$20,2,FALSE)</f>
        <v>Pianotuoli</v>
      </c>
    </row>
    <row r="1446" spans="1:8" x14ac:dyDescent="0.35">
      <c r="A1446" t="s">
        <v>37</v>
      </c>
      <c r="B1446">
        <v>2013</v>
      </c>
      <c r="C1446">
        <v>10</v>
      </c>
      <c r="D1446">
        <v>24326</v>
      </c>
      <c r="E1446">
        <v>208</v>
      </c>
      <c r="F1446">
        <v>28770.11</v>
      </c>
      <c r="G1446">
        <v>7184.75</v>
      </c>
      <c r="H1446" t="str">
        <f>VLOOKUP(myynnit[[#This Row],[TuoteID]],ohjaus!$A$4:$B$20,2,FALSE)</f>
        <v>Lepotuoli</v>
      </c>
    </row>
    <row r="1447" spans="1:8" x14ac:dyDescent="0.35">
      <c r="A1447" t="s">
        <v>40</v>
      </c>
      <c r="B1447">
        <v>2013</v>
      </c>
      <c r="C1447">
        <v>10</v>
      </c>
      <c r="D1447">
        <v>12184</v>
      </c>
      <c r="E1447">
        <v>38</v>
      </c>
      <c r="F1447">
        <v>4423.95</v>
      </c>
      <c r="G1447">
        <v>2444.7800000000002</v>
      </c>
      <c r="H1447" t="str">
        <f>VLOOKUP(myynnit[[#This Row],[TuoteID]],ohjaus!$A$4:$B$20,2,FALSE)</f>
        <v>Rahi</v>
      </c>
    </row>
    <row r="1448" spans="1:8" x14ac:dyDescent="0.35">
      <c r="A1448" t="s">
        <v>40</v>
      </c>
      <c r="B1448">
        <v>2013</v>
      </c>
      <c r="C1448">
        <v>10</v>
      </c>
      <c r="D1448">
        <v>12622</v>
      </c>
      <c r="E1448">
        <v>17</v>
      </c>
      <c r="F1448">
        <v>3992.49</v>
      </c>
      <c r="G1448">
        <v>1795.26</v>
      </c>
      <c r="H1448" t="str">
        <f>VLOOKUP(myynnit[[#This Row],[TuoteID]],ohjaus!$A$4:$B$20,2,FALSE)</f>
        <v>Pianotuoli</v>
      </c>
    </row>
    <row r="1449" spans="1:8" x14ac:dyDescent="0.35">
      <c r="A1449" t="s">
        <v>40</v>
      </c>
      <c r="B1449">
        <v>2013</v>
      </c>
      <c r="C1449">
        <v>10</v>
      </c>
      <c r="D1449">
        <v>13527</v>
      </c>
      <c r="E1449">
        <v>219</v>
      </c>
      <c r="F1449">
        <v>37328.5</v>
      </c>
      <c r="G1449">
        <v>6845.88</v>
      </c>
      <c r="H1449" t="str">
        <f>VLOOKUP(myynnit[[#This Row],[TuoteID]],ohjaus!$A$4:$B$20,2,FALSE)</f>
        <v>Pinnatuoli</v>
      </c>
    </row>
    <row r="1450" spans="1:8" x14ac:dyDescent="0.35">
      <c r="A1450" t="s">
        <v>40</v>
      </c>
      <c r="B1450">
        <v>2013</v>
      </c>
      <c r="C1450">
        <v>10</v>
      </c>
      <c r="D1450">
        <v>13618</v>
      </c>
      <c r="E1450">
        <v>5</v>
      </c>
      <c r="F1450">
        <v>1791.6</v>
      </c>
      <c r="G1450">
        <v>779.87</v>
      </c>
      <c r="H1450" t="str">
        <f>VLOOKUP(myynnit[[#This Row],[TuoteID]],ohjaus!$A$4:$B$20,2,FALSE)</f>
        <v>Pianotuoli</v>
      </c>
    </row>
    <row r="1451" spans="1:8" x14ac:dyDescent="0.35">
      <c r="A1451" t="s">
        <v>40</v>
      </c>
      <c r="B1451">
        <v>2013</v>
      </c>
      <c r="C1451">
        <v>10</v>
      </c>
      <c r="D1451">
        <v>16024</v>
      </c>
      <c r="E1451">
        <v>146</v>
      </c>
      <c r="F1451">
        <v>63567.87</v>
      </c>
      <c r="G1451">
        <v>20751.97</v>
      </c>
      <c r="H1451" t="str">
        <f>VLOOKUP(myynnit[[#This Row],[TuoteID]],ohjaus!$A$4:$B$20,2,FALSE)</f>
        <v>Työtuoli</v>
      </c>
    </row>
    <row r="1452" spans="1:8" x14ac:dyDescent="0.35">
      <c r="A1452" t="s">
        <v>40</v>
      </c>
      <c r="B1452">
        <v>2013</v>
      </c>
      <c r="C1452">
        <v>10</v>
      </c>
      <c r="D1452">
        <v>16650</v>
      </c>
      <c r="E1452">
        <v>34</v>
      </c>
      <c r="F1452">
        <v>4558.9399999999996</v>
      </c>
      <c r="G1452">
        <v>2638.23</v>
      </c>
      <c r="H1452" t="str">
        <f>VLOOKUP(myynnit[[#This Row],[TuoteID]],ohjaus!$A$4:$B$20,2,FALSE)</f>
        <v>Rahi</v>
      </c>
    </row>
    <row r="1453" spans="1:8" x14ac:dyDescent="0.35">
      <c r="A1453" t="s">
        <v>40</v>
      </c>
      <c r="B1453">
        <v>2013</v>
      </c>
      <c r="C1453">
        <v>10</v>
      </c>
      <c r="D1453">
        <v>17892</v>
      </c>
      <c r="E1453">
        <v>81</v>
      </c>
      <c r="F1453">
        <v>10860.06</v>
      </c>
      <c r="G1453">
        <v>2849.9</v>
      </c>
      <c r="H1453" t="str">
        <f>VLOOKUP(myynnit[[#This Row],[TuoteID]],ohjaus!$A$4:$B$20,2,FALSE)</f>
        <v>Lepotuoli</v>
      </c>
    </row>
    <row r="1454" spans="1:8" x14ac:dyDescent="0.35">
      <c r="A1454" t="s">
        <v>40</v>
      </c>
      <c r="B1454">
        <v>2013</v>
      </c>
      <c r="C1454">
        <v>10</v>
      </c>
      <c r="D1454">
        <v>18342</v>
      </c>
      <c r="E1454">
        <v>24</v>
      </c>
      <c r="F1454">
        <v>21900.45</v>
      </c>
      <c r="G1454">
        <v>6494.13</v>
      </c>
      <c r="H1454" t="str">
        <f>VLOOKUP(myynnit[[#This Row],[TuoteID]],ohjaus!$A$4:$B$20,2,FALSE)</f>
        <v>Työtuoli</v>
      </c>
    </row>
    <row r="1455" spans="1:8" x14ac:dyDescent="0.35">
      <c r="A1455" t="s">
        <v>40</v>
      </c>
      <c r="B1455">
        <v>2013</v>
      </c>
      <c r="C1455">
        <v>10</v>
      </c>
      <c r="D1455">
        <v>20177</v>
      </c>
      <c r="E1455">
        <v>34</v>
      </c>
      <c r="F1455">
        <v>4006.02</v>
      </c>
      <c r="G1455">
        <v>1804.28</v>
      </c>
      <c r="H1455" t="str">
        <f>VLOOKUP(myynnit[[#This Row],[TuoteID]],ohjaus!$A$4:$B$20,2,FALSE)</f>
        <v>Säkkituoli</v>
      </c>
    </row>
    <row r="1456" spans="1:8" x14ac:dyDescent="0.35">
      <c r="A1456" t="s">
        <v>40</v>
      </c>
      <c r="B1456">
        <v>2013</v>
      </c>
      <c r="C1456">
        <v>10</v>
      </c>
      <c r="D1456">
        <v>21179</v>
      </c>
      <c r="E1456">
        <v>29</v>
      </c>
      <c r="F1456">
        <v>3006.66</v>
      </c>
      <c r="G1456">
        <v>1941.29</v>
      </c>
      <c r="H1456" t="str">
        <f>VLOOKUP(myynnit[[#This Row],[TuoteID]],ohjaus!$A$4:$B$20,2,FALSE)</f>
        <v>Rahi</v>
      </c>
    </row>
    <row r="1457" spans="1:8" x14ac:dyDescent="0.35">
      <c r="A1457" t="s">
        <v>40</v>
      </c>
      <c r="B1457">
        <v>2013</v>
      </c>
      <c r="C1457">
        <v>10</v>
      </c>
      <c r="D1457">
        <v>21260</v>
      </c>
      <c r="E1457">
        <v>31</v>
      </c>
      <c r="F1457">
        <v>5534.58</v>
      </c>
      <c r="G1457">
        <v>1135.68</v>
      </c>
      <c r="H1457" t="str">
        <f>VLOOKUP(myynnit[[#This Row],[TuoteID]],ohjaus!$A$4:$B$20,2,FALSE)</f>
        <v>Lepotuoli</v>
      </c>
    </row>
    <row r="1458" spans="1:8" x14ac:dyDescent="0.35">
      <c r="A1458" t="s">
        <v>40</v>
      </c>
      <c r="B1458">
        <v>2013</v>
      </c>
      <c r="C1458">
        <v>10</v>
      </c>
      <c r="D1458">
        <v>22317</v>
      </c>
      <c r="E1458">
        <v>13</v>
      </c>
      <c r="F1458">
        <v>1372.9</v>
      </c>
      <c r="G1458">
        <v>617.01</v>
      </c>
      <c r="H1458" t="str">
        <f>VLOOKUP(myynnit[[#This Row],[TuoteID]],ohjaus!$A$4:$B$20,2,FALSE)</f>
        <v>Säkkituoli</v>
      </c>
    </row>
    <row r="1459" spans="1:8" x14ac:dyDescent="0.35">
      <c r="A1459" t="s">
        <v>40</v>
      </c>
      <c r="B1459">
        <v>2013</v>
      </c>
      <c r="C1459">
        <v>10</v>
      </c>
      <c r="D1459">
        <v>22940</v>
      </c>
      <c r="E1459">
        <v>107</v>
      </c>
      <c r="F1459">
        <v>14252.3</v>
      </c>
      <c r="G1459">
        <v>3331.13</v>
      </c>
      <c r="H1459" t="str">
        <f>VLOOKUP(myynnit[[#This Row],[TuoteID]],ohjaus!$A$4:$B$20,2,FALSE)</f>
        <v>Pinnatuoli</v>
      </c>
    </row>
    <row r="1460" spans="1:8" x14ac:dyDescent="0.35">
      <c r="A1460" t="s">
        <v>40</v>
      </c>
      <c r="B1460">
        <v>2013</v>
      </c>
      <c r="C1460">
        <v>10</v>
      </c>
      <c r="D1460">
        <v>23178</v>
      </c>
      <c r="E1460">
        <v>156</v>
      </c>
      <c r="F1460">
        <v>30281.15</v>
      </c>
      <c r="G1460">
        <v>7521.07</v>
      </c>
      <c r="H1460" t="str">
        <f>VLOOKUP(myynnit[[#This Row],[TuoteID]],ohjaus!$A$4:$B$20,2,FALSE)</f>
        <v>Pinnatuoli</v>
      </c>
    </row>
    <row r="1461" spans="1:8" x14ac:dyDescent="0.35">
      <c r="A1461" t="s">
        <v>40</v>
      </c>
      <c r="B1461">
        <v>2013</v>
      </c>
      <c r="C1461">
        <v>10</v>
      </c>
      <c r="D1461">
        <v>23600</v>
      </c>
      <c r="E1461">
        <v>272</v>
      </c>
      <c r="F1461">
        <v>30119.42</v>
      </c>
      <c r="G1461">
        <v>9220.85</v>
      </c>
      <c r="H1461" t="str">
        <f>VLOOKUP(myynnit[[#This Row],[TuoteID]],ohjaus!$A$4:$B$20,2,FALSE)</f>
        <v>Pinnatuoli</v>
      </c>
    </row>
    <row r="1462" spans="1:8" x14ac:dyDescent="0.35">
      <c r="A1462" t="s">
        <v>40</v>
      </c>
      <c r="B1462">
        <v>2013</v>
      </c>
      <c r="C1462">
        <v>10</v>
      </c>
      <c r="D1462">
        <v>23756</v>
      </c>
      <c r="E1462">
        <v>98</v>
      </c>
      <c r="F1462">
        <v>19672.560000000001</v>
      </c>
      <c r="G1462">
        <v>7648.3</v>
      </c>
      <c r="H1462" t="str">
        <f>VLOOKUP(myynnit[[#This Row],[TuoteID]],ohjaus!$A$4:$B$20,2,FALSE)</f>
        <v>Pianotuoli</v>
      </c>
    </row>
    <row r="1463" spans="1:8" x14ac:dyDescent="0.35">
      <c r="A1463" t="s">
        <v>40</v>
      </c>
      <c r="B1463">
        <v>2013</v>
      </c>
      <c r="C1463">
        <v>10</v>
      </c>
      <c r="D1463">
        <v>24326</v>
      </c>
      <c r="E1463">
        <v>25</v>
      </c>
      <c r="F1463">
        <v>3361.71</v>
      </c>
      <c r="G1463">
        <v>1004.03</v>
      </c>
      <c r="H1463" t="str">
        <f>VLOOKUP(myynnit[[#This Row],[TuoteID]],ohjaus!$A$4:$B$20,2,FALSE)</f>
        <v>Lepotuoli</v>
      </c>
    </row>
    <row r="1464" spans="1:8" x14ac:dyDescent="0.35">
      <c r="A1464" t="s">
        <v>39</v>
      </c>
      <c r="B1464">
        <v>2013</v>
      </c>
      <c r="C1464">
        <v>10</v>
      </c>
      <c r="D1464">
        <v>12184</v>
      </c>
      <c r="E1464">
        <v>91</v>
      </c>
      <c r="F1464">
        <v>9981.3799999999992</v>
      </c>
      <c r="G1464">
        <v>7159.87</v>
      </c>
      <c r="H1464" t="str">
        <f>VLOOKUP(myynnit[[#This Row],[TuoteID]],ohjaus!$A$4:$B$20,2,FALSE)</f>
        <v>Rahi</v>
      </c>
    </row>
    <row r="1465" spans="1:8" x14ac:dyDescent="0.35">
      <c r="A1465" t="s">
        <v>39</v>
      </c>
      <c r="B1465">
        <v>2013</v>
      </c>
      <c r="C1465">
        <v>10</v>
      </c>
      <c r="D1465">
        <v>12622</v>
      </c>
      <c r="E1465">
        <v>39</v>
      </c>
      <c r="F1465">
        <v>12047.17</v>
      </c>
      <c r="G1465">
        <v>7499.75</v>
      </c>
      <c r="H1465" t="str">
        <f>VLOOKUP(myynnit[[#This Row],[TuoteID]],ohjaus!$A$4:$B$20,2,FALSE)</f>
        <v>Pianotuoli</v>
      </c>
    </row>
    <row r="1466" spans="1:8" x14ac:dyDescent="0.35">
      <c r="A1466" t="s">
        <v>39</v>
      </c>
      <c r="B1466">
        <v>2013</v>
      </c>
      <c r="C1466">
        <v>10</v>
      </c>
      <c r="D1466">
        <v>13527</v>
      </c>
      <c r="E1466">
        <v>382</v>
      </c>
      <c r="F1466">
        <v>60561.86</v>
      </c>
      <c r="G1466">
        <v>15629.75</v>
      </c>
      <c r="H1466" t="str">
        <f>VLOOKUP(myynnit[[#This Row],[TuoteID]],ohjaus!$A$4:$B$20,2,FALSE)</f>
        <v>Pinnatuoli</v>
      </c>
    </row>
    <row r="1467" spans="1:8" x14ac:dyDescent="0.35">
      <c r="A1467" t="s">
        <v>39</v>
      </c>
      <c r="B1467">
        <v>2013</v>
      </c>
      <c r="C1467">
        <v>10</v>
      </c>
      <c r="D1467">
        <v>13618</v>
      </c>
      <c r="E1467">
        <v>22</v>
      </c>
      <c r="F1467">
        <v>7303.16</v>
      </c>
      <c r="G1467">
        <v>4468.51</v>
      </c>
      <c r="H1467" t="str">
        <f>VLOOKUP(myynnit[[#This Row],[TuoteID]],ohjaus!$A$4:$B$20,2,FALSE)</f>
        <v>Pianotuoli</v>
      </c>
    </row>
    <row r="1468" spans="1:8" x14ac:dyDescent="0.35">
      <c r="A1468" t="s">
        <v>39</v>
      </c>
      <c r="B1468">
        <v>2013</v>
      </c>
      <c r="C1468">
        <v>10</v>
      </c>
      <c r="D1468">
        <v>16024</v>
      </c>
      <c r="E1468">
        <v>144</v>
      </c>
      <c r="F1468">
        <v>55993.37</v>
      </c>
      <c r="G1468">
        <v>15406.56</v>
      </c>
      <c r="H1468" t="str">
        <f>VLOOKUP(myynnit[[#This Row],[TuoteID]],ohjaus!$A$4:$B$20,2,FALSE)</f>
        <v>Työtuoli</v>
      </c>
    </row>
    <row r="1469" spans="1:8" x14ac:dyDescent="0.35">
      <c r="A1469" t="s">
        <v>39</v>
      </c>
      <c r="B1469">
        <v>2013</v>
      </c>
      <c r="C1469">
        <v>10</v>
      </c>
      <c r="D1469">
        <v>16650</v>
      </c>
      <c r="E1469">
        <v>46</v>
      </c>
      <c r="F1469">
        <v>8427.99</v>
      </c>
      <c r="G1469">
        <v>5576.65</v>
      </c>
      <c r="H1469" t="str">
        <f>VLOOKUP(myynnit[[#This Row],[TuoteID]],ohjaus!$A$4:$B$20,2,FALSE)</f>
        <v>Rahi</v>
      </c>
    </row>
    <row r="1470" spans="1:8" x14ac:dyDescent="0.35">
      <c r="A1470" t="s">
        <v>39</v>
      </c>
      <c r="B1470">
        <v>2013</v>
      </c>
      <c r="C1470">
        <v>10</v>
      </c>
      <c r="D1470">
        <v>17892</v>
      </c>
      <c r="E1470">
        <v>135</v>
      </c>
      <c r="F1470">
        <v>21097.62</v>
      </c>
      <c r="G1470">
        <v>5899.89</v>
      </c>
      <c r="H1470" t="str">
        <f>VLOOKUP(myynnit[[#This Row],[TuoteID]],ohjaus!$A$4:$B$20,2,FALSE)</f>
        <v>Lepotuoli</v>
      </c>
    </row>
    <row r="1471" spans="1:8" x14ac:dyDescent="0.35">
      <c r="A1471" t="s">
        <v>39</v>
      </c>
      <c r="B1471">
        <v>2013</v>
      </c>
      <c r="C1471">
        <v>10</v>
      </c>
      <c r="D1471">
        <v>18342</v>
      </c>
      <c r="E1471">
        <v>93</v>
      </c>
      <c r="F1471">
        <v>86789.440000000002</v>
      </c>
      <c r="G1471">
        <v>29479.13</v>
      </c>
      <c r="H1471" t="str">
        <f>VLOOKUP(myynnit[[#This Row],[TuoteID]],ohjaus!$A$4:$B$20,2,FALSE)</f>
        <v>Työtuoli</v>
      </c>
    </row>
    <row r="1472" spans="1:8" x14ac:dyDescent="0.35">
      <c r="A1472" t="s">
        <v>39</v>
      </c>
      <c r="B1472">
        <v>2013</v>
      </c>
      <c r="C1472">
        <v>10</v>
      </c>
      <c r="D1472">
        <v>20177</v>
      </c>
      <c r="E1472">
        <v>37</v>
      </c>
      <c r="F1472">
        <v>4022.04</v>
      </c>
      <c r="G1472">
        <v>1567.16</v>
      </c>
      <c r="H1472" t="str">
        <f>VLOOKUP(myynnit[[#This Row],[TuoteID]],ohjaus!$A$4:$B$20,2,FALSE)</f>
        <v>Säkkituoli</v>
      </c>
    </row>
    <row r="1473" spans="1:8" x14ac:dyDescent="0.35">
      <c r="A1473" t="s">
        <v>39</v>
      </c>
      <c r="B1473">
        <v>2013</v>
      </c>
      <c r="C1473">
        <v>10</v>
      </c>
      <c r="D1473">
        <v>21179</v>
      </c>
      <c r="E1473">
        <v>60</v>
      </c>
      <c r="F1473">
        <v>7192.64</v>
      </c>
      <c r="G1473">
        <v>5443.15</v>
      </c>
      <c r="H1473" t="str">
        <f>VLOOKUP(myynnit[[#This Row],[TuoteID]],ohjaus!$A$4:$B$20,2,FALSE)</f>
        <v>Rahi</v>
      </c>
    </row>
    <row r="1474" spans="1:8" x14ac:dyDescent="0.35">
      <c r="A1474" t="s">
        <v>39</v>
      </c>
      <c r="B1474">
        <v>2013</v>
      </c>
      <c r="C1474">
        <v>10</v>
      </c>
      <c r="D1474">
        <v>21260</v>
      </c>
      <c r="E1474">
        <v>72</v>
      </c>
      <c r="F1474">
        <v>14104.33</v>
      </c>
      <c r="G1474">
        <v>4780.88</v>
      </c>
      <c r="H1474" t="str">
        <f>VLOOKUP(myynnit[[#This Row],[TuoteID]],ohjaus!$A$4:$B$20,2,FALSE)</f>
        <v>Lepotuoli</v>
      </c>
    </row>
    <row r="1475" spans="1:8" x14ac:dyDescent="0.35">
      <c r="A1475" t="s">
        <v>39</v>
      </c>
      <c r="B1475">
        <v>2013</v>
      </c>
      <c r="C1475">
        <v>10</v>
      </c>
      <c r="D1475">
        <v>22317</v>
      </c>
      <c r="E1475">
        <v>43</v>
      </c>
      <c r="F1475">
        <v>3709.93</v>
      </c>
      <c r="G1475">
        <v>1905.74</v>
      </c>
      <c r="H1475" t="str">
        <f>VLOOKUP(myynnit[[#This Row],[TuoteID]],ohjaus!$A$4:$B$20,2,FALSE)</f>
        <v>Säkkituoli</v>
      </c>
    </row>
    <row r="1476" spans="1:8" x14ac:dyDescent="0.35">
      <c r="A1476" t="s">
        <v>39</v>
      </c>
      <c r="B1476">
        <v>2013</v>
      </c>
      <c r="C1476">
        <v>10</v>
      </c>
      <c r="D1476">
        <v>22940</v>
      </c>
      <c r="E1476">
        <v>603</v>
      </c>
      <c r="F1476">
        <v>86432.69</v>
      </c>
      <c r="G1476">
        <v>23767.64</v>
      </c>
      <c r="H1476" t="str">
        <f>VLOOKUP(myynnit[[#This Row],[TuoteID]],ohjaus!$A$4:$B$20,2,FALSE)</f>
        <v>Pinnatuoli</v>
      </c>
    </row>
    <row r="1477" spans="1:8" x14ac:dyDescent="0.35">
      <c r="A1477" t="s">
        <v>39</v>
      </c>
      <c r="B1477">
        <v>2013</v>
      </c>
      <c r="C1477">
        <v>10</v>
      </c>
      <c r="D1477">
        <v>23178</v>
      </c>
      <c r="E1477">
        <v>266</v>
      </c>
      <c r="F1477">
        <v>48014.13</v>
      </c>
      <c r="G1477">
        <v>10503.13</v>
      </c>
      <c r="H1477" t="str">
        <f>VLOOKUP(myynnit[[#This Row],[TuoteID]],ohjaus!$A$4:$B$20,2,FALSE)</f>
        <v>Pinnatuoli</v>
      </c>
    </row>
    <row r="1478" spans="1:8" x14ac:dyDescent="0.35">
      <c r="A1478" t="s">
        <v>39</v>
      </c>
      <c r="B1478">
        <v>2013</v>
      </c>
      <c r="C1478">
        <v>10</v>
      </c>
      <c r="D1478">
        <v>23600</v>
      </c>
      <c r="E1478">
        <v>1167</v>
      </c>
      <c r="F1478">
        <v>130233.49</v>
      </c>
      <c r="G1478">
        <v>39951.760000000002</v>
      </c>
      <c r="H1478" t="str">
        <f>VLOOKUP(myynnit[[#This Row],[TuoteID]],ohjaus!$A$4:$B$20,2,FALSE)</f>
        <v>Pinnatuoli</v>
      </c>
    </row>
    <row r="1479" spans="1:8" x14ac:dyDescent="0.35">
      <c r="A1479" t="s">
        <v>39</v>
      </c>
      <c r="B1479">
        <v>2013</v>
      </c>
      <c r="C1479">
        <v>10</v>
      </c>
      <c r="D1479">
        <v>23756</v>
      </c>
      <c r="E1479">
        <v>135</v>
      </c>
      <c r="F1479">
        <v>23381.17</v>
      </c>
      <c r="G1479">
        <v>14407.69</v>
      </c>
      <c r="H1479" t="str">
        <f>VLOOKUP(myynnit[[#This Row],[TuoteID]],ohjaus!$A$4:$B$20,2,FALSE)</f>
        <v>Pianotuoli</v>
      </c>
    </row>
    <row r="1480" spans="1:8" x14ac:dyDescent="0.35">
      <c r="A1480" t="s">
        <v>39</v>
      </c>
      <c r="B1480">
        <v>2013</v>
      </c>
      <c r="C1480">
        <v>10</v>
      </c>
      <c r="D1480">
        <v>24326</v>
      </c>
      <c r="E1480">
        <v>69</v>
      </c>
      <c r="F1480">
        <v>10926.09</v>
      </c>
      <c r="G1480">
        <v>3555.38</v>
      </c>
      <c r="H1480" t="str">
        <f>VLOOKUP(myynnit[[#This Row],[TuoteID]],ohjaus!$A$4:$B$20,2,FALSE)</f>
        <v>Lepotuoli</v>
      </c>
    </row>
    <row r="1481" spans="1:8" x14ac:dyDescent="0.35">
      <c r="A1481" t="s">
        <v>38</v>
      </c>
      <c r="B1481">
        <v>2013</v>
      </c>
      <c r="C1481">
        <v>10</v>
      </c>
      <c r="D1481">
        <v>12184</v>
      </c>
      <c r="E1481">
        <v>89</v>
      </c>
      <c r="F1481">
        <v>12268.48</v>
      </c>
      <c r="G1481">
        <v>7573.91</v>
      </c>
      <c r="H1481" t="str">
        <f>VLOOKUP(myynnit[[#This Row],[TuoteID]],ohjaus!$A$4:$B$20,2,FALSE)</f>
        <v>Rahi</v>
      </c>
    </row>
    <row r="1482" spans="1:8" x14ac:dyDescent="0.35">
      <c r="A1482" t="s">
        <v>38</v>
      </c>
      <c r="B1482">
        <v>2013</v>
      </c>
      <c r="C1482">
        <v>10</v>
      </c>
      <c r="D1482">
        <v>12622</v>
      </c>
      <c r="E1482">
        <v>67</v>
      </c>
      <c r="F1482">
        <v>19870.52</v>
      </c>
      <c r="G1482">
        <v>10425.14</v>
      </c>
      <c r="H1482" t="str">
        <f>VLOOKUP(myynnit[[#This Row],[TuoteID]],ohjaus!$A$4:$B$20,2,FALSE)</f>
        <v>Pianotuoli</v>
      </c>
    </row>
    <row r="1483" spans="1:8" x14ac:dyDescent="0.35">
      <c r="A1483" t="s">
        <v>38</v>
      </c>
      <c r="B1483">
        <v>2013</v>
      </c>
      <c r="C1483">
        <v>10</v>
      </c>
      <c r="D1483">
        <v>13527</v>
      </c>
      <c r="E1483">
        <v>536</v>
      </c>
      <c r="F1483">
        <v>90228.06</v>
      </c>
      <c r="G1483">
        <v>18772.04</v>
      </c>
      <c r="H1483" t="str">
        <f>VLOOKUP(myynnit[[#This Row],[TuoteID]],ohjaus!$A$4:$B$20,2,FALSE)</f>
        <v>Pinnatuoli</v>
      </c>
    </row>
    <row r="1484" spans="1:8" x14ac:dyDescent="0.35">
      <c r="A1484" t="s">
        <v>38</v>
      </c>
      <c r="B1484">
        <v>2013</v>
      </c>
      <c r="C1484">
        <v>10</v>
      </c>
      <c r="D1484">
        <v>13618</v>
      </c>
      <c r="E1484">
        <v>7</v>
      </c>
      <c r="F1484">
        <v>2746.17</v>
      </c>
      <c r="G1484">
        <v>1131.23</v>
      </c>
      <c r="H1484" t="str">
        <f>VLOOKUP(myynnit[[#This Row],[TuoteID]],ohjaus!$A$4:$B$20,2,FALSE)</f>
        <v>Pianotuoli</v>
      </c>
    </row>
    <row r="1485" spans="1:8" x14ac:dyDescent="0.35">
      <c r="A1485" t="s">
        <v>38</v>
      </c>
      <c r="B1485">
        <v>2013</v>
      </c>
      <c r="C1485">
        <v>10</v>
      </c>
      <c r="D1485">
        <v>16024</v>
      </c>
      <c r="E1485">
        <v>159</v>
      </c>
      <c r="F1485">
        <v>61686.97</v>
      </c>
      <c r="G1485">
        <v>16229.43</v>
      </c>
      <c r="H1485" t="str">
        <f>VLOOKUP(myynnit[[#This Row],[TuoteID]],ohjaus!$A$4:$B$20,2,FALSE)</f>
        <v>Työtuoli</v>
      </c>
    </row>
    <row r="1486" spans="1:8" x14ac:dyDescent="0.35">
      <c r="A1486" t="s">
        <v>38</v>
      </c>
      <c r="B1486">
        <v>2013</v>
      </c>
      <c r="C1486">
        <v>10</v>
      </c>
      <c r="D1486">
        <v>16650</v>
      </c>
      <c r="E1486">
        <v>33</v>
      </c>
      <c r="F1486">
        <v>4133.04</v>
      </c>
      <c r="G1486">
        <v>2181.35</v>
      </c>
      <c r="H1486" t="str">
        <f>VLOOKUP(myynnit[[#This Row],[TuoteID]],ohjaus!$A$4:$B$20,2,FALSE)</f>
        <v>Rahi</v>
      </c>
    </row>
    <row r="1487" spans="1:8" x14ac:dyDescent="0.35">
      <c r="A1487" t="s">
        <v>38</v>
      </c>
      <c r="B1487">
        <v>2013</v>
      </c>
      <c r="C1487">
        <v>10</v>
      </c>
      <c r="D1487">
        <v>17892</v>
      </c>
      <c r="E1487">
        <v>42</v>
      </c>
      <c r="F1487">
        <v>6086.04</v>
      </c>
      <c r="G1487">
        <v>1356.93</v>
      </c>
      <c r="H1487" t="str">
        <f>VLOOKUP(myynnit[[#This Row],[TuoteID]],ohjaus!$A$4:$B$20,2,FALSE)</f>
        <v>Lepotuoli</v>
      </c>
    </row>
    <row r="1488" spans="1:8" x14ac:dyDescent="0.35">
      <c r="A1488" t="s">
        <v>38</v>
      </c>
      <c r="B1488">
        <v>2013</v>
      </c>
      <c r="C1488">
        <v>10</v>
      </c>
      <c r="D1488">
        <v>18342</v>
      </c>
      <c r="E1488">
        <v>218</v>
      </c>
      <c r="F1488">
        <v>165684.38</v>
      </c>
      <c r="G1488">
        <v>47228.99</v>
      </c>
      <c r="H1488" t="str">
        <f>VLOOKUP(myynnit[[#This Row],[TuoteID]],ohjaus!$A$4:$B$20,2,FALSE)</f>
        <v>Työtuoli</v>
      </c>
    </row>
    <row r="1489" spans="1:8" x14ac:dyDescent="0.35">
      <c r="A1489" t="s">
        <v>38</v>
      </c>
      <c r="B1489">
        <v>2013</v>
      </c>
      <c r="C1489">
        <v>10</v>
      </c>
      <c r="D1489">
        <v>20177</v>
      </c>
      <c r="E1489">
        <v>58</v>
      </c>
      <c r="F1489">
        <v>5635.64</v>
      </c>
      <c r="G1489">
        <v>2046.75</v>
      </c>
      <c r="H1489" t="str">
        <f>VLOOKUP(myynnit[[#This Row],[TuoteID]],ohjaus!$A$4:$B$20,2,FALSE)</f>
        <v>Säkkituoli</v>
      </c>
    </row>
    <row r="1490" spans="1:8" x14ac:dyDescent="0.35">
      <c r="A1490" t="s">
        <v>38</v>
      </c>
      <c r="B1490">
        <v>2013</v>
      </c>
      <c r="C1490">
        <v>10</v>
      </c>
      <c r="D1490">
        <v>21179</v>
      </c>
      <c r="E1490">
        <v>52</v>
      </c>
      <c r="F1490">
        <v>7886.29</v>
      </c>
      <c r="G1490">
        <v>4107.42</v>
      </c>
      <c r="H1490" t="str">
        <f>VLOOKUP(myynnit[[#This Row],[TuoteID]],ohjaus!$A$4:$B$20,2,FALSE)</f>
        <v>Rahi</v>
      </c>
    </row>
    <row r="1491" spans="1:8" x14ac:dyDescent="0.35">
      <c r="A1491" t="s">
        <v>38</v>
      </c>
      <c r="B1491">
        <v>2013</v>
      </c>
      <c r="C1491">
        <v>10</v>
      </c>
      <c r="D1491">
        <v>21260</v>
      </c>
      <c r="E1491">
        <v>63</v>
      </c>
      <c r="F1491">
        <v>12318.07</v>
      </c>
      <c r="G1491">
        <v>3182.21</v>
      </c>
      <c r="H1491" t="str">
        <f>VLOOKUP(myynnit[[#This Row],[TuoteID]],ohjaus!$A$4:$B$20,2,FALSE)</f>
        <v>Lepotuoli</v>
      </c>
    </row>
    <row r="1492" spans="1:8" x14ac:dyDescent="0.35">
      <c r="A1492" t="s">
        <v>38</v>
      </c>
      <c r="B1492">
        <v>2013</v>
      </c>
      <c r="C1492">
        <v>10</v>
      </c>
      <c r="D1492">
        <v>22317</v>
      </c>
      <c r="E1492">
        <v>71</v>
      </c>
      <c r="F1492">
        <v>5509.74</v>
      </c>
      <c r="G1492">
        <v>2357.7800000000002</v>
      </c>
      <c r="H1492" t="str">
        <f>VLOOKUP(myynnit[[#This Row],[TuoteID]],ohjaus!$A$4:$B$20,2,FALSE)</f>
        <v>Säkkituoli</v>
      </c>
    </row>
    <row r="1493" spans="1:8" x14ac:dyDescent="0.35">
      <c r="A1493" t="s">
        <v>38</v>
      </c>
      <c r="B1493">
        <v>2013</v>
      </c>
      <c r="C1493">
        <v>10</v>
      </c>
      <c r="D1493">
        <v>22940</v>
      </c>
      <c r="E1493">
        <v>610</v>
      </c>
      <c r="F1493">
        <v>80660.789999999994</v>
      </c>
      <c r="G1493">
        <v>16907.740000000002</v>
      </c>
      <c r="H1493" t="str">
        <f>VLOOKUP(myynnit[[#This Row],[TuoteID]],ohjaus!$A$4:$B$20,2,FALSE)</f>
        <v>Pinnatuoli</v>
      </c>
    </row>
    <row r="1494" spans="1:8" x14ac:dyDescent="0.35">
      <c r="A1494" t="s">
        <v>38</v>
      </c>
      <c r="B1494">
        <v>2013</v>
      </c>
      <c r="C1494">
        <v>10</v>
      </c>
      <c r="D1494">
        <v>23178</v>
      </c>
      <c r="E1494">
        <v>263</v>
      </c>
      <c r="F1494">
        <v>45590.84</v>
      </c>
      <c r="G1494">
        <v>8695.6</v>
      </c>
      <c r="H1494" t="str">
        <f>VLOOKUP(myynnit[[#This Row],[TuoteID]],ohjaus!$A$4:$B$20,2,FALSE)</f>
        <v>Pinnatuoli</v>
      </c>
    </row>
    <row r="1495" spans="1:8" x14ac:dyDescent="0.35">
      <c r="A1495" t="s">
        <v>38</v>
      </c>
      <c r="B1495">
        <v>2013</v>
      </c>
      <c r="C1495">
        <v>10</v>
      </c>
      <c r="D1495">
        <v>23600</v>
      </c>
      <c r="E1495">
        <v>952</v>
      </c>
      <c r="F1495">
        <v>106350.67</v>
      </c>
      <c r="G1495">
        <v>22953.360000000001</v>
      </c>
      <c r="H1495" t="str">
        <f>VLOOKUP(myynnit[[#This Row],[TuoteID]],ohjaus!$A$4:$B$20,2,FALSE)</f>
        <v>Pinnatuoli</v>
      </c>
    </row>
    <row r="1496" spans="1:8" x14ac:dyDescent="0.35">
      <c r="A1496" t="s">
        <v>38</v>
      </c>
      <c r="B1496">
        <v>2013</v>
      </c>
      <c r="C1496">
        <v>10</v>
      </c>
      <c r="D1496">
        <v>23756</v>
      </c>
      <c r="E1496">
        <v>63</v>
      </c>
      <c r="F1496">
        <v>10038.629999999999</v>
      </c>
      <c r="G1496">
        <v>4646.04</v>
      </c>
      <c r="H1496" t="str">
        <f>VLOOKUP(myynnit[[#This Row],[TuoteID]],ohjaus!$A$4:$B$20,2,FALSE)</f>
        <v>Pianotuoli</v>
      </c>
    </row>
    <row r="1497" spans="1:8" x14ac:dyDescent="0.35">
      <c r="A1497" t="s">
        <v>38</v>
      </c>
      <c r="B1497">
        <v>2013</v>
      </c>
      <c r="C1497">
        <v>10</v>
      </c>
      <c r="D1497">
        <v>24326</v>
      </c>
      <c r="E1497">
        <v>123</v>
      </c>
      <c r="F1497">
        <v>18547.419999999998</v>
      </c>
      <c r="G1497">
        <v>5010.28</v>
      </c>
      <c r="H1497" t="str">
        <f>VLOOKUP(myynnit[[#This Row],[TuoteID]],ohjaus!$A$4:$B$20,2,FALSE)</f>
        <v>Lepotuoli</v>
      </c>
    </row>
    <row r="1498" spans="1:8" x14ac:dyDescent="0.35">
      <c r="A1498" t="s">
        <v>37</v>
      </c>
      <c r="B1498">
        <v>2013</v>
      </c>
      <c r="C1498">
        <v>11</v>
      </c>
      <c r="D1498">
        <v>12184</v>
      </c>
      <c r="E1498">
        <v>110</v>
      </c>
      <c r="F1498">
        <v>15436.55</v>
      </c>
      <c r="G1498">
        <v>8444.5400000000009</v>
      </c>
      <c r="H1498" t="str">
        <f>VLOOKUP(myynnit[[#This Row],[TuoteID]],ohjaus!$A$4:$B$20,2,FALSE)</f>
        <v>Rahi</v>
      </c>
    </row>
    <row r="1499" spans="1:8" x14ac:dyDescent="0.35">
      <c r="A1499" t="s">
        <v>37</v>
      </c>
      <c r="B1499">
        <v>2013</v>
      </c>
      <c r="C1499">
        <v>11</v>
      </c>
      <c r="D1499">
        <v>12622</v>
      </c>
      <c r="E1499">
        <v>29</v>
      </c>
      <c r="F1499">
        <v>8011.9</v>
      </c>
      <c r="G1499">
        <v>3570.44</v>
      </c>
      <c r="H1499" t="str">
        <f>VLOOKUP(myynnit[[#This Row],[TuoteID]],ohjaus!$A$4:$B$20,2,FALSE)</f>
        <v>Pianotuoli</v>
      </c>
    </row>
    <row r="1500" spans="1:8" x14ac:dyDescent="0.35">
      <c r="A1500" t="s">
        <v>37</v>
      </c>
      <c r="B1500">
        <v>2013</v>
      </c>
      <c r="C1500">
        <v>11</v>
      </c>
      <c r="D1500">
        <v>13527</v>
      </c>
      <c r="E1500">
        <v>711</v>
      </c>
      <c r="F1500">
        <v>107032.83</v>
      </c>
      <c r="G1500">
        <v>22795.39</v>
      </c>
      <c r="H1500" t="str">
        <f>VLOOKUP(myynnit[[#This Row],[TuoteID]],ohjaus!$A$4:$B$20,2,FALSE)</f>
        <v>Pinnatuoli</v>
      </c>
    </row>
    <row r="1501" spans="1:8" x14ac:dyDescent="0.35">
      <c r="A1501" t="s">
        <v>37</v>
      </c>
      <c r="B1501">
        <v>2013</v>
      </c>
      <c r="C1501">
        <v>11</v>
      </c>
      <c r="D1501">
        <v>13618</v>
      </c>
      <c r="E1501">
        <v>19</v>
      </c>
      <c r="F1501">
        <v>8085.81</v>
      </c>
      <c r="G1501">
        <v>3329.42</v>
      </c>
      <c r="H1501" t="str">
        <f>VLOOKUP(myynnit[[#This Row],[TuoteID]],ohjaus!$A$4:$B$20,2,FALSE)</f>
        <v>Pianotuoli</v>
      </c>
    </row>
    <row r="1502" spans="1:8" x14ac:dyDescent="0.35">
      <c r="A1502" t="s">
        <v>37</v>
      </c>
      <c r="B1502">
        <v>2013</v>
      </c>
      <c r="C1502">
        <v>11</v>
      </c>
      <c r="D1502">
        <v>16024</v>
      </c>
      <c r="E1502">
        <v>281</v>
      </c>
      <c r="F1502">
        <v>133561.70000000001</v>
      </c>
      <c r="G1502">
        <v>43813.1</v>
      </c>
      <c r="H1502" t="str">
        <f>VLOOKUP(myynnit[[#This Row],[TuoteID]],ohjaus!$A$4:$B$20,2,FALSE)</f>
        <v>Työtuoli</v>
      </c>
    </row>
    <row r="1503" spans="1:8" x14ac:dyDescent="0.35">
      <c r="A1503" t="s">
        <v>37</v>
      </c>
      <c r="B1503">
        <v>2013</v>
      </c>
      <c r="C1503">
        <v>11</v>
      </c>
      <c r="D1503">
        <v>16650</v>
      </c>
      <c r="E1503">
        <v>40</v>
      </c>
      <c r="F1503">
        <v>5154.58</v>
      </c>
      <c r="G1503">
        <v>2081.46</v>
      </c>
      <c r="H1503" t="str">
        <f>VLOOKUP(myynnit[[#This Row],[TuoteID]],ohjaus!$A$4:$B$20,2,FALSE)</f>
        <v>Rahi</v>
      </c>
    </row>
    <row r="1504" spans="1:8" x14ac:dyDescent="0.35">
      <c r="A1504" t="s">
        <v>37</v>
      </c>
      <c r="B1504">
        <v>2013</v>
      </c>
      <c r="C1504">
        <v>11</v>
      </c>
      <c r="D1504">
        <v>17892</v>
      </c>
      <c r="E1504">
        <v>117</v>
      </c>
      <c r="F1504">
        <v>16292.97</v>
      </c>
      <c r="G1504">
        <v>4668.78</v>
      </c>
      <c r="H1504" t="str">
        <f>VLOOKUP(myynnit[[#This Row],[TuoteID]],ohjaus!$A$4:$B$20,2,FALSE)</f>
        <v>Lepotuoli</v>
      </c>
    </row>
    <row r="1505" spans="1:8" x14ac:dyDescent="0.35">
      <c r="A1505" t="s">
        <v>37</v>
      </c>
      <c r="B1505">
        <v>2013</v>
      </c>
      <c r="C1505">
        <v>11</v>
      </c>
      <c r="D1505">
        <v>18342</v>
      </c>
      <c r="E1505">
        <v>190</v>
      </c>
      <c r="F1505">
        <v>153573.73000000001</v>
      </c>
      <c r="G1505">
        <v>49309.47</v>
      </c>
      <c r="H1505" t="str">
        <f>VLOOKUP(myynnit[[#This Row],[TuoteID]],ohjaus!$A$4:$B$20,2,FALSE)</f>
        <v>Työtuoli</v>
      </c>
    </row>
    <row r="1506" spans="1:8" x14ac:dyDescent="0.35">
      <c r="A1506" t="s">
        <v>37</v>
      </c>
      <c r="B1506">
        <v>2013</v>
      </c>
      <c r="C1506">
        <v>11</v>
      </c>
      <c r="D1506">
        <v>20177</v>
      </c>
      <c r="E1506">
        <v>109</v>
      </c>
      <c r="F1506">
        <v>11082.85</v>
      </c>
      <c r="G1506">
        <v>4055.52</v>
      </c>
      <c r="H1506" t="str">
        <f>VLOOKUP(myynnit[[#This Row],[TuoteID]],ohjaus!$A$4:$B$20,2,FALSE)</f>
        <v>Säkkituoli</v>
      </c>
    </row>
    <row r="1507" spans="1:8" x14ac:dyDescent="0.35">
      <c r="A1507" t="s">
        <v>37</v>
      </c>
      <c r="B1507">
        <v>2013</v>
      </c>
      <c r="C1507">
        <v>11</v>
      </c>
      <c r="D1507">
        <v>21179</v>
      </c>
      <c r="E1507">
        <v>32</v>
      </c>
      <c r="F1507">
        <v>3477.55</v>
      </c>
      <c r="G1507">
        <v>1721.88</v>
      </c>
      <c r="H1507" t="str">
        <f>VLOOKUP(myynnit[[#This Row],[TuoteID]],ohjaus!$A$4:$B$20,2,FALSE)</f>
        <v>Rahi</v>
      </c>
    </row>
    <row r="1508" spans="1:8" x14ac:dyDescent="0.35">
      <c r="A1508" t="s">
        <v>37</v>
      </c>
      <c r="B1508">
        <v>2013</v>
      </c>
      <c r="C1508">
        <v>11</v>
      </c>
      <c r="D1508">
        <v>21260</v>
      </c>
      <c r="E1508">
        <v>57</v>
      </c>
      <c r="F1508">
        <v>11810.61</v>
      </c>
      <c r="G1508">
        <v>3220.32</v>
      </c>
      <c r="H1508" t="str">
        <f>VLOOKUP(myynnit[[#This Row],[TuoteID]],ohjaus!$A$4:$B$20,2,FALSE)</f>
        <v>Lepotuoli</v>
      </c>
    </row>
    <row r="1509" spans="1:8" x14ac:dyDescent="0.35">
      <c r="A1509" t="s">
        <v>37</v>
      </c>
      <c r="B1509">
        <v>2013</v>
      </c>
      <c r="C1509">
        <v>11</v>
      </c>
      <c r="D1509">
        <v>22317</v>
      </c>
      <c r="E1509">
        <v>73</v>
      </c>
      <c r="F1509">
        <v>6491.68</v>
      </c>
      <c r="G1509">
        <v>2405.85</v>
      </c>
      <c r="H1509" t="str">
        <f>VLOOKUP(myynnit[[#This Row],[TuoteID]],ohjaus!$A$4:$B$20,2,FALSE)</f>
        <v>Säkkituoli</v>
      </c>
    </row>
    <row r="1510" spans="1:8" x14ac:dyDescent="0.35">
      <c r="A1510" t="s">
        <v>37</v>
      </c>
      <c r="B1510">
        <v>2013</v>
      </c>
      <c r="C1510">
        <v>11</v>
      </c>
      <c r="D1510">
        <v>22940</v>
      </c>
      <c r="E1510">
        <v>598</v>
      </c>
      <c r="F1510">
        <v>80247.58</v>
      </c>
      <c r="G1510">
        <v>16389.62</v>
      </c>
      <c r="H1510" t="str">
        <f>VLOOKUP(myynnit[[#This Row],[TuoteID]],ohjaus!$A$4:$B$20,2,FALSE)</f>
        <v>Pinnatuoli</v>
      </c>
    </row>
    <row r="1511" spans="1:8" x14ac:dyDescent="0.35">
      <c r="A1511" t="s">
        <v>37</v>
      </c>
      <c r="B1511">
        <v>2013</v>
      </c>
      <c r="C1511">
        <v>11</v>
      </c>
      <c r="D1511">
        <v>23178</v>
      </c>
      <c r="E1511">
        <v>473</v>
      </c>
      <c r="F1511">
        <v>77037.710000000006</v>
      </c>
      <c r="G1511">
        <v>14089.77</v>
      </c>
      <c r="H1511" t="str">
        <f>VLOOKUP(myynnit[[#This Row],[TuoteID]],ohjaus!$A$4:$B$20,2,FALSE)</f>
        <v>Pinnatuoli</v>
      </c>
    </row>
    <row r="1512" spans="1:8" x14ac:dyDescent="0.35">
      <c r="A1512" t="s">
        <v>37</v>
      </c>
      <c r="B1512">
        <v>2013</v>
      </c>
      <c r="C1512">
        <v>11</v>
      </c>
      <c r="D1512">
        <v>23600</v>
      </c>
      <c r="E1512">
        <v>1137</v>
      </c>
      <c r="F1512">
        <v>128387.96</v>
      </c>
      <c r="G1512">
        <v>27707.22</v>
      </c>
      <c r="H1512" t="str">
        <f>VLOOKUP(myynnit[[#This Row],[TuoteID]],ohjaus!$A$4:$B$20,2,FALSE)</f>
        <v>Pinnatuoli</v>
      </c>
    </row>
    <row r="1513" spans="1:8" x14ac:dyDescent="0.35">
      <c r="A1513" t="s">
        <v>37</v>
      </c>
      <c r="B1513">
        <v>2013</v>
      </c>
      <c r="C1513">
        <v>11</v>
      </c>
      <c r="D1513">
        <v>23756</v>
      </c>
      <c r="E1513">
        <v>106</v>
      </c>
      <c r="F1513">
        <v>16436.189999999999</v>
      </c>
      <c r="G1513">
        <v>7702.32</v>
      </c>
      <c r="H1513" t="str">
        <f>VLOOKUP(myynnit[[#This Row],[TuoteID]],ohjaus!$A$4:$B$20,2,FALSE)</f>
        <v>Pianotuoli</v>
      </c>
    </row>
    <row r="1514" spans="1:8" x14ac:dyDescent="0.35">
      <c r="A1514" t="s">
        <v>37</v>
      </c>
      <c r="B1514">
        <v>2013</v>
      </c>
      <c r="C1514">
        <v>11</v>
      </c>
      <c r="D1514">
        <v>24326</v>
      </c>
      <c r="E1514">
        <v>146</v>
      </c>
      <c r="F1514">
        <v>22681.23</v>
      </c>
      <c r="G1514">
        <v>6200.31</v>
      </c>
      <c r="H1514" t="str">
        <f>VLOOKUP(myynnit[[#This Row],[TuoteID]],ohjaus!$A$4:$B$20,2,FALSE)</f>
        <v>Lepotuoli</v>
      </c>
    </row>
    <row r="1515" spans="1:8" x14ac:dyDescent="0.35">
      <c r="A1515" t="s">
        <v>40</v>
      </c>
      <c r="B1515">
        <v>2013</v>
      </c>
      <c r="C1515">
        <v>11</v>
      </c>
      <c r="D1515">
        <v>12184</v>
      </c>
      <c r="E1515">
        <v>23</v>
      </c>
      <c r="F1515">
        <v>2681.68</v>
      </c>
      <c r="G1515">
        <v>1286.53</v>
      </c>
      <c r="H1515" t="str">
        <f>VLOOKUP(myynnit[[#This Row],[TuoteID]],ohjaus!$A$4:$B$20,2,FALSE)</f>
        <v>Rahi</v>
      </c>
    </row>
    <row r="1516" spans="1:8" x14ac:dyDescent="0.35">
      <c r="A1516" t="s">
        <v>40</v>
      </c>
      <c r="B1516">
        <v>2013</v>
      </c>
      <c r="C1516">
        <v>11</v>
      </c>
      <c r="D1516">
        <v>12622</v>
      </c>
      <c r="E1516">
        <v>20</v>
      </c>
      <c r="F1516">
        <v>4381.9799999999996</v>
      </c>
      <c r="G1516">
        <v>1765.48</v>
      </c>
      <c r="H1516" t="str">
        <f>VLOOKUP(myynnit[[#This Row],[TuoteID]],ohjaus!$A$4:$B$20,2,FALSE)</f>
        <v>Pianotuoli</v>
      </c>
    </row>
    <row r="1517" spans="1:8" x14ac:dyDescent="0.35">
      <c r="A1517" t="s">
        <v>40</v>
      </c>
      <c r="B1517">
        <v>2013</v>
      </c>
      <c r="C1517">
        <v>11</v>
      </c>
      <c r="D1517">
        <v>13527</v>
      </c>
      <c r="E1517">
        <v>355</v>
      </c>
      <c r="F1517">
        <v>55485.57</v>
      </c>
      <c r="G1517">
        <v>10847.2</v>
      </c>
      <c r="H1517" t="str">
        <f>VLOOKUP(myynnit[[#This Row],[TuoteID]],ohjaus!$A$4:$B$20,2,FALSE)</f>
        <v>Pinnatuoli</v>
      </c>
    </row>
    <row r="1518" spans="1:8" x14ac:dyDescent="0.35">
      <c r="A1518" t="s">
        <v>40</v>
      </c>
      <c r="B1518">
        <v>2013</v>
      </c>
      <c r="C1518">
        <v>11</v>
      </c>
      <c r="D1518">
        <v>13618</v>
      </c>
      <c r="E1518">
        <v>10</v>
      </c>
      <c r="F1518">
        <v>3662.19</v>
      </c>
      <c r="G1518">
        <v>1366.97</v>
      </c>
      <c r="H1518" t="str">
        <f>VLOOKUP(myynnit[[#This Row],[TuoteID]],ohjaus!$A$4:$B$20,2,FALSE)</f>
        <v>Pianotuoli</v>
      </c>
    </row>
    <row r="1519" spans="1:8" x14ac:dyDescent="0.35">
      <c r="A1519" t="s">
        <v>40</v>
      </c>
      <c r="B1519">
        <v>2013</v>
      </c>
      <c r="C1519">
        <v>11</v>
      </c>
      <c r="D1519">
        <v>16024</v>
      </c>
      <c r="E1519">
        <v>186</v>
      </c>
      <c r="F1519">
        <v>81215.149999999994</v>
      </c>
      <c r="G1519">
        <v>28411.63</v>
      </c>
      <c r="H1519" t="str">
        <f>VLOOKUP(myynnit[[#This Row],[TuoteID]],ohjaus!$A$4:$B$20,2,FALSE)</f>
        <v>Työtuoli</v>
      </c>
    </row>
    <row r="1520" spans="1:8" x14ac:dyDescent="0.35">
      <c r="A1520" t="s">
        <v>40</v>
      </c>
      <c r="B1520">
        <v>2013</v>
      </c>
      <c r="C1520">
        <v>11</v>
      </c>
      <c r="D1520">
        <v>16650</v>
      </c>
      <c r="E1520">
        <v>17</v>
      </c>
      <c r="F1520">
        <v>2914.8</v>
      </c>
      <c r="G1520">
        <v>2010.55</v>
      </c>
      <c r="H1520" t="str">
        <f>VLOOKUP(myynnit[[#This Row],[TuoteID]],ohjaus!$A$4:$B$20,2,FALSE)</f>
        <v>Rahi</v>
      </c>
    </row>
    <row r="1521" spans="1:8" x14ac:dyDescent="0.35">
      <c r="A1521" t="s">
        <v>40</v>
      </c>
      <c r="B1521">
        <v>2013</v>
      </c>
      <c r="C1521">
        <v>11</v>
      </c>
      <c r="D1521">
        <v>17892</v>
      </c>
      <c r="E1521">
        <v>96</v>
      </c>
      <c r="F1521">
        <v>14273.4</v>
      </c>
      <c r="G1521">
        <v>3714.72</v>
      </c>
      <c r="H1521" t="str">
        <f>VLOOKUP(myynnit[[#This Row],[TuoteID]],ohjaus!$A$4:$B$20,2,FALSE)</f>
        <v>Lepotuoli</v>
      </c>
    </row>
    <row r="1522" spans="1:8" x14ac:dyDescent="0.35">
      <c r="A1522" t="s">
        <v>40</v>
      </c>
      <c r="B1522">
        <v>2013</v>
      </c>
      <c r="C1522">
        <v>11</v>
      </c>
      <c r="D1522">
        <v>18342</v>
      </c>
      <c r="E1522">
        <v>28</v>
      </c>
      <c r="F1522">
        <v>20738.599999999999</v>
      </c>
      <c r="G1522">
        <v>7091.18</v>
      </c>
      <c r="H1522" t="str">
        <f>VLOOKUP(myynnit[[#This Row],[TuoteID]],ohjaus!$A$4:$B$20,2,FALSE)</f>
        <v>Työtuoli</v>
      </c>
    </row>
    <row r="1523" spans="1:8" x14ac:dyDescent="0.35">
      <c r="A1523" t="s">
        <v>40</v>
      </c>
      <c r="B1523">
        <v>2013</v>
      </c>
      <c r="C1523">
        <v>11</v>
      </c>
      <c r="D1523">
        <v>20177</v>
      </c>
      <c r="E1523">
        <v>13</v>
      </c>
      <c r="F1523">
        <v>1265.31</v>
      </c>
      <c r="G1523">
        <v>538.16999999999996</v>
      </c>
      <c r="H1523" t="str">
        <f>VLOOKUP(myynnit[[#This Row],[TuoteID]],ohjaus!$A$4:$B$20,2,FALSE)</f>
        <v>Säkkituoli</v>
      </c>
    </row>
    <row r="1524" spans="1:8" x14ac:dyDescent="0.35">
      <c r="A1524" t="s">
        <v>40</v>
      </c>
      <c r="B1524">
        <v>2013</v>
      </c>
      <c r="C1524">
        <v>11</v>
      </c>
      <c r="D1524">
        <v>21179</v>
      </c>
      <c r="E1524">
        <v>27</v>
      </c>
      <c r="F1524">
        <v>2865.73</v>
      </c>
      <c r="G1524">
        <v>1610.3</v>
      </c>
      <c r="H1524" t="str">
        <f>VLOOKUP(myynnit[[#This Row],[TuoteID]],ohjaus!$A$4:$B$20,2,FALSE)</f>
        <v>Rahi</v>
      </c>
    </row>
    <row r="1525" spans="1:8" x14ac:dyDescent="0.35">
      <c r="A1525" t="s">
        <v>40</v>
      </c>
      <c r="B1525">
        <v>2013</v>
      </c>
      <c r="C1525">
        <v>11</v>
      </c>
      <c r="D1525">
        <v>21260</v>
      </c>
      <c r="E1525">
        <v>53</v>
      </c>
      <c r="F1525">
        <v>9232.7099999999991</v>
      </c>
      <c r="G1525">
        <v>2588.06</v>
      </c>
      <c r="H1525" t="str">
        <f>VLOOKUP(myynnit[[#This Row],[TuoteID]],ohjaus!$A$4:$B$20,2,FALSE)</f>
        <v>Lepotuoli</v>
      </c>
    </row>
    <row r="1526" spans="1:8" x14ac:dyDescent="0.35">
      <c r="A1526" t="s">
        <v>40</v>
      </c>
      <c r="B1526">
        <v>2013</v>
      </c>
      <c r="C1526">
        <v>11</v>
      </c>
      <c r="D1526">
        <v>22317</v>
      </c>
      <c r="E1526">
        <v>7</v>
      </c>
      <c r="F1526">
        <v>618.6</v>
      </c>
      <c r="G1526">
        <v>282.79000000000002</v>
      </c>
      <c r="H1526" t="str">
        <f>VLOOKUP(myynnit[[#This Row],[TuoteID]],ohjaus!$A$4:$B$20,2,FALSE)</f>
        <v>Säkkituoli</v>
      </c>
    </row>
    <row r="1527" spans="1:8" x14ac:dyDescent="0.35">
      <c r="A1527" t="s">
        <v>40</v>
      </c>
      <c r="B1527">
        <v>2013</v>
      </c>
      <c r="C1527">
        <v>11</v>
      </c>
      <c r="D1527">
        <v>22940</v>
      </c>
      <c r="E1527">
        <v>150</v>
      </c>
      <c r="F1527">
        <v>19590.09</v>
      </c>
      <c r="G1527">
        <v>5881.8</v>
      </c>
      <c r="H1527" t="str">
        <f>VLOOKUP(myynnit[[#This Row],[TuoteID]],ohjaus!$A$4:$B$20,2,FALSE)</f>
        <v>Pinnatuoli</v>
      </c>
    </row>
    <row r="1528" spans="1:8" x14ac:dyDescent="0.35">
      <c r="A1528" t="s">
        <v>40</v>
      </c>
      <c r="B1528">
        <v>2013</v>
      </c>
      <c r="C1528">
        <v>11</v>
      </c>
      <c r="D1528">
        <v>23178</v>
      </c>
      <c r="E1528">
        <v>317</v>
      </c>
      <c r="F1528">
        <v>51893.36</v>
      </c>
      <c r="G1528">
        <v>12031.83</v>
      </c>
      <c r="H1528" t="str">
        <f>VLOOKUP(myynnit[[#This Row],[TuoteID]],ohjaus!$A$4:$B$20,2,FALSE)</f>
        <v>Pinnatuoli</v>
      </c>
    </row>
    <row r="1529" spans="1:8" x14ac:dyDescent="0.35">
      <c r="A1529" t="s">
        <v>40</v>
      </c>
      <c r="B1529">
        <v>2013</v>
      </c>
      <c r="C1529">
        <v>11</v>
      </c>
      <c r="D1529">
        <v>23600</v>
      </c>
      <c r="E1529">
        <v>677</v>
      </c>
      <c r="F1529">
        <v>80411.98</v>
      </c>
      <c r="G1529">
        <v>19335.490000000002</v>
      </c>
      <c r="H1529" t="str">
        <f>VLOOKUP(myynnit[[#This Row],[TuoteID]],ohjaus!$A$4:$B$20,2,FALSE)</f>
        <v>Pinnatuoli</v>
      </c>
    </row>
    <row r="1530" spans="1:8" x14ac:dyDescent="0.35">
      <c r="A1530" t="s">
        <v>40</v>
      </c>
      <c r="B1530">
        <v>2013</v>
      </c>
      <c r="C1530">
        <v>11</v>
      </c>
      <c r="D1530">
        <v>23756</v>
      </c>
      <c r="E1530">
        <v>101</v>
      </c>
      <c r="F1530">
        <v>19957.27</v>
      </c>
      <c r="G1530">
        <v>8647.77</v>
      </c>
      <c r="H1530" t="str">
        <f>VLOOKUP(myynnit[[#This Row],[TuoteID]],ohjaus!$A$4:$B$20,2,FALSE)</f>
        <v>Pianotuoli</v>
      </c>
    </row>
    <row r="1531" spans="1:8" x14ac:dyDescent="0.35">
      <c r="A1531" t="s">
        <v>40</v>
      </c>
      <c r="B1531">
        <v>2013</v>
      </c>
      <c r="C1531">
        <v>11</v>
      </c>
      <c r="D1531">
        <v>24326</v>
      </c>
      <c r="E1531">
        <v>17</v>
      </c>
      <c r="F1531">
        <v>2567.3200000000002</v>
      </c>
      <c r="G1531">
        <v>767.9</v>
      </c>
      <c r="H1531" t="str">
        <f>VLOOKUP(myynnit[[#This Row],[TuoteID]],ohjaus!$A$4:$B$20,2,FALSE)</f>
        <v>Lepotuoli</v>
      </c>
    </row>
    <row r="1532" spans="1:8" x14ac:dyDescent="0.35">
      <c r="A1532" t="s">
        <v>39</v>
      </c>
      <c r="B1532">
        <v>2013</v>
      </c>
      <c r="C1532">
        <v>11</v>
      </c>
      <c r="D1532">
        <v>12184</v>
      </c>
      <c r="E1532">
        <v>101</v>
      </c>
      <c r="F1532">
        <v>10190.549999999999</v>
      </c>
      <c r="G1532">
        <v>6142.7</v>
      </c>
      <c r="H1532" t="str">
        <f>VLOOKUP(myynnit[[#This Row],[TuoteID]],ohjaus!$A$4:$B$20,2,FALSE)</f>
        <v>Rahi</v>
      </c>
    </row>
    <row r="1533" spans="1:8" x14ac:dyDescent="0.35">
      <c r="A1533" t="s">
        <v>39</v>
      </c>
      <c r="B1533">
        <v>2013</v>
      </c>
      <c r="C1533">
        <v>11</v>
      </c>
      <c r="D1533">
        <v>12622</v>
      </c>
      <c r="E1533">
        <v>45</v>
      </c>
      <c r="F1533">
        <v>10860.82</v>
      </c>
      <c r="G1533">
        <v>6175.26</v>
      </c>
      <c r="H1533" t="str">
        <f>VLOOKUP(myynnit[[#This Row],[TuoteID]],ohjaus!$A$4:$B$20,2,FALSE)</f>
        <v>Pianotuoli</v>
      </c>
    </row>
    <row r="1534" spans="1:8" x14ac:dyDescent="0.35">
      <c r="A1534" t="s">
        <v>39</v>
      </c>
      <c r="B1534">
        <v>2013</v>
      </c>
      <c r="C1534">
        <v>11</v>
      </c>
      <c r="D1534">
        <v>13527</v>
      </c>
      <c r="E1534">
        <v>442</v>
      </c>
      <c r="F1534">
        <v>65147.24</v>
      </c>
      <c r="G1534">
        <v>13897.72</v>
      </c>
      <c r="H1534" t="str">
        <f>VLOOKUP(myynnit[[#This Row],[TuoteID]],ohjaus!$A$4:$B$20,2,FALSE)</f>
        <v>Pinnatuoli</v>
      </c>
    </row>
    <row r="1535" spans="1:8" x14ac:dyDescent="0.35">
      <c r="A1535" t="s">
        <v>39</v>
      </c>
      <c r="B1535">
        <v>2013</v>
      </c>
      <c r="C1535">
        <v>11</v>
      </c>
      <c r="D1535">
        <v>13618</v>
      </c>
      <c r="E1535">
        <v>18</v>
      </c>
      <c r="F1535">
        <v>6552.41</v>
      </c>
      <c r="G1535">
        <v>3770.24</v>
      </c>
      <c r="H1535" t="str">
        <f>VLOOKUP(myynnit[[#This Row],[TuoteID]],ohjaus!$A$4:$B$20,2,FALSE)</f>
        <v>Pianotuoli</v>
      </c>
    </row>
    <row r="1536" spans="1:8" x14ac:dyDescent="0.35">
      <c r="A1536" t="s">
        <v>39</v>
      </c>
      <c r="B1536">
        <v>2013</v>
      </c>
      <c r="C1536">
        <v>11</v>
      </c>
      <c r="D1536">
        <v>16024</v>
      </c>
      <c r="E1536">
        <v>344</v>
      </c>
      <c r="F1536">
        <v>148627.95000000001</v>
      </c>
      <c r="G1536">
        <v>39723.49</v>
      </c>
      <c r="H1536" t="str">
        <f>VLOOKUP(myynnit[[#This Row],[TuoteID]],ohjaus!$A$4:$B$20,2,FALSE)</f>
        <v>Työtuoli</v>
      </c>
    </row>
    <row r="1537" spans="1:8" x14ac:dyDescent="0.35">
      <c r="A1537" t="s">
        <v>39</v>
      </c>
      <c r="B1537">
        <v>2013</v>
      </c>
      <c r="C1537">
        <v>11</v>
      </c>
      <c r="D1537">
        <v>16650</v>
      </c>
      <c r="E1537">
        <v>21</v>
      </c>
      <c r="F1537">
        <v>3924.69</v>
      </c>
      <c r="G1537">
        <v>2288.77</v>
      </c>
      <c r="H1537" t="str">
        <f>VLOOKUP(myynnit[[#This Row],[TuoteID]],ohjaus!$A$4:$B$20,2,FALSE)</f>
        <v>Rahi</v>
      </c>
    </row>
    <row r="1538" spans="1:8" x14ac:dyDescent="0.35">
      <c r="A1538" t="s">
        <v>39</v>
      </c>
      <c r="B1538">
        <v>2013</v>
      </c>
      <c r="C1538">
        <v>11</v>
      </c>
      <c r="D1538">
        <v>17892</v>
      </c>
      <c r="E1538">
        <v>56</v>
      </c>
      <c r="F1538">
        <v>7001.6</v>
      </c>
      <c r="G1538">
        <v>2361.85</v>
      </c>
      <c r="H1538" t="str">
        <f>VLOOKUP(myynnit[[#This Row],[TuoteID]],ohjaus!$A$4:$B$20,2,FALSE)</f>
        <v>Lepotuoli</v>
      </c>
    </row>
    <row r="1539" spans="1:8" x14ac:dyDescent="0.35">
      <c r="A1539" t="s">
        <v>39</v>
      </c>
      <c r="B1539">
        <v>2013</v>
      </c>
      <c r="C1539">
        <v>11</v>
      </c>
      <c r="D1539">
        <v>18342</v>
      </c>
      <c r="E1539">
        <v>86</v>
      </c>
      <c r="F1539">
        <v>80868.990000000005</v>
      </c>
      <c r="G1539">
        <v>21474.79</v>
      </c>
      <c r="H1539" t="str">
        <f>VLOOKUP(myynnit[[#This Row],[TuoteID]],ohjaus!$A$4:$B$20,2,FALSE)</f>
        <v>Työtuoli</v>
      </c>
    </row>
    <row r="1540" spans="1:8" x14ac:dyDescent="0.35">
      <c r="A1540" t="s">
        <v>39</v>
      </c>
      <c r="B1540">
        <v>2013</v>
      </c>
      <c r="C1540">
        <v>11</v>
      </c>
      <c r="D1540">
        <v>20177</v>
      </c>
      <c r="E1540">
        <v>90</v>
      </c>
      <c r="F1540">
        <v>10486.97</v>
      </c>
      <c r="G1540">
        <v>4122.6099999999997</v>
      </c>
      <c r="H1540" t="str">
        <f>VLOOKUP(myynnit[[#This Row],[TuoteID]],ohjaus!$A$4:$B$20,2,FALSE)</f>
        <v>Säkkituoli</v>
      </c>
    </row>
    <row r="1541" spans="1:8" x14ac:dyDescent="0.35">
      <c r="A1541" t="s">
        <v>39</v>
      </c>
      <c r="B1541">
        <v>2013</v>
      </c>
      <c r="C1541">
        <v>11</v>
      </c>
      <c r="D1541">
        <v>21179</v>
      </c>
      <c r="E1541">
        <v>35</v>
      </c>
      <c r="F1541">
        <v>3761.16</v>
      </c>
      <c r="G1541">
        <v>2938.53</v>
      </c>
      <c r="H1541" t="str">
        <f>VLOOKUP(myynnit[[#This Row],[TuoteID]],ohjaus!$A$4:$B$20,2,FALSE)</f>
        <v>Rahi</v>
      </c>
    </row>
    <row r="1542" spans="1:8" x14ac:dyDescent="0.35">
      <c r="A1542" t="s">
        <v>39</v>
      </c>
      <c r="B1542">
        <v>2013</v>
      </c>
      <c r="C1542">
        <v>11</v>
      </c>
      <c r="D1542">
        <v>21260</v>
      </c>
      <c r="E1542">
        <v>49</v>
      </c>
      <c r="F1542">
        <v>9542.18</v>
      </c>
      <c r="G1542">
        <v>2974.85</v>
      </c>
      <c r="H1542" t="str">
        <f>VLOOKUP(myynnit[[#This Row],[TuoteID]],ohjaus!$A$4:$B$20,2,FALSE)</f>
        <v>Lepotuoli</v>
      </c>
    </row>
    <row r="1543" spans="1:8" x14ac:dyDescent="0.35">
      <c r="A1543" t="s">
        <v>39</v>
      </c>
      <c r="B1543">
        <v>2013</v>
      </c>
      <c r="C1543">
        <v>11</v>
      </c>
      <c r="D1543">
        <v>22317</v>
      </c>
      <c r="E1543">
        <v>51</v>
      </c>
      <c r="F1543">
        <v>5123.88</v>
      </c>
      <c r="G1543">
        <v>2165.71</v>
      </c>
      <c r="H1543" t="str">
        <f>VLOOKUP(myynnit[[#This Row],[TuoteID]],ohjaus!$A$4:$B$20,2,FALSE)</f>
        <v>Säkkituoli</v>
      </c>
    </row>
    <row r="1544" spans="1:8" x14ac:dyDescent="0.35">
      <c r="A1544" t="s">
        <v>39</v>
      </c>
      <c r="B1544">
        <v>2013</v>
      </c>
      <c r="C1544">
        <v>11</v>
      </c>
      <c r="D1544">
        <v>22940</v>
      </c>
      <c r="E1544">
        <v>470</v>
      </c>
      <c r="F1544">
        <v>55995.22</v>
      </c>
      <c r="G1544">
        <v>12383.26</v>
      </c>
      <c r="H1544" t="str">
        <f>VLOOKUP(myynnit[[#This Row],[TuoteID]],ohjaus!$A$4:$B$20,2,FALSE)</f>
        <v>Pinnatuoli</v>
      </c>
    </row>
    <row r="1545" spans="1:8" x14ac:dyDescent="0.35">
      <c r="A1545" t="s">
        <v>39</v>
      </c>
      <c r="B1545">
        <v>2013</v>
      </c>
      <c r="C1545">
        <v>11</v>
      </c>
      <c r="D1545">
        <v>23178</v>
      </c>
      <c r="E1545">
        <v>170</v>
      </c>
      <c r="F1545">
        <v>33188.85</v>
      </c>
      <c r="G1545">
        <v>8053.48</v>
      </c>
      <c r="H1545" t="str">
        <f>VLOOKUP(myynnit[[#This Row],[TuoteID]],ohjaus!$A$4:$B$20,2,FALSE)</f>
        <v>Pinnatuoli</v>
      </c>
    </row>
    <row r="1546" spans="1:8" x14ac:dyDescent="0.35">
      <c r="A1546" t="s">
        <v>39</v>
      </c>
      <c r="B1546">
        <v>2013</v>
      </c>
      <c r="C1546">
        <v>11</v>
      </c>
      <c r="D1546">
        <v>23600</v>
      </c>
      <c r="E1546">
        <v>638</v>
      </c>
      <c r="F1546">
        <v>75242.37</v>
      </c>
      <c r="G1546">
        <v>24156.29</v>
      </c>
      <c r="H1546" t="str">
        <f>VLOOKUP(myynnit[[#This Row],[TuoteID]],ohjaus!$A$4:$B$20,2,FALSE)</f>
        <v>Pinnatuoli</v>
      </c>
    </row>
    <row r="1547" spans="1:8" x14ac:dyDescent="0.35">
      <c r="A1547" t="s">
        <v>39</v>
      </c>
      <c r="B1547">
        <v>2013</v>
      </c>
      <c r="C1547">
        <v>11</v>
      </c>
      <c r="D1547">
        <v>23756</v>
      </c>
      <c r="E1547">
        <v>137</v>
      </c>
      <c r="F1547">
        <v>21728.81</v>
      </c>
      <c r="G1547">
        <v>11042.01</v>
      </c>
      <c r="H1547" t="str">
        <f>VLOOKUP(myynnit[[#This Row],[TuoteID]],ohjaus!$A$4:$B$20,2,FALSE)</f>
        <v>Pianotuoli</v>
      </c>
    </row>
    <row r="1548" spans="1:8" x14ac:dyDescent="0.35">
      <c r="A1548" t="s">
        <v>39</v>
      </c>
      <c r="B1548">
        <v>2013</v>
      </c>
      <c r="C1548">
        <v>11</v>
      </c>
      <c r="D1548">
        <v>24326</v>
      </c>
      <c r="E1548">
        <v>80</v>
      </c>
      <c r="F1548">
        <v>10895.18</v>
      </c>
      <c r="G1548">
        <v>3198.67</v>
      </c>
      <c r="H1548" t="str">
        <f>VLOOKUP(myynnit[[#This Row],[TuoteID]],ohjaus!$A$4:$B$20,2,FALSE)</f>
        <v>Lepotuoli</v>
      </c>
    </row>
    <row r="1549" spans="1:8" x14ac:dyDescent="0.35">
      <c r="A1549" t="s">
        <v>38</v>
      </c>
      <c r="B1549">
        <v>2013</v>
      </c>
      <c r="C1549">
        <v>11</v>
      </c>
      <c r="D1549">
        <v>12184</v>
      </c>
      <c r="E1549">
        <v>54</v>
      </c>
      <c r="F1549">
        <v>7928.44</v>
      </c>
      <c r="G1549">
        <v>3835.56</v>
      </c>
      <c r="H1549" t="str">
        <f>VLOOKUP(myynnit[[#This Row],[TuoteID]],ohjaus!$A$4:$B$20,2,FALSE)</f>
        <v>Rahi</v>
      </c>
    </row>
    <row r="1550" spans="1:8" x14ac:dyDescent="0.35">
      <c r="A1550" t="s">
        <v>38</v>
      </c>
      <c r="B1550">
        <v>2013</v>
      </c>
      <c r="C1550">
        <v>11</v>
      </c>
      <c r="D1550">
        <v>12622</v>
      </c>
      <c r="E1550">
        <v>50</v>
      </c>
      <c r="F1550">
        <v>13963.62</v>
      </c>
      <c r="G1550">
        <v>6955.6</v>
      </c>
      <c r="H1550" t="str">
        <f>VLOOKUP(myynnit[[#This Row],[TuoteID]],ohjaus!$A$4:$B$20,2,FALSE)</f>
        <v>Pianotuoli</v>
      </c>
    </row>
    <row r="1551" spans="1:8" x14ac:dyDescent="0.35">
      <c r="A1551" t="s">
        <v>38</v>
      </c>
      <c r="B1551">
        <v>2013</v>
      </c>
      <c r="C1551">
        <v>11</v>
      </c>
      <c r="D1551">
        <v>13527</v>
      </c>
      <c r="E1551">
        <v>438</v>
      </c>
      <c r="F1551">
        <v>67128.899999999994</v>
      </c>
      <c r="G1551">
        <v>13548.03</v>
      </c>
      <c r="H1551" t="str">
        <f>VLOOKUP(myynnit[[#This Row],[TuoteID]],ohjaus!$A$4:$B$20,2,FALSE)</f>
        <v>Pinnatuoli</v>
      </c>
    </row>
    <row r="1552" spans="1:8" x14ac:dyDescent="0.35">
      <c r="A1552" t="s">
        <v>38</v>
      </c>
      <c r="B1552">
        <v>2013</v>
      </c>
      <c r="C1552">
        <v>11</v>
      </c>
      <c r="D1552">
        <v>13618</v>
      </c>
      <c r="E1552">
        <v>15</v>
      </c>
      <c r="F1552">
        <v>6363.83</v>
      </c>
      <c r="G1552">
        <v>3040.08</v>
      </c>
      <c r="H1552" t="str">
        <f>VLOOKUP(myynnit[[#This Row],[TuoteID]],ohjaus!$A$4:$B$20,2,FALSE)</f>
        <v>Pianotuoli</v>
      </c>
    </row>
    <row r="1553" spans="1:8" x14ac:dyDescent="0.35">
      <c r="A1553" t="s">
        <v>38</v>
      </c>
      <c r="B1553">
        <v>2013</v>
      </c>
      <c r="C1553">
        <v>11</v>
      </c>
      <c r="D1553">
        <v>16024</v>
      </c>
      <c r="E1553">
        <v>182</v>
      </c>
      <c r="F1553">
        <v>75097.94</v>
      </c>
      <c r="G1553">
        <v>18864.14</v>
      </c>
      <c r="H1553" t="str">
        <f>VLOOKUP(myynnit[[#This Row],[TuoteID]],ohjaus!$A$4:$B$20,2,FALSE)</f>
        <v>Työtuoli</v>
      </c>
    </row>
    <row r="1554" spans="1:8" x14ac:dyDescent="0.35">
      <c r="A1554" t="s">
        <v>38</v>
      </c>
      <c r="B1554">
        <v>2013</v>
      </c>
      <c r="C1554">
        <v>11</v>
      </c>
      <c r="D1554">
        <v>16650</v>
      </c>
      <c r="E1554">
        <v>34</v>
      </c>
      <c r="F1554">
        <v>5656.66</v>
      </c>
      <c r="G1554">
        <v>3498.28</v>
      </c>
      <c r="H1554" t="str">
        <f>VLOOKUP(myynnit[[#This Row],[TuoteID]],ohjaus!$A$4:$B$20,2,FALSE)</f>
        <v>Rahi</v>
      </c>
    </row>
    <row r="1555" spans="1:8" x14ac:dyDescent="0.35">
      <c r="A1555" t="s">
        <v>38</v>
      </c>
      <c r="B1555">
        <v>2013</v>
      </c>
      <c r="C1555">
        <v>11</v>
      </c>
      <c r="D1555">
        <v>17892</v>
      </c>
      <c r="E1555">
        <v>98</v>
      </c>
      <c r="F1555">
        <v>12714.74</v>
      </c>
      <c r="G1555">
        <v>3583.86</v>
      </c>
      <c r="H1555" t="str">
        <f>VLOOKUP(myynnit[[#This Row],[TuoteID]],ohjaus!$A$4:$B$20,2,FALSE)</f>
        <v>Lepotuoli</v>
      </c>
    </row>
    <row r="1556" spans="1:8" x14ac:dyDescent="0.35">
      <c r="A1556" t="s">
        <v>38</v>
      </c>
      <c r="B1556">
        <v>2013</v>
      </c>
      <c r="C1556">
        <v>11</v>
      </c>
      <c r="D1556">
        <v>18342</v>
      </c>
      <c r="E1556">
        <v>98</v>
      </c>
      <c r="F1556">
        <v>79076.350000000006</v>
      </c>
      <c r="G1556">
        <v>19611.41</v>
      </c>
      <c r="H1556" t="str">
        <f>VLOOKUP(myynnit[[#This Row],[TuoteID]],ohjaus!$A$4:$B$20,2,FALSE)</f>
        <v>Työtuoli</v>
      </c>
    </row>
    <row r="1557" spans="1:8" x14ac:dyDescent="0.35">
      <c r="A1557" t="s">
        <v>38</v>
      </c>
      <c r="B1557">
        <v>2013</v>
      </c>
      <c r="C1557">
        <v>11</v>
      </c>
      <c r="D1557">
        <v>20177</v>
      </c>
      <c r="E1557">
        <v>96</v>
      </c>
      <c r="F1557">
        <v>11210.07</v>
      </c>
      <c r="G1557">
        <v>4037.65</v>
      </c>
      <c r="H1557" t="str">
        <f>VLOOKUP(myynnit[[#This Row],[TuoteID]],ohjaus!$A$4:$B$20,2,FALSE)</f>
        <v>Säkkituoli</v>
      </c>
    </row>
    <row r="1558" spans="1:8" x14ac:dyDescent="0.35">
      <c r="A1558" t="s">
        <v>38</v>
      </c>
      <c r="B1558">
        <v>2013</v>
      </c>
      <c r="C1558">
        <v>11</v>
      </c>
      <c r="D1558">
        <v>21179</v>
      </c>
      <c r="E1558">
        <v>54</v>
      </c>
      <c r="F1558">
        <v>7775.27</v>
      </c>
      <c r="G1558">
        <v>3891.03</v>
      </c>
      <c r="H1558" t="str">
        <f>VLOOKUP(myynnit[[#This Row],[TuoteID]],ohjaus!$A$4:$B$20,2,FALSE)</f>
        <v>Rahi</v>
      </c>
    </row>
    <row r="1559" spans="1:8" x14ac:dyDescent="0.35">
      <c r="A1559" t="s">
        <v>38</v>
      </c>
      <c r="B1559">
        <v>2013</v>
      </c>
      <c r="C1559">
        <v>11</v>
      </c>
      <c r="D1559">
        <v>21260</v>
      </c>
      <c r="E1559">
        <v>84</v>
      </c>
      <c r="F1559">
        <v>15808.14</v>
      </c>
      <c r="G1559">
        <v>4646.6899999999996</v>
      </c>
      <c r="H1559" t="str">
        <f>VLOOKUP(myynnit[[#This Row],[TuoteID]],ohjaus!$A$4:$B$20,2,FALSE)</f>
        <v>Lepotuoli</v>
      </c>
    </row>
    <row r="1560" spans="1:8" x14ac:dyDescent="0.35">
      <c r="A1560" t="s">
        <v>38</v>
      </c>
      <c r="B1560">
        <v>2013</v>
      </c>
      <c r="C1560">
        <v>11</v>
      </c>
      <c r="D1560">
        <v>22317</v>
      </c>
      <c r="E1560">
        <v>51</v>
      </c>
      <c r="F1560">
        <v>4493.82</v>
      </c>
      <c r="G1560">
        <v>1974.49</v>
      </c>
      <c r="H1560" t="str">
        <f>VLOOKUP(myynnit[[#This Row],[TuoteID]],ohjaus!$A$4:$B$20,2,FALSE)</f>
        <v>Säkkituoli</v>
      </c>
    </row>
    <row r="1561" spans="1:8" x14ac:dyDescent="0.35">
      <c r="A1561" t="s">
        <v>38</v>
      </c>
      <c r="B1561">
        <v>2013</v>
      </c>
      <c r="C1561">
        <v>11</v>
      </c>
      <c r="D1561">
        <v>22940</v>
      </c>
      <c r="E1561">
        <v>343</v>
      </c>
      <c r="F1561">
        <v>46388.27</v>
      </c>
      <c r="G1561">
        <v>10139.39</v>
      </c>
      <c r="H1561" t="str">
        <f>VLOOKUP(myynnit[[#This Row],[TuoteID]],ohjaus!$A$4:$B$20,2,FALSE)</f>
        <v>Pinnatuoli</v>
      </c>
    </row>
    <row r="1562" spans="1:8" x14ac:dyDescent="0.35">
      <c r="A1562" t="s">
        <v>38</v>
      </c>
      <c r="B1562">
        <v>2013</v>
      </c>
      <c r="C1562">
        <v>11</v>
      </c>
      <c r="D1562">
        <v>23178</v>
      </c>
      <c r="E1562">
        <v>197</v>
      </c>
      <c r="F1562">
        <v>34334.76</v>
      </c>
      <c r="G1562">
        <v>6324.43</v>
      </c>
      <c r="H1562" t="str">
        <f>VLOOKUP(myynnit[[#This Row],[TuoteID]],ohjaus!$A$4:$B$20,2,FALSE)</f>
        <v>Pinnatuoli</v>
      </c>
    </row>
    <row r="1563" spans="1:8" x14ac:dyDescent="0.35">
      <c r="A1563" t="s">
        <v>38</v>
      </c>
      <c r="B1563">
        <v>2013</v>
      </c>
      <c r="C1563">
        <v>11</v>
      </c>
      <c r="D1563">
        <v>23600</v>
      </c>
      <c r="E1563">
        <v>1377</v>
      </c>
      <c r="F1563">
        <v>151343.47</v>
      </c>
      <c r="G1563">
        <v>30336.799999999999</v>
      </c>
      <c r="H1563" t="str">
        <f>VLOOKUP(myynnit[[#This Row],[TuoteID]],ohjaus!$A$4:$B$20,2,FALSE)</f>
        <v>Pinnatuoli</v>
      </c>
    </row>
    <row r="1564" spans="1:8" x14ac:dyDescent="0.35">
      <c r="A1564" t="s">
        <v>38</v>
      </c>
      <c r="B1564">
        <v>2013</v>
      </c>
      <c r="C1564">
        <v>11</v>
      </c>
      <c r="D1564">
        <v>23756</v>
      </c>
      <c r="E1564">
        <v>70</v>
      </c>
      <c r="F1564">
        <v>11842.21</v>
      </c>
      <c r="G1564">
        <v>5364.59</v>
      </c>
      <c r="H1564" t="str">
        <f>VLOOKUP(myynnit[[#This Row],[TuoteID]],ohjaus!$A$4:$B$20,2,FALSE)</f>
        <v>Pianotuoli</v>
      </c>
    </row>
    <row r="1565" spans="1:8" x14ac:dyDescent="0.35">
      <c r="A1565" t="s">
        <v>38</v>
      </c>
      <c r="B1565">
        <v>2013</v>
      </c>
      <c r="C1565">
        <v>11</v>
      </c>
      <c r="D1565">
        <v>24326</v>
      </c>
      <c r="E1565">
        <v>126</v>
      </c>
      <c r="F1565">
        <v>15981.59</v>
      </c>
      <c r="G1565">
        <v>4374.1099999999997</v>
      </c>
      <c r="H1565" t="str">
        <f>VLOOKUP(myynnit[[#This Row],[TuoteID]],ohjaus!$A$4:$B$20,2,FALSE)</f>
        <v>Lepotuoli</v>
      </c>
    </row>
    <row r="1566" spans="1:8" x14ac:dyDescent="0.35">
      <c r="A1566" t="s">
        <v>37</v>
      </c>
      <c r="B1566">
        <v>2013</v>
      </c>
      <c r="C1566">
        <v>12</v>
      </c>
      <c r="D1566">
        <v>12184</v>
      </c>
      <c r="E1566">
        <v>100</v>
      </c>
      <c r="F1566">
        <v>13489.39</v>
      </c>
      <c r="G1566">
        <v>7378.77</v>
      </c>
      <c r="H1566" t="str">
        <f>VLOOKUP(myynnit[[#This Row],[TuoteID]],ohjaus!$A$4:$B$20,2,FALSE)</f>
        <v>Rahi</v>
      </c>
    </row>
    <row r="1567" spans="1:8" x14ac:dyDescent="0.35">
      <c r="A1567" t="s">
        <v>37</v>
      </c>
      <c r="B1567">
        <v>2013</v>
      </c>
      <c r="C1567">
        <v>12</v>
      </c>
      <c r="D1567">
        <v>12622</v>
      </c>
      <c r="E1567">
        <v>57</v>
      </c>
      <c r="F1567">
        <v>13596.93</v>
      </c>
      <c r="G1567">
        <v>7161.26</v>
      </c>
      <c r="H1567" t="str">
        <f>VLOOKUP(myynnit[[#This Row],[TuoteID]],ohjaus!$A$4:$B$20,2,FALSE)</f>
        <v>Pianotuoli</v>
      </c>
    </row>
    <row r="1568" spans="1:8" x14ac:dyDescent="0.35">
      <c r="A1568" t="s">
        <v>37</v>
      </c>
      <c r="B1568">
        <v>2013</v>
      </c>
      <c r="C1568">
        <v>12</v>
      </c>
      <c r="D1568">
        <v>13527</v>
      </c>
      <c r="E1568">
        <v>734</v>
      </c>
      <c r="F1568">
        <v>118290.81</v>
      </c>
      <c r="G1568">
        <v>20527.439999999999</v>
      </c>
      <c r="H1568" t="str">
        <f>VLOOKUP(myynnit[[#This Row],[TuoteID]],ohjaus!$A$4:$B$20,2,FALSE)</f>
        <v>Pinnatuoli</v>
      </c>
    </row>
    <row r="1569" spans="1:8" x14ac:dyDescent="0.35">
      <c r="A1569" t="s">
        <v>37</v>
      </c>
      <c r="B1569">
        <v>2013</v>
      </c>
      <c r="C1569">
        <v>12</v>
      </c>
      <c r="D1569">
        <v>13618</v>
      </c>
      <c r="E1569">
        <v>27</v>
      </c>
      <c r="F1569">
        <v>11977.52</v>
      </c>
      <c r="G1569">
        <v>5143.6899999999996</v>
      </c>
      <c r="H1569" t="str">
        <f>VLOOKUP(myynnit[[#This Row],[TuoteID]],ohjaus!$A$4:$B$20,2,FALSE)</f>
        <v>Pianotuoli</v>
      </c>
    </row>
    <row r="1570" spans="1:8" x14ac:dyDescent="0.35">
      <c r="A1570" t="s">
        <v>37</v>
      </c>
      <c r="B1570">
        <v>2013</v>
      </c>
      <c r="C1570">
        <v>12</v>
      </c>
      <c r="D1570">
        <v>16024</v>
      </c>
      <c r="E1570">
        <v>125</v>
      </c>
      <c r="F1570">
        <v>52400.4</v>
      </c>
      <c r="G1570">
        <v>17240.650000000001</v>
      </c>
      <c r="H1570" t="str">
        <f>VLOOKUP(myynnit[[#This Row],[TuoteID]],ohjaus!$A$4:$B$20,2,FALSE)</f>
        <v>Työtuoli</v>
      </c>
    </row>
    <row r="1571" spans="1:8" x14ac:dyDescent="0.35">
      <c r="A1571" t="s">
        <v>37</v>
      </c>
      <c r="B1571">
        <v>2013</v>
      </c>
      <c r="C1571">
        <v>12</v>
      </c>
      <c r="D1571">
        <v>16650</v>
      </c>
      <c r="E1571">
        <v>65</v>
      </c>
      <c r="F1571">
        <v>8744.9500000000007</v>
      </c>
      <c r="G1571">
        <v>4614.51</v>
      </c>
      <c r="H1571" t="str">
        <f>VLOOKUP(myynnit[[#This Row],[TuoteID]],ohjaus!$A$4:$B$20,2,FALSE)</f>
        <v>Rahi</v>
      </c>
    </row>
    <row r="1572" spans="1:8" x14ac:dyDescent="0.35">
      <c r="A1572" t="s">
        <v>37</v>
      </c>
      <c r="B1572">
        <v>2013</v>
      </c>
      <c r="C1572">
        <v>12</v>
      </c>
      <c r="D1572">
        <v>17892</v>
      </c>
      <c r="E1572">
        <v>126</v>
      </c>
      <c r="F1572">
        <v>18566.39</v>
      </c>
      <c r="G1572">
        <v>5149.5600000000004</v>
      </c>
      <c r="H1572" t="str">
        <f>VLOOKUP(myynnit[[#This Row],[TuoteID]],ohjaus!$A$4:$B$20,2,FALSE)</f>
        <v>Lepotuoli</v>
      </c>
    </row>
    <row r="1573" spans="1:8" x14ac:dyDescent="0.35">
      <c r="A1573" t="s">
        <v>37</v>
      </c>
      <c r="B1573">
        <v>2013</v>
      </c>
      <c r="C1573">
        <v>12</v>
      </c>
      <c r="D1573">
        <v>18342</v>
      </c>
      <c r="E1573">
        <v>132</v>
      </c>
      <c r="F1573">
        <v>107860.3</v>
      </c>
      <c r="G1573">
        <v>26545.8</v>
      </c>
      <c r="H1573" t="str">
        <f>VLOOKUP(myynnit[[#This Row],[TuoteID]],ohjaus!$A$4:$B$20,2,FALSE)</f>
        <v>Työtuoli</v>
      </c>
    </row>
    <row r="1574" spans="1:8" x14ac:dyDescent="0.35">
      <c r="A1574" t="s">
        <v>37</v>
      </c>
      <c r="B1574">
        <v>2013</v>
      </c>
      <c r="C1574">
        <v>12</v>
      </c>
      <c r="D1574">
        <v>20177</v>
      </c>
      <c r="E1574">
        <v>86</v>
      </c>
      <c r="F1574">
        <v>9888.99</v>
      </c>
      <c r="G1574">
        <v>3231.64</v>
      </c>
      <c r="H1574" t="str">
        <f>VLOOKUP(myynnit[[#This Row],[TuoteID]],ohjaus!$A$4:$B$20,2,FALSE)</f>
        <v>Säkkituoli</v>
      </c>
    </row>
    <row r="1575" spans="1:8" x14ac:dyDescent="0.35">
      <c r="A1575" t="s">
        <v>37</v>
      </c>
      <c r="B1575">
        <v>2013</v>
      </c>
      <c r="C1575">
        <v>12</v>
      </c>
      <c r="D1575">
        <v>21179</v>
      </c>
      <c r="E1575">
        <v>66</v>
      </c>
      <c r="F1575">
        <v>6911.04</v>
      </c>
      <c r="G1575">
        <v>3391.9</v>
      </c>
      <c r="H1575" t="str">
        <f>VLOOKUP(myynnit[[#This Row],[TuoteID]],ohjaus!$A$4:$B$20,2,FALSE)</f>
        <v>Rahi</v>
      </c>
    </row>
    <row r="1576" spans="1:8" x14ac:dyDescent="0.35">
      <c r="A1576" t="s">
        <v>37</v>
      </c>
      <c r="B1576">
        <v>2013</v>
      </c>
      <c r="C1576">
        <v>12</v>
      </c>
      <c r="D1576">
        <v>21260</v>
      </c>
      <c r="E1576">
        <v>84</v>
      </c>
      <c r="F1576">
        <v>17085.11</v>
      </c>
      <c r="G1576">
        <v>4230.29</v>
      </c>
      <c r="H1576" t="str">
        <f>VLOOKUP(myynnit[[#This Row],[TuoteID]],ohjaus!$A$4:$B$20,2,FALSE)</f>
        <v>Lepotuoli</v>
      </c>
    </row>
    <row r="1577" spans="1:8" x14ac:dyDescent="0.35">
      <c r="A1577" t="s">
        <v>37</v>
      </c>
      <c r="B1577">
        <v>2013</v>
      </c>
      <c r="C1577">
        <v>12</v>
      </c>
      <c r="D1577">
        <v>22317</v>
      </c>
      <c r="E1577">
        <v>53</v>
      </c>
      <c r="F1577">
        <v>5060.29</v>
      </c>
      <c r="G1577">
        <v>2014.09</v>
      </c>
      <c r="H1577" t="str">
        <f>VLOOKUP(myynnit[[#This Row],[TuoteID]],ohjaus!$A$4:$B$20,2,FALSE)</f>
        <v>Säkkituoli</v>
      </c>
    </row>
    <row r="1578" spans="1:8" x14ac:dyDescent="0.35">
      <c r="A1578" t="s">
        <v>37</v>
      </c>
      <c r="B1578">
        <v>2013</v>
      </c>
      <c r="C1578">
        <v>12</v>
      </c>
      <c r="D1578">
        <v>22940</v>
      </c>
      <c r="E1578">
        <v>732</v>
      </c>
      <c r="F1578">
        <v>98161.11</v>
      </c>
      <c r="G1578">
        <v>17722.82</v>
      </c>
      <c r="H1578" t="str">
        <f>VLOOKUP(myynnit[[#This Row],[TuoteID]],ohjaus!$A$4:$B$20,2,FALSE)</f>
        <v>Pinnatuoli</v>
      </c>
    </row>
    <row r="1579" spans="1:8" x14ac:dyDescent="0.35">
      <c r="A1579" t="s">
        <v>37</v>
      </c>
      <c r="B1579">
        <v>2013</v>
      </c>
      <c r="C1579">
        <v>12</v>
      </c>
      <c r="D1579">
        <v>23178</v>
      </c>
      <c r="E1579">
        <v>336</v>
      </c>
      <c r="F1579">
        <v>61911.26</v>
      </c>
      <c r="G1579">
        <v>10168.42</v>
      </c>
      <c r="H1579" t="str">
        <f>VLOOKUP(myynnit[[#This Row],[TuoteID]],ohjaus!$A$4:$B$20,2,FALSE)</f>
        <v>Pinnatuoli</v>
      </c>
    </row>
    <row r="1580" spans="1:8" x14ac:dyDescent="0.35">
      <c r="A1580" t="s">
        <v>37</v>
      </c>
      <c r="B1580">
        <v>2013</v>
      </c>
      <c r="C1580">
        <v>12</v>
      </c>
      <c r="D1580">
        <v>23600</v>
      </c>
      <c r="E1580">
        <v>791</v>
      </c>
      <c r="F1580">
        <v>80807.58</v>
      </c>
      <c r="G1580">
        <v>20404.759999999998</v>
      </c>
      <c r="H1580" t="str">
        <f>VLOOKUP(myynnit[[#This Row],[TuoteID]],ohjaus!$A$4:$B$20,2,FALSE)</f>
        <v>Pinnatuoli</v>
      </c>
    </row>
    <row r="1581" spans="1:8" x14ac:dyDescent="0.35">
      <c r="A1581" t="s">
        <v>37</v>
      </c>
      <c r="B1581">
        <v>2013</v>
      </c>
      <c r="C1581">
        <v>12</v>
      </c>
      <c r="D1581">
        <v>23756</v>
      </c>
      <c r="E1581">
        <v>144</v>
      </c>
      <c r="F1581">
        <v>29306.43</v>
      </c>
      <c r="G1581">
        <v>13785.07</v>
      </c>
      <c r="H1581" t="str">
        <f>VLOOKUP(myynnit[[#This Row],[TuoteID]],ohjaus!$A$4:$B$20,2,FALSE)</f>
        <v>Pianotuoli</v>
      </c>
    </row>
    <row r="1582" spans="1:8" x14ac:dyDescent="0.35">
      <c r="A1582" t="s">
        <v>37</v>
      </c>
      <c r="B1582">
        <v>2013</v>
      </c>
      <c r="C1582">
        <v>12</v>
      </c>
      <c r="D1582">
        <v>24326</v>
      </c>
      <c r="E1582">
        <v>112</v>
      </c>
      <c r="F1582">
        <v>15291.34</v>
      </c>
      <c r="G1582">
        <v>4160.87</v>
      </c>
      <c r="H1582" t="str">
        <f>VLOOKUP(myynnit[[#This Row],[TuoteID]],ohjaus!$A$4:$B$20,2,FALSE)</f>
        <v>Lepotuoli</v>
      </c>
    </row>
    <row r="1583" spans="1:8" x14ac:dyDescent="0.35">
      <c r="A1583" t="s">
        <v>40</v>
      </c>
      <c r="B1583">
        <v>2013</v>
      </c>
      <c r="C1583">
        <v>12</v>
      </c>
      <c r="D1583">
        <v>12184</v>
      </c>
      <c r="E1583">
        <v>21</v>
      </c>
      <c r="F1583">
        <v>2153.9</v>
      </c>
      <c r="G1583">
        <v>1144.55</v>
      </c>
      <c r="H1583" t="str">
        <f>VLOOKUP(myynnit[[#This Row],[TuoteID]],ohjaus!$A$4:$B$20,2,FALSE)</f>
        <v>Rahi</v>
      </c>
    </row>
    <row r="1584" spans="1:8" x14ac:dyDescent="0.35">
      <c r="A1584" t="s">
        <v>40</v>
      </c>
      <c r="B1584">
        <v>2013</v>
      </c>
      <c r="C1584">
        <v>12</v>
      </c>
      <c r="D1584">
        <v>12622</v>
      </c>
      <c r="E1584">
        <v>12</v>
      </c>
      <c r="F1584">
        <v>3377.62</v>
      </c>
      <c r="G1584">
        <v>1266.3800000000001</v>
      </c>
      <c r="H1584" t="str">
        <f>VLOOKUP(myynnit[[#This Row],[TuoteID]],ohjaus!$A$4:$B$20,2,FALSE)</f>
        <v>Pianotuoli</v>
      </c>
    </row>
    <row r="1585" spans="1:8" x14ac:dyDescent="0.35">
      <c r="A1585" t="s">
        <v>40</v>
      </c>
      <c r="B1585">
        <v>2013</v>
      </c>
      <c r="C1585">
        <v>12</v>
      </c>
      <c r="D1585">
        <v>13527</v>
      </c>
      <c r="E1585">
        <v>361</v>
      </c>
      <c r="F1585">
        <v>61738.11</v>
      </c>
      <c r="G1585">
        <v>11500.87</v>
      </c>
      <c r="H1585" t="str">
        <f>VLOOKUP(myynnit[[#This Row],[TuoteID]],ohjaus!$A$4:$B$20,2,FALSE)</f>
        <v>Pinnatuoli</v>
      </c>
    </row>
    <row r="1586" spans="1:8" x14ac:dyDescent="0.35">
      <c r="A1586" t="s">
        <v>40</v>
      </c>
      <c r="B1586">
        <v>2013</v>
      </c>
      <c r="C1586">
        <v>12</v>
      </c>
      <c r="D1586">
        <v>13618</v>
      </c>
      <c r="E1586">
        <v>7</v>
      </c>
      <c r="F1586">
        <v>2368.02</v>
      </c>
      <c r="G1586">
        <v>956.13</v>
      </c>
      <c r="H1586" t="str">
        <f>VLOOKUP(myynnit[[#This Row],[TuoteID]],ohjaus!$A$4:$B$20,2,FALSE)</f>
        <v>Pianotuoli</v>
      </c>
    </row>
    <row r="1587" spans="1:8" x14ac:dyDescent="0.35">
      <c r="A1587" t="s">
        <v>40</v>
      </c>
      <c r="B1587">
        <v>2013</v>
      </c>
      <c r="C1587">
        <v>12</v>
      </c>
      <c r="D1587">
        <v>16024</v>
      </c>
      <c r="E1587">
        <v>148</v>
      </c>
      <c r="F1587">
        <v>60248.37</v>
      </c>
      <c r="G1587">
        <v>17324.95</v>
      </c>
      <c r="H1587" t="str">
        <f>VLOOKUP(myynnit[[#This Row],[TuoteID]],ohjaus!$A$4:$B$20,2,FALSE)</f>
        <v>Työtuoli</v>
      </c>
    </row>
    <row r="1588" spans="1:8" x14ac:dyDescent="0.35">
      <c r="A1588" t="s">
        <v>40</v>
      </c>
      <c r="B1588">
        <v>2013</v>
      </c>
      <c r="C1588">
        <v>12</v>
      </c>
      <c r="D1588">
        <v>16650</v>
      </c>
      <c r="E1588">
        <v>35</v>
      </c>
      <c r="F1588">
        <v>6448.11</v>
      </c>
      <c r="G1588">
        <v>3442.57</v>
      </c>
      <c r="H1588" t="str">
        <f>VLOOKUP(myynnit[[#This Row],[TuoteID]],ohjaus!$A$4:$B$20,2,FALSE)</f>
        <v>Rahi</v>
      </c>
    </row>
    <row r="1589" spans="1:8" x14ac:dyDescent="0.35">
      <c r="A1589" t="s">
        <v>40</v>
      </c>
      <c r="B1589">
        <v>2013</v>
      </c>
      <c r="C1589">
        <v>12</v>
      </c>
      <c r="D1589">
        <v>17892</v>
      </c>
      <c r="E1589">
        <v>77</v>
      </c>
      <c r="F1589">
        <v>11508.8</v>
      </c>
      <c r="G1589">
        <v>2787.79</v>
      </c>
      <c r="H1589" t="str">
        <f>VLOOKUP(myynnit[[#This Row],[TuoteID]],ohjaus!$A$4:$B$20,2,FALSE)</f>
        <v>Lepotuoli</v>
      </c>
    </row>
    <row r="1590" spans="1:8" x14ac:dyDescent="0.35">
      <c r="A1590" t="s">
        <v>40</v>
      </c>
      <c r="B1590">
        <v>2013</v>
      </c>
      <c r="C1590">
        <v>12</v>
      </c>
      <c r="D1590">
        <v>18342</v>
      </c>
      <c r="E1590">
        <v>31</v>
      </c>
      <c r="F1590">
        <v>27159.38</v>
      </c>
      <c r="G1590">
        <v>8120.65</v>
      </c>
      <c r="H1590" t="str">
        <f>VLOOKUP(myynnit[[#This Row],[TuoteID]],ohjaus!$A$4:$B$20,2,FALSE)</f>
        <v>Työtuoli</v>
      </c>
    </row>
    <row r="1591" spans="1:8" x14ac:dyDescent="0.35">
      <c r="A1591" t="s">
        <v>40</v>
      </c>
      <c r="B1591">
        <v>2013</v>
      </c>
      <c r="C1591">
        <v>12</v>
      </c>
      <c r="D1591">
        <v>20177</v>
      </c>
      <c r="E1591">
        <v>24</v>
      </c>
      <c r="F1591">
        <v>2495.21</v>
      </c>
      <c r="G1591">
        <v>1113.26</v>
      </c>
      <c r="H1591" t="str">
        <f>VLOOKUP(myynnit[[#This Row],[TuoteID]],ohjaus!$A$4:$B$20,2,FALSE)</f>
        <v>Säkkituoli</v>
      </c>
    </row>
    <row r="1592" spans="1:8" x14ac:dyDescent="0.35">
      <c r="A1592" t="s">
        <v>40</v>
      </c>
      <c r="B1592">
        <v>2013</v>
      </c>
      <c r="C1592">
        <v>12</v>
      </c>
      <c r="D1592">
        <v>21179</v>
      </c>
      <c r="E1592">
        <v>30</v>
      </c>
      <c r="F1592">
        <v>3475.29</v>
      </c>
      <c r="G1592">
        <v>1668.71</v>
      </c>
      <c r="H1592" t="str">
        <f>VLOOKUP(myynnit[[#This Row],[TuoteID]],ohjaus!$A$4:$B$20,2,FALSE)</f>
        <v>Rahi</v>
      </c>
    </row>
    <row r="1593" spans="1:8" x14ac:dyDescent="0.35">
      <c r="A1593" t="s">
        <v>40</v>
      </c>
      <c r="B1593">
        <v>2013</v>
      </c>
      <c r="C1593">
        <v>12</v>
      </c>
      <c r="D1593">
        <v>21260</v>
      </c>
      <c r="E1593">
        <v>40</v>
      </c>
      <c r="F1593">
        <v>7513.87</v>
      </c>
      <c r="G1593">
        <v>1653.89</v>
      </c>
      <c r="H1593" t="str">
        <f>VLOOKUP(myynnit[[#This Row],[TuoteID]],ohjaus!$A$4:$B$20,2,FALSE)</f>
        <v>Lepotuoli</v>
      </c>
    </row>
    <row r="1594" spans="1:8" x14ac:dyDescent="0.35">
      <c r="A1594" t="s">
        <v>40</v>
      </c>
      <c r="B1594">
        <v>2013</v>
      </c>
      <c r="C1594">
        <v>12</v>
      </c>
      <c r="D1594">
        <v>22317</v>
      </c>
      <c r="E1594">
        <v>8</v>
      </c>
      <c r="F1594">
        <v>594.6</v>
      </c>
      <c r="G1594">
        <v>267.14</v>
      </c>
      <c r="H1594" t="str">
        <f>VLOOKUP(myynnit[[#This Row],[TuoteID]],ohjaus!$A$4:$B$20,2,FALSE)</f>
        <v>Säkkituoli</v>
      </c>
    </row>
    <row r="1595" spans="1:8" x14ac:dyDescent="0.35">
      <c r="A1595" t="s">
        <v>40</v>
      </c>
      <c r="B1595">
        <v>2013</v>
      </c>
      <c r="C1595">
        <v>12</v>
      </c>
      <c r="D1595">
        <v>22940</v>
      </c>
      <c r="E1595">
        <v>95</v>
      </c>
      <c r="F1595">
        <v>12275.06</v>
      </c>
      <c r="G1595">
        <v>2953.78</v>
      </c>
      <c r="H1595" t="str">
        <f>VLOOKUP(myynnit[[#This Row],[TuoteID]],ohjaus!$A$4:$B$20,2,FALSE)</f>
        <v>Pinnatuoli</v>
      </c>
    </row>
    <row r="1596" spans="1:8" x14ac:dyDescent="0.35">
      <c r="A1596" t="s">
        <v>40</v>
      </c>
      <c r="B1596">
        <v>2013</v>
      </c>
      <c r="C1596">
        <v>12</v>
      </c>
      <c r="D1596">
        <v>23178</v>
      </c>
      <c r="E1596">
        <v>209</v>
      </c>
      <c r="F1596">
        <v>39248.67</v>
      </c>
      <c r="G1596">
        <v>10236.35</v>
      </c>
      <c r="H1596" t="str">
        <f>VLOOKUP(myynnit[[#This Row],[TuoteID]],ohjaus!$A$4:$B$20,2,FALSE)</f>
        <v>Pinnatuoli</v>
      </c>
    </row>
    <row r="1597" spans="1:8" x14ac:dyDescent="0.35">
      <c r="A1597" t="s">
        <v>40</v>
      </c>
      <c r="B1597">
        <v>2013</v>
      </c>
      <c r="C1597">
        <v>12</v>
      </c>
      <c r="D1597">
        <v>23600</v>
      </c>
      <c r="E1597">
        <v>734</v>
      </c>
      <c r="F1597">
        <v>78406.92</v>
      </c>
      <c r="G1597">
        <v>23327.57</v>
      </c>
      <c r="H1597" t="str">
        <f>VLOOKUP(myynnit[[#This Row],[TuoteID]],ohjaus!$A$4:$B$20,2,FALSE)</f>
        <v>Pinnatuoli</v>
      </c>
    </row>
    <row r="1598" spans="1:8" x14ac:dyDescent="0.35">
      <c r="A1598" t="s">
        <v>40</v>
      </c>
      <c r="B1598">
        <v>2013</v>
      </c>
      <c r="C1598">
        <v>12</v>
      </c>
      <c r="D1598">
        <v>23756</v>
      </c>
      <c r="E1598">
        <v>59</v>
      </c>
      <c r="F1598">
        <v>8921.18</v>
      </c>
      <c r="G1598">
        <v>3651.96</v>
      </c>
      <c r="H1598" t="str">
        <f>VLOOKUP(myynnit[[#This Row],[TuoteID]],ohjaus!$A$4:$B$20,2,FALSE)</f>
        <v>Pianotuoli</v>
      </c>
    </row>
    <row r="1599" spans="1:8" x14ac:dyDescent="0.35">
      <c r="A1599" t="s">
        <v>40</v>
      </c>
      <c r="B1599">
        <v>2013</v>
      </c>
      <c r="C1599">
        <v>12</v>
      </c>
      <c r="D1599">
        <v>24326</v>
      </c>
      <c r="E1599">
        <v>30</v>
      </c>
      <c r="F1599">
        <v>4009.49</v>
      </c>
      <c r="G1599">
        <v>1171.73</v>
      </c>
      <c r="H1599" t="str">
        <f>VLOOKUP(myynnit[[#This Row],[TuoteID]],ohjaus!$A$4:$B$20,2,FALSE)</f>
        <v>Lepotuoli</v>
      </c>
    </row>
    <row r="1600" spans="1:8" x14ac:dyDescent="0.35">
      <c r="A1600" t="s">
        <v>39</v>
      </c>
      <c r="B1600">
        <v>2013</v>
      </c>
      <c r="C1600">
        <v>12</v>
      </c>
      <c r="D1600">
        <v>12184</v>
      </c>
      <c r="E1600">
        <v>41</v>
      </c>
      <c r="F1600">
        <v>5412.56</v>
      </c>
      <c r="G1600">
        <v>4134.9799999999996</v>
      </c>
      <c r="H1600" t="str">
        <f>VLOOKUP(myynnit[[#This Row],[TuoteID]],ohjaus!$A$4:$B$20,2,FALSE)</f>
        <v>Rahi</v>
      </c>
    </row>
    <row r="1601" spans="1:8" x14ac:dyDescent="0.35">
      <c r="A1601" t="s">
        <v>39</v>
      </c>
      <c r="B1601">
        <v>2013</v>
      </c>
      <c r="C1601">
        <v>12</v>
      </c>
      <c r="D1601">
        <v>12622</v>
      </c>
      <c r="E1601">
        <v>26</v>
      </c>
      <c r="F1601">
        <v>7212.71</v>
      </c>
      <c r="G1601">
        <v>4014.87</v>
      </c>
      <c r="H1601" t="str">
        <f>VLOOKUP(myynnit[[#This Row],[TuoteID]],ohjaus!$A$4:$B$20,2,FALSE)</f>
        <v>Pianotuoli</v>
      </c>
    </row>
    <row r="1602" spans="1:8" x14ac:dyDescent="0.35">
      <c r="A1602" t="s">
        <v>39</v>
      </c>
      <c r="B1602">
        <v>2013</v>
      </c>
      <c r="C1602">
        <v>12</v>
      </c>
      <c r="D1602">
        <v>13527</v>
      </c>
      <c r="E1602">
        <v>219</v>
      </c>
      <c r="F1602">
        <v>38663.56</v>
      </c>
      <c r="G1602">
        <v>10517.56</v>
      </c>
      <c r="H1602" t="str">
        <f>VLOOKUP(myynnit[[#This Row],[TuoteID]],ohjaus!$A$4:$B$20,2,FALSE)</f>
        <v>Pinnatuoli</v>
      </c>
    </row>
    <row r="1603" spans="1:8" x14ac:dyDescent="0.35">
      <c r="A1603" t="s">
        <v>39</v>
      </c>
      <c r="B1603">
        <v>2013</v>
      </c>
      <c r="C1603">
        <v>12</v>
      </c>
      <c r="D1603">
        <v>13618</v>
      </c>
      <c r="E1603">
        <v>10</v>
      </c>
      <c r="F1603">
        <v>4248.76</v>
      </c>
      <c r="G1603">
        <v>2487.42</v>
      </c>
      <c r="H1603" t="str">
        <f>VLOOKUP(myynnit[[#This Row],[TuoteID]],ohjaus!$A$4:$B$20,2,FALSE)</f>
        <v>Pianotuoli</v>
      </c>
    </row>
    <row r="1604" spans="1:8" x14ac:dyDescent="0.35">
      <c r="A1604" t="s">
        <v>39</v>
      </c>
      <c r="B1604">
        <v>2013</v>
      </c>
      <c r="C1604">
        <v>12</v>
      </c>
      <c r="D1604">
        <v>16024</v>
      </c>
      <c r="E1604">
        <v>357</v>
      </c>
      <c r="F1604">
        <v>148617.35999999999</v>
      </c>
      <c r="G1604">
        <v>43023.97</v>
      </c>
      <c r="H1604" t="str">
        <f>VLOOKUP(myynnit[[#This Row],[TuoteID]],ohjaus!$A$4:$B$20,2,FALSE)</f>
        <v>Työtuoli</v>
      </c>
    </row>
    <row r="1605" spans="1:8" x14ac:dyDescent="0.35">
      <c r="A1605" t="s">
        <v>39</v>
      </c>
      <c r="B1605">
        <v>2013</v>
      </c>
      <c r="C1605">
        <v>12</v>
      </c>
      <c r="D1605">
        <v>16650</v>
      </c>
      <c r="E1605">
        <v>39</v>
      </c>
      <c r="F1605">
        <v>7848.49</v>
      </c>
      <c r="G1605">
        <v>5915.93</v>
      </c>
      <c r="H1605" t="str">
        <f>VLOOKUP(myynnit[[#This Row],[TuoteID]],ohjaus!$A$4:$B$20,2,FALSE)</f>
        <v>Rahi</v>
      </c>
    </row>
    <row r="1606" spans="1:8" x14ac:dyDescent="0.35">
      <c r="A1606" t="s">
        <v>39</v>
      </c>
      <c r="B1606">
        <v>2013</v>
      </c>
      <c r="C1606">
        <v>12</v>
      </c>
      <c r="D1606">
        <v>17892</v>
      </c>
      <c r="E1606">
        <v>96</v>
      </c>
      <c r="F1606">
        <v>14301.48</v>
      </c>
      <c r="G1606">
        <v>5049.66</v>
      </c>
      <c r="H1606" t="str">
        <f>VLOOKUP(myynnit[[#This Row],[TuoteID]],ohjaus!$A$4:$B$20,2,FALSE)</f>
        <v>Lepotuoli</v>
      </c>
    </row>
    <row r="1607" spans="1:8" x14ac:dyDescent="0.35">
      <c r="A1607" t="s">
        <v>39</v>
      </c>
      <c r="B1607">
        <v>2013</v>
      </c>
      <c r="C1607">
        <v>12</v>
      </c>
      <c r="D1607">
        <v>18342</v>
      </c>
      <c r="E1607">
        <v>80</v>
      </c>
      <c r="F1607">
        <v>61014.2</v>
      </c>
      <c r="G1607">
        <v>20048.259999999998</v>
      </c>
      <c r="H1607" t="str">
        <f>VLOOKUP(myynnit[[#This Row],[TuoteID]],ohjaus!$A$4:$B$20,2,FALSE)</f>
        <v>Työtuoli</v>
      </c>
    </row>
    <row r="1608" spans="1:8" x14ac:dyDescent="0.35">
      <c r="A1608" t="s">
        <v>39</v>
      </c>
      <c r="B1608">
        <v>2013</v>
      </c>
      <c r="C1608">
        <v>12</v>
      </c>
      <c r="D1608">
        <v>20177</v>
      </c>
      <c r="E1608">
        <v>49</v>
      </c>
      <c r="F1608">
        <v>5948.62</v>
      </c>
      <c r="G1608">
        <v>2560.38</v>
      </c>
      <c r="H1608" t="str">
        <f>VLOOKUP(myynnit[[#This Row],[TuoteID]],ohjaus!$A$4:$B$20,2,FALSE)</f>
        <v>Säkkituoli</v>
      </c>
    </row>
    <row r="1609" spans="1:8" x14ac:dyDescent="0.35">
      <c r="A1609" t="s">
        <v>39</v>
      </c>
      <c r="B1609">
        <v>2013</v>
      </c>
      <c r="C1609">
        <v>12</v>
      </c>
      <c r="D1609">
        <v>21179</v>
      </c>
      <c r="E1609">
        <v>62</v>
      </c>
      <c r="F1609">
        <v>8371.84</v>
      </c>
      <c r="G1609">
        <v>5276.66</v>
      </c>
      <c r="H1609" t="str">
        <f>VLOOKUP(myynnit[[#This Row],[TuoteID]],ohjaus!$A$4:$B$20,2,FALSE)</f>
        <v>Rahi</v>
      </c>
    </row>
    <row r="1610" spans="1:8" x14ac:dyDescent="0.35">
      <c r="A1610" t="s">
        <v>39</v>
      </c>
      <c r="B1610">
        <v>2013</v>
      </c>
      <c r="C1610">
        <v>12</v>
      </c>
      <c r="D1610">
        <v>21260</v>
      </c>
      <c r="E1610">
        <v>45</v>
      </c>
      <c r="F1610">
        <v>9090.74</v>
      </c>
      <c r="G1610">
        <v>2572.7800000000002</v>
      </c>
      <c r="H1610" t="str">
        <f>VLOOKUP(myynnit[[#This Row],[TuoteID]],ohjaus!$A$4:$B$20,2,FALSE)</f>
        <v>Lepotuoli</v>
      </c>
    </row>
    <row r="1611" spans="1:8" x14ac:dyDescent="0.35">
      <c r="A1611" t="s">
        <v>39</v>
      </c>
      <c r="B1611">
        <v>2013</v>
      </c>
      <c r="C1611">
        <v>12</v>
      </c>
      <c r="D1611">
        <v>22317</v>
      </c>
      <c r="E1611">
        <v>39</v>
      </c>
      <c r="F1611">
        <v>3701.29</v>
      </c>
      <c r="G1611">
        <v>1655.13</v>
      </c>
      <c r="H1611" t="str">
        <f>VLOOKUP(myynnit[[#This Row],[TuoteID]],ohjaus!$A$4:$B$20,2,FALSE)</f>
        <v>Säkkituoli</v>
      </c>
    </row>
    <row r="1612" spans="1:8" x14ac:dyDescent="0.35">
      <c r="A1612" t="s">
        <v>39</v>
      </c>
      <c r="B1612">
        <v>2013</v>
      </c>
      <c r="C1612">
        <v>12</v>
      </c>
      <c r="D1612">
        <v>22940</v>
      </c>
      <c r="E1612">
        <v>541</v>
      </c>
      <c r="F1612">
        <v>69046.899999999994</v>
      </c>
      <c r="G1612">
        <v>16456.86</v>
      </c>
      <c r="H1612" t="str">
        <f>VLOOKUP(myynnit[[#This Row],[TuoteID]],ohjaus!$A$4:$B$20,2,FALSE)</f>
        <v>Pinnatuoli</v>
      </c>
    </row>
    <row r="1613" spans="1:8" x14ac:dyDescent="0.35">
      <c r="A1613" t="s">
        <v>39</v>
      </c>
      <c r="B1613">
        <v>2013</v>
      </c>
      <c r="C1613">
        <v>12</v>
      </c>
      <c r="D1613">
        <v>23178</v>
      </c>
      <c r="E1613">
        <v>200</v>
      </c>
      <c r="F1613">
        <v>36728.080000000002</v>
      </c>
      <c r="G1613">
        <v>8137.4</v>
      </c>
      <c r="H1613" t="str">
        <f>VLOOKUP(myynnit[[#This Row],[TuoteID]],ohjaus!$A$4:$B$20,2,FALSE)</f>
        <v>Pinnatuoli</v>
      </c>
    </row>
    <row r="1614" spans="1:8" x14ac:dyDescent="0.35">
      <c r="A1614" t="s">
        <v>39</v>
      </c>
      <c r="B1614">
        <v>2013</v>
      </c>
      <c r="C1614">
        <v>12</v>
      </c>
      <c r="D1614">
        <v>23600</v>
      </c>
      <c r="E1614">
        <v>901</v>
      </c>
      <c r="F1614">
        <v>113386.41</v>
      </c>
      <c r="G1614">
        <v>32222.04</v>
      </c>
      <c r="H1614" t="str">
        <f>VLOOKUP(myynnit[[#This Row],[TuoteID]],ohjaus!$A$4:$B$20,2,FALSE)</f>
        <v>Pinnatuoli</v>
      </c>
    </row>
    <row r="1615" spans="1:8" x14ac:dyDescent="0.35">
      <c r="A1615" t="s">
        <v>39</v>
      </c>
      <c r="B1615">
        <v>2013</v>
      </c>
      <c r="C1615">
        <v>12</v>
      </c>
      <c r="D1615">
        <v>23756</v>
      </c>
      <c r="E1615">
        <v>106</v>
      </c>
      <c r="F1615">
        <v>20142.810000000001</v>
      </c>
      <c r="G1615">
        <v>11221.03</v>
      </c>
      <c r="H1615" t="str">
        <f>VLOOKUP(myynnit[[#This Row],[TuoteID]],ohjaus!$A$4:$B$20,2,FALSE)</f>
        <v>Pianotuoli</v>
      </c>
    </row>
    <row r="1616" spans="1:8" x14ac:dyDescent="0.35">
      <c r="A1616" t="s">
        <v>39</v>
      </c>
      <c r="B1616">
        <v>2013</v>
      </c>
      <c r="C1616">
        <v>12</v>
      </c>
      <c r="D1616">
        <v>24326</v>
      </c>
      <c r="E1616">
        <v>65</v>
      </c>
      <c r="F1616">
        <v>9195.82</v>
      </c>
      <c r="G1616">
        <v>2730.94</v>
      </c>
      <c r="H1616" t="str">
        <f>VLOOKUP(myynnit[[#This Row],[TuoteID]],ohjaus!$A$4:$B$20,2,FALSE)</f>
        <v>Lepotuoli</v>
      </c>
    </row>
    <row r="1617" spans="1:8" x14ac:dyDescent="0.35">
      <c r="A1617" t="s">
        <v>38</v>
      </c>
      <c r="B1617">
        <v>2013</v>
      </c>
      <c r="C1617">
        <v>12</v>
      </c>
      <c r="D1617">
        <v>12184</v>
      </c>
      <c r="E1617">
        <v>85</v>
      </c>
      <c r="F1617">
        <v>11435.74</v>
      </c>
      <c r="G1617">
        <v>6319.84</v>
      </c>
      <c r="H1617" t="str">
        <f>VLOOKUP(myynnit[[#This Row],[TuoteID]],ohjaus!$A$4:$B$20,2,FALSE)</f>
        <v>Rahi</v>
      </c>
    </row>
    <row r="1618" spans="1:8" x14ac:dyDescent="0.35">
      <c r="A1618" t="s">
        <v>38</v>
      </c>
      <c r="B1618">
        <v>2013</v>
      </c>
      <c r="C1618">
        <v>12</v>
      </c>
      <c r="D1618">
        <v>12622</v>
      </c>
      <c r="E1618">
        <v>25</v>
      </c>
      <c r="F1618">
        <v>5664.88</v>
      </c>
      <c r="G1618">
        <v>2362.2600000000002</v>
      </c>
      <c r="H1618" t="str">
        <f>VLOOKUP(myynnit[[#This Row],[TuoteID]],ohjaus!$A$4:$B$20,2,FALSE)</f>
        <v>Pianotuoli</v>
      </c>
    </row>
    <row r="1619" spans="1:8" x14ac:dyDescent="0.35">
      <c r="A1619" t="s">
        <v>38</v>
      </c>
      <c r="B1619">
        <v>2013</v>
      </c>
      <c r="C1619">
        <v>12</v>
      </c>
      <c r="D1619">
        <v>13527</v>
      </c>
      <c r="E1619">
        <v>237</v>
      </c>
      <c r="F1619">
        <v>35069.83</v>
      </c>
      <c r="G1619">
        <v>6760.8</v>
      </c>
      <c r="H1619" t="str">
        <f>VLOOKUP(myynnit[[#This Row],[TuoteID]],ohjaus!$A$4:$B$20,2,FALSE)</f>
        <v>Pinnatuoli</v>
      </c>
    </row>
    <row r="1620" spans="1:8" x14ac:dyDescent="0.35">
      <c r="A1620" t="s">
        <v>38</v>
      </c>
      <c r="B1620">
        <v>2013</v>
      </c>
      <c r="C1620">
        <v>12</v>
      </c>
      <c r="D1620">
        <v>13618</v>
      </c>
      <c r="E1620">
        <v>7</v>
      </c>
      <c r="F1620">
        <v>2886.59</v>
      </c>
      <c r="G1620">
        <v>1364.91</v>
      </c>
      <c r="H1620" t="str">
        <f>VLOOKUP(myynnit[[#This Row],[TuoteID]],ohjaus!$A$4:$B$20,2,FALSE)</f>
        <v>Pianotuoli</v>
      </c>
    </row>
    <row r="1621" spans="1:8" x14ac:dyDescent="0.35">
      <c r="A1621" t="s">
        <v>38</v>
      </c>
      <c r="B1621">
        <v>2013</v>
      </c>
      <c r="C1621">
        <v>12</v>
      </c>
      <c r="D1621">
        <v>16024</v>
      </c>
      <c r="E1621">
        <v>203</v>
      </c>
      <c r="F1621">
        <v>88340.86</v>
      </c>
      <c r="G1621">
        <v>20632</v>
      </c>
      <c r="H1621" t="str">
        <f>VLOOKUP(myynnit[[#This Row],[TuoteID]],ohjaus!$A$4:$B$20,2,FALSE)</f>
        <v>Työtuoli</v>
      </c>
    </row>
    <row r="1622" spans="1:8" x14ac:dyDescent="0.35">
      <c r="A1622" t="s">
        <v>38</v>
      </c>
      <c r="B1622">
        <v>2013</v>
      </c>
      <c r="C1622">
        <v>12</v>
      </c>
      <c r="D1622">
        <v>16650</v>
      </c>
      <c r="E1622">
        <v>54</v>
      </c>
      <c r="F1622">
        <v>9595.9599999999991</v>
      </c>
      <c r="G1622">
        <v>4721.6899999999996</v>
      </c>
      <c r="H1622" t="str">
        <f>VLOOKUP(myynnit[[#This Row],[TuoteID]],ohjaus!$A$4:$B$20,2,FALSE)</f>
        <v>Rahi</v>
      </c>
    </row>
    <row r="1623" spans="1:8" x14ac:dyDescent="0.35">
      <c r="A1623" t="s">
        <v>38</v>
      </c>
      <c r="B1623">
        <v>2013</v>
      </c>
      <c r="C1623">
        <v>12</v>
      </c>
      <c r="D1623">
        <v>17892</v>
      </c>
      <c r="E1623">
        <v>58</v>
      </c>
      <c r="F1623">
        <v>8961.4599999999991</v>
      </c>
      <c r="G1623">
        <v>2016.01</v>
      </c>
      <c r="H1623" t="str">
        <f>VLOOKUP(myynnit[[#This Row],[TuoteID]],ohjaus!$A$4:$B$20,2,FALSE)</f>
        <v>Lepotuoli</v>
      </c>
    </row>
    <row r="1624" spans="1:8" x14ac:dyDescent="0.35">
      <c r="A1624" t="s">
        <v>38</v>
      </c>
      <c r="B1624">
        <v>2013</v>
      </c>
      <c r="C1624">
        <v>12</v>
      </c>
      <c r="D1624">
        <v>18342</v>
      </c>
      <c r="E1624">
        <v>111</v>
      </c>
      <c r="F1624">
        <v>85855.46</v>
      </c>
      <c r="G1624">
        <v>22643.58</v>
      </c>
      <c r="H1624" t="str">
        <f>VLOOKUP(myynnit[[#This Row],[TuoteID]],ohjaus!$A$4:$B$20,2,FALSE)</f>
        <v>Työtuoli</v>
      </c>
    </row>
    <row r="1625" spans="1:8" x14ac:dyDescent="0.35">
      <c r="A1625" t="s">
        <v>38</v>
      </c>
      <c r="B1625">
        <v>2013</v>
      </c>
      <c r="C1625">
        <v>12</v>
      </c>
      <c r="D1625">
        <v>20177</v>
      </c>
      <c r="E1625">
        <v>85</v>
      </c>
      <c r="F1625">
        <v>9712.98</v>
      </c>
      <c r="G1625">
        <v>3459.87</v>
      </c>
      <c r="H1625" t="str">
        <f>VLOOKUP(myynnit[[#This Row],[TuoteID]],ohjaus!$A$4:$B$20,2,FALSE)</f>
        <v>Säkkituoli</v>
      </c>
    </row>
    <row r="1626" spans="1:8" x14ac:dyDescent="0.35">
      <c r="A1626" t="s">
        <v>38</v>
      </c>
      <c r="B1626">
        <v>2013</v>
      </c>
      <c r="C1626">
        <v>12</v>
      </c>
      <c r="D1626">
        <v>21179</v>
      </c>
      <c r="E1626">
        <v>24</v>
      </c>
      <c r="F1626">
        <v>3518.52</v>
      </c>
      <c r="G1626">
        <v>1934.54</v>
      </c>
      <c r="H1626" t="str">
        <f>VLOOKUP(myynnit[[#This Row],[TuoteID]],ohjaus!$A$4:$B$20,2,FALSE)</f>
        <v>Rahi</v>
      </c>
    </row>
    <row r="1627" spans="1:8" x14ac:dyDescent="0.35">
      <c r="A1627" t="s">
        <v>38</v>
      </c>
      <c r="B1627">
        <v>2013</v>
      </c>
      <c r="C1627">
        <v>12</v>
      </c>
      <c r="D1627">
        <v>21260</v>
      </c>
      <c r="E1627">
        <v>63</v>
      </c>
      <c r="F1627">
        <v>11979.97</v>
      </c>
      <c r="G1627">
        <v>3341.27</v>
      </c>
      <c r="H1627" t="str">
        <f>VLOOKUP(myynnit[[#This Row],[TuoteID]],ohjaus!$A$4:$B$20,2,FALSE)</f>
        <v>Lepotuoli</v>
      </c>
    </row>
    <row r="1628" spans="1:8" x14ac:dyDescent="0.35">
      <c r="A1628" t="s">
        <v>38</v>
      </c>
      <c r="B1628">
        <v>2013</v>
      </c>
      <c r="C1628">
        <v>12</v>
      </c>
      <c r="D1628">
        <v>22317</v>
      </c>
      <c r="E1628">
        <v>46</v>
      </c>
      <c r="F1628">
        <v>4605.1400000000003</v>
      </c>
      <c r="G1628">
        <v>1777.55</v>
      </c>
      <c r="H1628" t="str">
        <f>VLOOKUP(myynnit[[#This Row],[TuoteID]],ohjaus!$A$4:$B$20,2,FALSE)</f>
        <v>Säkkituoli</v>
      </c>
    </row>
    <row r="1629" spans="1:8" x14ac:dyDescent="0.35">
      <c r="A1629" t="s">
        <v>38</v>
      </c>
      <c r="B1629">
        <v>2013</v>
      </c>
      <c r="C1629">
        <v>12</v>
      </c>
      <c r="D1629">
        <v>22940</v>
      </c>
      <c r="E1629">
        <v>630</v>
      </c>
      <c r="F1629">
        <v>84379.88</v>
      </c>
      <c r="G1629">
        <v>17450.259999999998</v>
      </c>
      <c r="H1629" t="str">
        <f>VLOOKUP(myynnit[[#This Row],[TuoteID]],ohjaus!$A$4:$B$20,2,FALSE)</f>
        <v>Pinnatuoli</v>
      </c>
    </row>
    <row r="1630" spans="1:8" x14ac:dyDescent="0.35">
      <c r="A1630" t="s">
        <v>38</v>
      </c>
      <c r="B1630">
        <v>2013</v>
      </c>
      <c r="C1630">
        <v>12</v>
      </c>
      <c r="D1630">
        <v>23178</v>
      </c>
      <c r="E1630">
        <v>107</v>
      </c>
      <c r="F1630">
        <v>20172.169999999998</v>
      </c>
      <c r="G1630">
        <v>4164</v>
      </c>
      <c r="H1630" t="str">
        <f>VLOOKUP(myynnit[[#This Row],[TuoteID]],ohjaus!$A$4:$B$20,2,FALSE)</f>
        <v>Pinnatuoli</v>
      </c>
    </row>
    <row r="1631" spans="1:8" x14ac:dyDescent="0.35">
      <c r="A1631" t="s">
        <v>38</v>
      </c>
      <c r="B1631">
        <v>2013</v>
      </c>
      <c r="C1631">
        <v>12</v>
      </c>
      <c r="D1631">
        <v>23600</v>
      </c>
      <c r="E1631">
        <v>1342</v>
      </c>
      <c r="F1631">
        <v>158147.37</v>
      </c>
      <c r="G1631">
        <v>41008.39</v>
      </c>
      <c r="H1631" t="str">
        <f>VLOOKUP(myynnit[[#This Row],[TuoteID]],ohjaus!$A$4:$B$20,2,FALSE)</f>
        <v>Pinnatuoli</v>
      </c>
    </row>
    <row r="1632" spans="1:8" x14ac:dyDescent="0.35">
      <c r="A1632" t="s">
        <v>38</v>
      </c>
      <c r="B1632">
        <v>2013</v>
      </c>
      <c r="C1632">
        <v>12</v>
      </c>
      <c r="D1632">
        <v>23756</v>
      </c>
      <c r="E1632">
        <v>145</v>
      </c>
      <c r="F1632">
        <v>24887.39</v>
      </c>
      <c r="G1632">
        <v>12114.45</v>
      </c>
      <c r="H1632" t="str">
        <f>VLOOKUP(myynnit[[#This Row],[TuoteID]],ohjaus!$A$4:$B$20,2,FALSE)</f>
        <v>Pianotuoli</v>
      </c>
    </row>
    <row r="1633" spans="1:8" x14ac:dyDescent="0.35">
      <c r="A1633" t="s">
        <v>38</v>
      </c>
      <c r="B1633">
        <v>2013</v>
      </c>
      <c r="C1633">
        <v>12</v>
      </c>
      <c r="D1633">
        <v>24326</v>
      </c>
      <c r="E1633">
        <v>108</v>
      </c>
      <c r="F1633">
        <v>15864.11</v>
      </c>
      <c r="G1633">
        <v>4480.17</v>
      </c>
      <c r="H1633" t="str">
        <f>VLOOKUP(myynnit[[#This Row],[TuoteID]],ohjaus!$A$4:$B$20,2,FALSE)</f>
        <v>Lepotuoli</v>
      </c>
    </row>
    <row r="1634" spans="1:8" x14ac:dyDescent="0.35">
      <c r="A1634" t="s">
        <v>37</v>
      </c>
      <c r="B1634">
        <v>2014</v>
      </c>
      <c r="C1634">
        <v>1</v>
      </c>
      <c r="D1634">
        <v>12184</v>
      </c>
      <c r="E1634">
        <v>72</v>
      </c>
      <c r="F1634">
        <v>10293.280000000001</v>
      </c>
      <c r="G1634">
        <v>4684.96</v>
      </c>
      <c r="H1634" t="str">
        <f>VLOOKUP(myynnit[[#This Row],[TuoteID]],ohjaus!$A$4:$B$20,2,FALSE)</f>
        <v>Rahi</v>
      </c>
    </row>
    <row r="1635" spans="1:8" x14ac:dyDescent="0.35">
      <c r="A1635" t="s">
        <v>37</v>
      </c>
      <c r="B1635">
        <v>2014</v>
      </c>
      <c r="C1635">
        <v>1</v>
      </c>
      <c r="D1635">
        <v>12622</v>
      </c>
      <c r="E1635">
        <v>59</v>
      </c>
      <c r="F1635">
        <v>16883.07</v>
      </c>
      <c r="G1635">
        <v>7877.02</v>
      </c>
      <c r="H1635" t="str">
        <f>VLOOKUP(myynnit[[#This Row],[TuoteID]],ohjaus!$A$4:$B$20,2,FALSE)</f>
        <v>Pianotuoli</v>
      </c>
    </row>
    <row r="1636" spans="1:8" x14ac:dyDescent="0.35">
      <c r="A1636" t="s">
        <v>37</v>
      </c>
      <c r="B1636">
        <v>2014</v>
      </c>
      <c r="C1636">
        <v>1</v>
      </c>
      <c r="D1636">
        <v>13527</v>
      </c>
      <c r="E1636">
        <v>475</v>
      </c>
      <c r="F1636">
        <v>81583.839999999997</v>
      </c>
      <c r="G1636">
        <v>16175.96</v>
      </c>
      <c r="H1636" t="str">
        <f>VLOOKUP(myynnit[[#This Row],[TuoteID]],ohjaus!$A$4:$B$20,2,FALSE)</f>
        <v>Pinnatuoli</v>
      </c>
    </row>
    <row r="1637" spans="1:8" x14ac:dyDescent="0.35">
      <c r="A1637" t="s">
        <v>37</v>
      </c>
      <c r="B1637">
        <v>2014</v>
      </c>
      <c r="C1637">
        <v>1</v>
      </c>
      <c r="D1637">
        <v>13618</v>
      </c>
      <c r="E1637">
        <v>30</v>
      </c>
      <c r="F1637">
        <v>13207.72</v>
      </c>
      <c r="G1637">
        <v>6605.36</v>
      </c>
      <c r="H1637" t="str">
        <f>VLOOKUP(myynnit[[#This Row],[TuoteID]],ohjaus!$A$4:$B$20,2,FALSE)</f>
        <v>Pianotuoli</v>
      </c>
    </row>
    <row r="1638" spans="1:8" x14ac:dyDescent="0.35">
      <c r="A1638" t="s">
        <v>37</v>
      </c>
      <c r="B1638">
        <v>2014</v>
      </c>
      <c r="C1638">
        <v>1</v>
      </c>
      <c r="D1638">
        <v>16024</v>
      </c>
      <c r="E1638">
        <v>118</v>
      </c>
      <c r="F1638">
        <v>56916</v>
      </c>
      <c r="G1638">
        <v>17498.099999999999</v>
      </c>
      <c r="H1638" t="str">
        <f>VLOOKUP(myynnit[[#This Row],[TuoteID]],ohjaus!$A$4:$B$20,2,FALSE)</f>
        <v>Työtuoli</v>
      </c>
    </row>
    <row r="1639" spans="1:8" x14ac:dyDescent="0.35">
      <c r="A1639" t="s">
        <v>37</v>
      </c>
      <c r="B1639">
        <v>2014</v>
      </c>
      <c r="C1639">
        <v>1</v>
      </c>
      <c r="D1639">
        <v>16650</v>
      </c>
      <c r="E1639">
        <v>55</v>
      </c>
      <c r="F1639">
        <v>8651.4</v>
      </c>
      <c r="G1639">
        <v>4080.57</v>
      </c>
      <c r="H1639" t="str">
        <f>VLOOKUP(myynnit[[#This Row],[TuoteID]],ohjaus!$A$4:$B$20,2,FALSE)</f>
        <v>Rahi</v>
      </c>
    </row>
    <row r="1640" spans="1:8" x14ac:dyDescent="0.35">
      <c r="A1640" t="s">
        <v>37</v>
      </c>
      <c r="B1640">
        <v>2014</v>
      </c>
      <c r="C1640">
        <v>1</v>
      </c>
      <c r="D1640">
        <v>17892</v>
      </c>
      <c r="E1640">
        <v>101</v>
      </c>
      <c r="F1640">
        <v>14796.01</v>
      </c>
      <c r="G1640">
        <v>3891.46</v>
      </c>
      <c r="H1640" t="str">
        <f>VLOOKUP(myynnit[[#This Row],[TuoteID]],ohjaus!$A$4:$B$20,2,FALSE)</f>
        <v>Lepotuoli</v>
      </c>
    </row>
    <row r="1641" spans="1:8" x14ac:dyDescent="0.35">
      <c r="A1641" t="s">
        <v>37</v>
      </c>
      <c r="B1641">
        <v>2014</v>
      </c>
      <c r="C1641">
        <v>1</v>
      </c>
      <c r="D1641">
        <v>18342</v>
      </c>
      <c r="E1641">
        <v>171</v>
      </c>
      <c r="F1641">
        <v>158716.96</v>
      </c>
      <c r="G1641">
        <v>46553.71</v>
      </c>
      <c r="H1641" t="str">
        <f>VLOOKUP(myynnit[[#This Row],[TuoteID]],ohjaus!$A$4:$B$20,2,FALSE)</f>
        <v>Työtuoli</v>
      </c>
    </row>
    <row r="1642" spans="1:8" x14ac:dyDescent="0.35">
      <c r="A1642" t="s">
        <v>37</v>
      </c>
      <c r="B1642">
        <v>2014</v>
      </c>
      <c r="C1642">
        <v>1</v>
      </c>
      <c r="D1642">
        <v>20177</v>
      </c>
      <c r="E1642">
        <v>129</v>
      </c>
      <c r="F1642">
        <v>12847.47</v>
      </c>
      <c r="G1642">
        <v>4224.5200000000004</v>
      </c>
      <c r="H1642" t="str">
        <f>VLOOKUP(myynnit[[#This Row],[TuoteID]],ohjaus!$A$4:$B$20,2,FALSE)</f>
        <v>Säkkituoli</v>
      </c>
    </row>
    <row r="1643" spans="1:8" x14ac:dyDescent="0.35">
      <c r="A1643" t="s">
        <v>37</v>
      </c>
      <c r="B1643">
        <v>2014</v>
      </c>
      <c r="C1643">
        <v>1</v>
      </c>
      <c r="D1643">
        <v>21179</v>
      </c>
      <c r="E1643">
        <v>61</v>
      </c>
      <c r="F1643">
        <v>8329.08</v>
      </c>
      <c r="G1643">
        <v>4488.2700000000004</v>
      </c>
      <c r="H1643" t="str">
        <f>VLOOKUP(myynnit[[#This Row],[TuoteID]],ohjaus!$A$4:$B$20,2,FALSE)</f>
        <v>Rahi</v>
      </c>
    </row>
    <row r="1644" spans="1:8" x14ac:dyDescent="0.35">
      <c r="A1644" t="s">
        <v>37</v>
      </c>
      <c r="B1644">
        <v>2014</v>
      </c>
      <c r="C1644">
        <v>1</v>
      </c>
      <c r="D1644">
        <v>21260</v>
      </c>
      <c r="E1644">
        <v>110</v>
      </c>
      <c r="F1644">
        <v>21839.87</v>
      </c>
      <c r="G1644">
        <v>6128.3</v>
      </c>
      <c r="H1644" t="str">
        <f>VLOOKUP(myynnit[[#This Row],[TuoteID]],ohjaus!$A$4:$B$20,2,FALSE)</f>
        <v>Lepotuoli</v>
      </c>
    </row>
    <row r="1645" spans="1:8" x14ac:dyDescent="0.35">
      <c r="A1645" t="s">
        <v>37</v>
      </c>
      <c r="B1645">
        <v>2014</v>
      </c>
      <c r="C1645">
        <v>1</v>
      </c>
      <c r="D1645">
        <v>22317</v>
      </c>
      <c r="E1645">
        <v>79</v>
      </c>
      <c r="F1645">
        <v>6887.13</v>
      </c>
      <c r="G1645">
        <v>2951.42</v>
      </c>
      <c r="H1645" t="str">
        <f>VLOOKUP(myynnit[[#This Row],[TuoteID]],ohjaus!$A$4:$B$20,2,FALSE)</f>
        <v>Säkkituoli</v>
      </c>
    </row>
    <row r="1646" spans="1:8" x14ac:dyDescent="0.35">
      <c r="A1646" t="s">
        <v>37</v>
      </c>
      <c r="B1646">
        <v>2014</v>
      </c>
      <c r="C1646">
        <v>1</v>
      </c>
      <c r="D1646">
        <v>22940</v>
      </c>
      <c r="E1646">
        <v>844</v>
      </c>
      <c r="F1646">
        <v>109384.92</v>
      </c>
      <c r="G1646">
        <v>20909.27</v>
      </c>
      <c r="H1646" t="str">
        <f>VLOOKUP(myynnit[[#This Row],[TuoteID]],ohjaus!$A$4:$B$20,2,FALSE)</f>
        <v>Pinnatuoli</v>
      </c>
    </row>
    <row r="1647" spans="1:8" x14ac:dyDescent="0.35">
      <c r="A1647" t="s">
        <v>37</v>
      </c>
      <c r="B1647">
        <v>2014</v>
      </c>
      <c r="C1647">
        <v>1</v>
      </c>
      <c r="D1647">
        <v>23178</v>
      </c>
      <c r="E1647">
        <v>182</v>
      </c>
      <c r="F1647">
        <v>30692</v>
      </c>
      <c r="G1647">
        <v>6010.83</v>
      </c>
      <c r="H1647" t="str">
        <f>VLOOKUP(myynnit[[#This Row],[TuoteID]],ohjaus!$A$4:$B$20,2,FALSE)</f>
        <v>Pinnatuoli</v>
      </c>
    </row>
    <row r="1648" spans="1:8" x14ac:dyDescent="0.35">
      <c r="A1648" t="s">
        <v>37</v>
      </c>
      <c r="B1648">
        <v>2014</v>
      </c>
      <c r="C1648">
        <v>1</v>
      </c>
      <c r="D1648">
        <v>23600</v>
      </c>
      <c r="E1648">
        <v>528</v>
      </c>
      <c r="F1648">
        <v>56346.11</v>
      </c>
      <c r="G1648">
        <v>12551.13</v>
      </c>
      <c r="H1648" t="str">
        <f>VLOOKUP(myynnit[[#This Row],[TuoteID]],ohjaus!$A$4:$B$20,2,FALSE)</f>
        <v>Pinnatuoli</v>
      </c>
    </row>
    <row r="1649" spans="1:8" x14ac:dyDescent="0.35">
      <c r="A1649" t="s">
        <v>37</v>
      </c>
      <c r="B1649">
        <v>2014</v>
      </c>
      <c r="C1649">
        <v>1</v>
      </c>
      <c r="D1649">
        <v>23756</v>
      </c>
      <c r="E1649">
        <v>50</v>
      </c>
      <c r="F1649">
        <v>7696.49</v>
      </c>
      <c r="G1649">
        <v>3554.56</v>
      </c>
      <c r="H1649" t="str">
        <f>VLOOKUP(myynnit[[#This Row],[TuoteID]],ohjaus!$A$4:$B$20,2,FALSE)</f>
        <v>Pianotuoli</v>
      </c>
    </row>
    <row r="1650" spans="1:8" x14ac:dyDescent="0.35">
      <c r="A1650" t="s">
        <v>37</v>
      </c>
      <c r="B1650">
        <v>2014</v>
      </c>
      <c r="C1650">
        <v>1</v>
      </c>
      <c r="D1650">
        <v>24326</v>
      </c>
      <c r="E1650">
        <v>98</v>
      </c>
      <c r="F1650">
        <v>14277.3</v>
      </c>
      <c r="G1650">
        <v>3946.22</v>
      </c>
      <c r="H1650" t="str">
        <f>VLOOKUP(myynnit[[#This Row],[TuoteID]],ohjaus!$A$4:$B$20,2,FALSE)</f>
        <v>Lepotuoli</v>
      </c>
    </row>
    <row r="1651" spans="1:8" x14ac:dyDescent="0.35">
      <c r="A1651" t="s">
        <v>40</v>
      </c>
      <c r="B1651">
        <v>2014</v>
      </c>
      <c r="C1651">
        <v>1</v>
      </c>
      <c r="D1651">
        <v>12184</v>
      </c>
      <c r="E1651">
        <v>21</v>
      </c>
      <c r="F1651">
        <v>2543.06</v>
      </c>
      <c r="G1651">
        <v>1130.56</v>
      </c>
      <c r="H1651" t="str">
        <f>VLOOKUP(myynnit[[#This Row],[TuoteID]],ohjaus!$A$4:$B$20,2,FALSE)</f>
        <v>Rahi</v>
      </c>
    </row>
    <row r="1652" spans="1:8" x14ac:dyDescent="0.35">
      <c r="A1652" t="s">
        <v>40</v>
      </c>
      <c r="B1652">
        <v>2014</v>
      </c>
      <c r="C1652">
        <v>1</v>
      </c>
      <c r="D1652">
        <v>12622</v>
      </c>
      <c r="E1652">
        <v>12</v>
      </c>
      <c r="F1652">
        <v>3086.04</v>
      </c>
      <c r="G1652">
        <v>1194.54</v>
      </c>
      <c r="H1652" t="str">
        <f>VLOOKUP(myynnit[[#This Row],[TuoteID]],ohjaus!$A$4:$B$20,2,FALSE)</f>
        <v>Pianotuoli</v>
      </c>
    </row>
    <row r="1653" spans="1:8" x14ac:dyDescent="0.35">
      <c r="A1653" t="s">
        <v>40</v>
      </c>
      <c r="B1653">
        <v>2014</v>
      </c>
      <c r="C1653">
        <v>1</v>
      </c>
      <c r="D1653">
        <v>13527</v>
      </c>
      <c r="E1653">
        <v>147</v>
      </c>
      <c r="F1653">
        <v>23686.11</v>
      </c>
      <c r="G1653">
        <v>3968.69</v>
      </c>
      <c r="H1653" t="str">
        <f>VLOOKUP(myynnit[[#This Row],[TuoteID]],ohjaus!$A$4:$B$20,2,FALSE)</f>
        <v>Pinnatuoli</v>
      </c>
    </row>
    <row r="1654" spans="1:8" x14ac:dyDescent="0.35">
      <c r="A1654" t="s">
        <v>40</v>
      </c>
      <c r="B1654">
        <v>2014</v>
      </c>
      <c r="C1654">
        <v>1</v>
      </c>
      <c r="D1654">
        <v>13618</v>
      </c>
      <c r="E1654">
        <v>10</v>
      </c>
      <c r="F1654">
        <v>4148.47</v>
      </c>
      <c r="G1654">
        <v>1589.35</v>
      </c>
      <c r="H1654" t="str">
        <f>VLOOKUP(myynnit[[#This Row],[TuoteID]],ohjaus!$A$4:$B$20,2,FALSE)</f>
        <v>Pianotuoli</v>
      </c>
    </row>
    <row r="1655" spans="1:8" x14ac:dyDescent="0.35">
      <c r="A1655" t="s">
        <v>40</v>
      </c>
      <c r="B1655">
        <v>2014</v>
      </c>
      <c r="C1655">
        <v>1</v>
      </c>
      <c r="D1655">
        <v>16024</v>
      </c>
      <c r="E1655">
        <v>87</v>
      </c>
      <c r="F1655">
        <v>42671.24</v>
      </c>
      <c r="G1655">
        <v>14419.63</v>
      </c>
      <c r="H1655" t="str">
        <f>VLOOKUP(myynnit[[#This Row],[TuoteID]],ohjaus!$A$4:$B$20,2,FALSE)</f>
        <v>Työtuoli</v>
      </c>
    </row>
    <row r="1656" spans="1:8" x14ac:dyDescent="0.35">
      <c r="A1656" t="s">
        <v>40</v>
      </c>
      <c r="B1656">
        <v>2014</v>
      </c>
      <c r="C1656">
        <v>1</v>
      </c>
      <c r="D1656">
        <v>16650</v>
      </c>
      <c r="E1656">
        <v>32</v>
      </c>
      <c r="F1656">
        <v>5749.04</v>
      </c>
      <c r="G1656">
        <v>3885.57</v>
      </c>
      <c r="H1656" t="str">
        <f>VLOOKUP(myynnit[[#This Row],[TuoteID]],ohjaus!$A$4:$B$20,2,FALSE)</f>
        <v>Rahi</v>
      </c>
    </row>
    <row r="1657" spans="1:8" x14ac:dyDescent="0.35">
      <c r="A1657" t="s">
        <v>40</v>
      </c>
      <c r="B1657">
        <v>2014</v>
      </c>
      <c r="C1657">
        <v>1</v>
      </c>
      <c r="D1657">
        <v>17892</v>
      </c>
      <c r="E1657">
        <v>63</v>
      </c>
      <c r="F1657">
        <v>9346.36</v>
      </c>
      <c r="G1657">
        <v>2595.38</v>
      </c>
      <c r="H1657" t="str">
        <f>VLOOKUP(myynnit[[#This Row],[TuoteID]],ohjaus!$A$4:$B$20,2,FALSE)</f>
        <v>Lepotuoli</v>
      </c>
    </row>
    <row r="1658" spans="1:8" x14ac:dyDescent="0.35">
      <c r="A1658" t="s">
        <v>40</v>
      </c>
      <c r="B1658">
        <v>2014</v>
      </c>
      <c r="C1658">
        <v>1</v>
      </c>
      <c r="D1658">
        <v>18342</v>
      </c>
      <c r="E1658">
        <v>24</v>
      </c>
      <c r="F1658">
        <v>21878.95</v>
      </c>
      <c r="G1658">
        <v>7111.04</v>
      </c>
      <c r="H1658" t="str">
        <f>VLOOKUP(myynnit[[#This Row],[TuoteID]],ohjaus!$A$4:$B$20,2,FALSE)</f>
        <v>Työtuoli</v>
      </c>
    </row>
    <row r="1659" spans="1:8" x14ac:dyDescent="0.35">
      <c r="A1659" t="s">
        <v>40</v>
      </c>
      <c r="B1659">
        <v>2014</v>
      </c>
      <c r="C1659">
        <v>1</v>
      </c>
      <c r="D1659">
        <v>20177</v>
      </c>
      <c r="E1659">
        <v>30</v>
      </c>
      <c r="F1659">
        <v>2613.4499999999998</v>
      </c>
      <c r="G1659">
        <v>1014.47</v>
      </c>
      <c r="H1659" t="str">
        <f>VLOOKUP(myynnit[[#This Row],[TuoteID]],ohjaus!$A$4:$B$20,2,FALSE)</f>
        <v>Säkkituoli</v>
      </c>
    </row>
    <row r="1660" spans="1:8" x14ac:dyDescent="0.35">
      <c r="A1660" t="s">
        <v>40</v>
      </c>
      <c r="B1660">
        <v>2014</v>
      </c>
      <c r="C1660">
        <v>1</v>
      </c>
      <c r="D1660">
        <v>21179</v>
      </c>
      <c r="E1660">
        <v>20</v>
      </c>
      <c r="F1660">
        <v>2383</v>
      </c>
      <c r="G1660">
        <v>1162.48</v>
      </c>
      <c r="H1660" t="str">
        <f>VLOOKUP(myynnit[[#This Row],[TuoteID]],ohjaus!$A$4:$B$20,2,FALSE)</f>
        <v>Rahi</v>
      </c>
    </row>
    <row r="1661" spans="1:8" x14ac:dyDescent="0.35">
      <c r="A1661" t="s">
        <v>40</v>
      </c>
      <c r="B1661">
        <v>2014</v>
      </c>
      <c r="C1661">
        <v>1</v>
      </c>
      <c r="D1661">
        <v>21260</v>
      </c>
      <c r="E1661">
        <v>25</v>
      </c>
      <c r="F1661">
        <v>5041.4799999999996</v>
      </c>
      <c r="G1661">
        <v>1267.96</v>
      </c>
      <c r="H1661" t="str">
        <f>VLOOKUP(myynnit[[#This Row],[TuoteID]],ohjaus!$A$4:$B$20,2,FALSE)</f>
        <v>Lepotuoli</v>
      </c>
    </row>
    <row r="1662" spans="1:8" x14ac:dyDescent="0.35">
      <c r="A1662" t="s">
        <v>40</v>
      </c>
      <c r="B1662">
        <v>2014</v>
      </c>
      <c r="C1662">
        <v>1</v>
      </c>
      <c r="D1662">
        <v>22317</v>
      </c>
      <c r="E1662">
        <v>13</v>
      </c>
      <c r="F1662">
        <v>1003.89</v>
      </c>
      <c r="G1662">
        <v>486.58</v>
      </c>
      <c r="H1662" t="str">
        <f>VLOOKUP(myynnit[[#This Row],[TuoteID]],ohjaus!$A$4:$B$20,2,FALSE)</f>
        <v>Säkkituoli</v>
      </c>
    </row>
    <row r="1663" spans="1:8" x14ac:dyDescent="0.35">
      <c r="A1663" t="s">
        <v>40</v>
      </c>
      <c r="B1663">
        <v>2014</v>
      </c>
      <c r="C1663">
        <v>1</v>
      </c>
      <c r="D1663">
        <v>22940</v>
      </c>
      <c r="E1663">
        <v>231</v>
      </c>
      <c r="F1663">
        <v>30335.57</v>
      </c>
      <c r="G1663">
        <v>7413.92</v>
      </c>
      <c r="H1663" t="str">
        <f>VLOOKUP(myynnit[[#This Row],[TuoteID]],ohjaus!$A$4:$B$20,2,FALSE)</f>
        <v>Pinnatuoli</v>
      </c>
    </row>
    <row r="1664" spans="1:8" x14ac:dyDescent="0.35">
      <c r="A1664" t="s">
        <v>40</v>
      </c>
      <c r="B1664">
        <v>2014</v>
      </c>
      <c r="C1664">
        <v>1</v>
      </c>
      <c r="D1664">
        <v>23178</v>
      </c>
      <c r="E1664">
        <v>135</v>
      </c>
      <c r="F1664">
        <v>25532.49</v>
      </c>
      <c r="G1664">
        <v>7294.84</v>
      </c>
      <c r="H1664" t="str">
        <f>VLOOKUP(myynnit[[#This Row],[TuoteID]],ohjaus!$A$4:$B$20,2,FALSE)</f>
        <v>Pinnatuoli</v>
      </c>
    </row>
    <row r="1665" spans="1:8" x14ac:dyDescent="0.35">
      <c r="A1665" t="s">
        <v>40</v>
      </c>
      <c r="B1665">
        <v>2014</v>
      </c>
      <c r="C1665">
        <v>1</v>
      </c>
      <c r="D1665">
        <v>23600</v>
      </c>
      <c r="E1665">
        <v>778</v>
      </c>
      <c r="F1665">
        <v>82423.149999999994</v>
      </c>
      <c r="G1665">
        <v>22050.39</v>
      </c>
      <c r="H1665" t="str">
        <f>VLOOKUP(myynnit[[#This Row],[TuoteID]],ohjaus!$A$4:$B$20,2,FALSE)</f>
        <v>Pinnatuoli</v>
      </c>
    </row>
    <row r="1666" spans="1:8" x14ac:dyDescent="0.35">
      <c r="A1666" t="s">
        <v>40</v>
      </c>
      <c r="B1666">
        <v>2014</v>
      </c>
      <c r="C1666">
        <v>1</v>
      </c>
      <c r="D1666">
        <v>23756</v>
      </c>
      <c r="E1666">
        <v>81</v>
      </c>
      <c r="F1666">
        <v>12866.94</v>
      </c>
      <c r="G1666">
        <v>4856.2299999999996</v>
      </c>
      <c r="H1666" t="str">
        <f>VLOOKUP(myynnit[[#This Row],[TuoteID]],ohjaus!$A$4:$B$20,2,FALSE)</f>
        <v>Pianotuoli</v>
      </c>
    </row>
    <row r="1667" spans="1:8" x14ac:dyDescent="0.35">
      <c r="A1667" t="s">
        <v>40</v>
      </c>
      <c r="B1667">
        <v>2014</v>
      </c>
      <c r="C1667">
        <v>1</v>
      </c>
      <c r="D1667">
        <v>24326</v>
      </c>
      <c r="E1667">
        <v>30</v>
      </c>
      <c r="F1667">
        <v>3818.93</v>
      </c>
      <c r="G1667">
        <v>1248.71</v>
      </c>
      <c r="H1667" t="str">
        <f>VLOOKUP(myynnit[[#This Row],[TuoteID]],ohjaus!$A$4:$B$20,2,FALSE)</f>
        <v>Lepotuoli</v>
      </c>
    </row>
    <row r="1668" spans="1:8" x14ac:dyDescent="0.35">
      <c r="A1668" t="s">
        <v>39</v>
      </c>
      <c r="B1668">
        <v>2014</v>
      </c>
      <c r="C1668">
        <v>1</v>
      </c>
      <c r="D1668">
        <v>12184</v>
      </c>
      <c r="E1668">
        <v>99</v>
      </c>
      <c r="F1668">
        <v>12749.41</v>
      </c>
      <c r="G1668">
        <v>7783.7</v>
      </c>
      <c r="H1668" t="str">
        <f>VLOOKUP(myynnit[[#This Row],[TuoteID]],ohjaus!$A$4:$B$20,2,FALSE)</f>
        <v>Rahi</v>
      </c>
    </row>
    <row r="1669" spans="1:8" x14ac:dyDescent="0.35">
      <c r="A1669" t="s">
        <v>39</v>
      </c>
      <c r="B1669">
        <v>2014</v>
      </c>
      <c r="C1669">
        <v>1</v>
      </c>
      <c r="D1669">
        <v>12622</v>
      </c>
      <c r="E1669">
        <v>46</v>
      </c>
      <c r="F1669">
        <v>12621.32</v>
      </c>
      <c r="G1669">
        <v>8235.4699999999993</v>
      </c>
      <c r="H1669" t="str">
        <f>VLOOKUP(myynnit[[#This Row],[TuoteID]],ohjaus!$A$4:$B$20,2,FALSE)</f>
        <v>Pianotuoli</v>
      </c>
    </row>
    <row r="1670" spans="1:8" x14ac:dyDescent="0.35">
      <c r="A1670" t="s">
        <v>39</v>
      </c>
      <c r="B1670">
        <v>2014</v>
      </c>
      <c r="C1670">
        <v>1</v>
      </c>
      <c r="D1670">
        <v>13527</v>
      </c>
      <c r="E1670">
        <v>422</v>
      </c>
      <c r="F1670">
        <v>62543.4</v>
      </c>
      <c r="G1670">
        <v>17872.259999999998</v>
      </c>
      <c r="H1670" t="str">
        <f>VLOOKUP(myynnit[[#This Row],[TuoteID]],ohjaus!$A$4:$B$20,2,FALSE)</f>
        <v>Pinnatuoli</v>
      </c>
    </row>
    <row r="1671" spans="1:8" x14ac:dyDescent="0.35">
      <c r="A1671" t="s">
        <v>39</v>
      </c>
      <c r="B1671">
        <v>2014</v>
      </c>
      <c r="C1671">
        <v>1</v>
      </c>
      <c r="D1671">
        <v>13618</v>
      </c>
      <c r="E1671">
        <v>21</v>
      </c>
      <c r="F1671">
        <v>8320.3700000000008</v>
      </c>
      <c r="G1671">
        <v>4536.67</v>
      </c>
      <c r="H1671" t="str">
        <f>VLOOKUP(myynnit[[#This Row],[TuoteID]],ohjaus!$A$4:$B$20,2,FALSE)</f>
        <v>Pianotuoli</v>
      </c>
    </row>
    <row r="1672" spans="1:8" x14ac:dyDescent="0.35">
      <c r="A1672" t="s">
        <v>39</v>
      </c>
      <c r="B1672">
        <v>2014</v>
      </c>
      <c r="C1672">
        <v>1</v>
      </c>
      <c r="D1672">
        <v>16024</v>
      </c>
      <c r="E1672">
        <v>209</v>
      </c>
      <c r="F1672">
        <v>83407.42</v>
      </c>
      <c r="G1672">
        <v>26559.85</v>
      </c>
      <c r="H1672" t="str">
        <f>VLOOKUP(myynnit[[#This Row],[TuoteID]],ohjaus!$A$4:$B$20,2,FALSE)</f>
        <v>Työtuoli</v>
      </c>
    </row>
    <row r="1673" spans="1:8" x14ac:dyDescent="0.35">
      <c r="A1673" t="s">
        <v>39</v>
      </c>
      <c r="B1673">
        <v>2014</v>
      </c>
      <c r="C1673">
        <v>1</v>
      </c>
      <c r="D1673">
        <v>16650</v>
      </c>
      <c r="E1673">
        <v>38</v>
      </c>
      <c r="F1673">
        <v>7328.35</v>
      </c>
      <c r="G1673">
        <v>5166.43</v>
      </c>
      <c r="H1673" t="str">
        <f>VLOOKUP(myynnit[[#This Row],[TuoteID]],ohjaus!$A$4:$B$20,2,FALSE)</f>
        <v>Rahi</v>
      </c>
    </row>
    <row r="1674" spans="1:8" x14ac:dyDescent="0.35">
      <c r="A1674" t="s">
        <v>39</v>
      </c>
      <c r="B1674">
        <v>2014</v>
      </c>
      <c r="C1674">
        <v>1</v>
      </c>
      <c r="D1674">
        <v>17892</v>
      </c>
      <c r="E1674">
        <v>73</v>
      </c>
      <c r="F1674">
        <v>9297.64</v>
      </c>
      <c r="G1674">
        <v>2794.01</v>
      </c>
      <c r="H1674" t="str">
        <f>VLOOKUP(myynnit[[#This Row],[TuoteID]],ohjaus!$A$4:$B$20,2,FALSE)</f>
        <v>Lepotuoli</v>
      </c>
    </row>
    <row r="1675" spans="1:8" x14ac:dyDescent="0.35">
      <c r="A1675" t="s">
        <v>39</v>
      </c>
      <c r="B1675">
        <v>2014</v>
      </c>
      <c r="C1675">
        <v>1</v>
      </c>
      <c r="D1675">
        <v>18342</v>
      </c>
      <c r="E1675">
        <v>146</v>
      </c>
      <c r="F1675">
        <v>123334.07</v>
      </c>
      <c r="G1675">
        <v>35099.74</v>
      </c>
      <c r="H1675" t="str">
        <f>VLOOKUP(myynnit[[#This Row],[TuoteID]],ohjaus!$A$4:$B$20,2,FALSE)</f>
        <v>Työtuoli</v>
      </c>
    </row>
    <row r="1676" spans="1:8" x14ac:dyDescent="0.35">
      <c r="A1676" t="s">
        <v>39</v>
      </c>
      <c r="B1676">
        <v>2014</v>
      </c>
      <c r="C1676">
        <v>1</v>
      </c>
      <c r="D1676">
        <v>20177</v>
      </c>
      <c r="E1676">
        <v>42</v>
      </c>
      <c r="F1676">
        <v>4334.8999999999996</v>
      </c>
      <c r="G1676">
        <v>1760.34</v>
      </c>
      <c r="H1676" t="str">
        <f>VLOOKUP(myynnit[[#This Row],[TuoteID]],ohjaus!$A$4:$B$20,2,FALSE)</f>
        <v>Säkkituoli</v>
      </c>
    </row>
    <row r="1677" spans="1:8" x14ac:dyDescent="0.35">
      <c r="A1677" t="s">
        <v>39</v>
      </c>
      <c r="B1677">
        <v>2014</v>
      </c>
      <c r="C1677">
        <v>1</v>
      </c>
      <c r="D1677">
        <v>21179</v>
      </c>
      <c r="E1677">
        <v>71</v>
      </c>
      <c r="F1677">
        <v>8150.41</v>
      </c>
      <c r="G1677">
        <v>6250.86</v>
      </c>
      <c r="H1677" t="str">
        <f>VLOOKUP(myynnit[[#This Row],[TuoteID]],ohjaus!$A$4:$B$20,2,FALSE)</f>
        <v>Rahi</v>
      </c>
    </row>
    <row r="1678" spans="1:8" x14ac:dyDescent="0.35">
      <c r="A1678" t="s">
        <v>39</v>
      </c>
      <c r="B1678">
        <v>2014</v>
      </c>
      <c r="C1678">
        <v>1</v>
      </c>
      <c r="D1678">
        <v>21260</v>
      </c>
      <c r="E1678">
        <v>51</v>
      </c>
      <c r="F1678">
        <v>10250.209999999999</v>
      </c>
      <c r="G1678">
        <v>2782.59</v>
      </c>
      <c r="H1678" t="str">
        <f>VLOOKUP(myynnit[[#This Row],[TuoteID]],ohjaus!$A$4:$B$20,2,FALSE)</f>
        <v>Lepotuoli</v>
      </c>
    </row>
    <row r="1679" spans="1:8" x14ac:dyDescent="0.35">
      <c r="A1679" t="s">
        <v>39</v>
      </c>
      <c r="B1679">
        <v>2014</v>
      </c>
      <c r="C1679">
        <v>1</v>
      </c>
      <c r="D1679">
        <v>22317</v>
      </c>
      <c r="E1679">
        <v>44</v>
      </c>
      <c r="F1679">
        <v>4362.46</v>
      </c>
      <c r="G1679">
        <v>2213.34</v>
      </c>
      <c r="H1679" t="str">
        <f>VLOOKUP(myynnit[[#This Row],[TuoteID]],ohjaus!$A$4:$B$20,2,FALSE)</f>
        <v>Säkkituoli</v>
      </c>
    </row>
    <row r="1680" spans="1:8" x14ac:dyDescent="0.35">
      <c r="A1680" t="s">
        <v>39</v>
      </c>
      <c r="B1680">
        <v>2014</v>
      </c>
      <c r="C1680">
        <v>1</v>
      </c>
      <c r="D1680">
        <v>22940</v>
      </c>
      <c r="E1680">
        <v>502</v>
      </c>
      <c r="F1680">
        <v>70549.8</v>
      </c>
      <c r="G1680">
        <v>16992.09</v>
      </c>
      <c r="H1680" t="str">
        <f>VLOOKUP(myynnit[[#This Row],[TuoteID]],ohjaus!$A$4:$B$20,2,FALSE)</f>
        <v>Pinnatuoli</v>
      </c>
    </row>
    <row r="1681" spans="1:8" x14ac:dyDescent="0.35">
      <c r="A1681" t="s">
        <v>39</v>
      </c>
      <c r="B1681">
        <v>2014</v>
      </c>
      <c r="C1681">
        <v>1</v>
      </c>
      <c r="D1681">
        <v>23178</v>
      </c>
      <c r="E1681">
        <v>114</v>
      </c>
      <c r="F1681">
        <v>22346.42</v>
      </c>
      <c r="G1681">
        <v>5934.75</v>
      </c>
      <c r="H1681" t="str">
        <f>VLOOKUP(myynnit[[#This Row],[TuoteID]],ohjaus!$A$4:$B$20,2,FALSE)</f>
        <v>Pinnatuoli</v>
      </c>
    </row>
    <row r="1682" spans="1:8" x14ac:dyDescent="0.35">
      <c r="A1682" t="s">
        <v>39</v>
      </c>
      <c r="B1682">
        <v>2014</v>
      </c>
      <c r="C1682">
        <v>1</v>
      </c>
      <c r="D1682">
        <v>23600</v>
      </c>
      <c r="E1682">
        <v>1080</v>
      </c>
      <c r="F1682">
        <v>108103.39</v>
      </c>
      <c r="G1682">
        <v>34104.75</v>
      </c>
      <c r="H1682" t="str">
        <f>VLOOKUP(myynnit[[#This Row],[TuoteID]],ohjaus!$A$4:$B$20,2,FALSE)</f>
        <v>Pinnatuoli</v>
      </c>
    </row>
    <row r="1683" spans="1:8" x14ac:dyDescent="0.35">
      <c r="A1683" t="s">
        <v>39</v>
      </c>
      <c r="B1683">
        <v>2014</v>
      </c>
      <c r="C1683">
        <v>1</v>
      </c>
      <c r="D1683">
        <v>23756</v>
      </c>
      <c r="E1683">
        <v>135</v>
      </c>
      <c r="F1683">
        <v>21302.85</v>
      </c>
      <c r="G1683">
        <v>10463.4</v>
      </c>
      <c r="H1683" t="str">
        <f>VLOOKUP(myynnit[[#This Row],[TuoteID]],ohjaus!$A$4:$B$20,2,FALSE)</f>
        <v>Pianotuoli</v>
      </c>
    </row>
    <row r="1684" spans="1:8" x14ac:dyDescent="0.35">
      <c r="A1684" t="s">
        <v>39</v>
      </c>
      <c r="B1684">
        <v>2014</v>
      </c>
      <c r="C1684">
        <v>1</v>
      </c>
      <c r="D1684">
        <v>24326</v>
      </c>
      <c r="E1684">
        <v>61</v>
      </c>
      <c r="F1684">
        <v>9762.1</v>
      </c>
      <c r="G1684">
        <v>3249.23</v>
      </c>
      <c r="H1684" t="str">
        <f>VLOOKUP(myynnit[[#This Row],[TuoteID]],ohjaus!$A$4:$B$20,2,FALSE)</f>
        <v>Lepotuoli</v>
      </c>
    </row>
    <row r="1685" spans="1:8" x14ac:dyDescent="0.35">
      <c r="A1685" t="s">
        <v>38</v>
      </c>
      <c r="B1685">
        <v>2014</v>
      </c>
      <c r="C1685">
        <v>1</v>
      </c>
      <c r="D1685">
        <v>12184</v>
      </c>
      <c r="E1685">
        <v>85</v>
      </c>
      <c r="F1685">
        <v>8761.19</v>
      </c>
      <c r="G1685">
        <v>4559.62</v>
      </c>
      <c r="H1685" t="str">
        <f>VLOOKUP(myynnit[[#This Row],[TuoteID]],ohjaus!$A$4:$B$20,2,FALSE)</f>
        <v>Rahi</v>
      </c>
    </row>
    <row r="1686" spans="1:8" x14ac:dyDescent="0.35">
      <c r="A1686" t="s">
        <v>38</v>
      </c>
      <c r="B1686">
        <v>2014</v>
      </c>
      <c r="C1686">
        <v>1</v>
      </c>
      <c r="D1686">
        <v>12622</v>
      </c>
      <c r="E1686">
        <v>32</v>
      </c>
      <c r="F1686">
        <v>8189.68</v>
      </c>
      <c r="G1686">
        <v>3398.78</v>
      </c>
      <c r="H1686" t="str">
        <f>VLOOKUP(myynnit[[#This Row],[TuoteID]],ohjaus!$A$4:$B$20,2,FALSE)</f>
        <v>Pianotuoli</v>
      </c>
    </row>
    <row r="1687" spans="1:8" x14ac:dyDescent="0.35">
      <c r="A1687" t="s">
        <v>38</v>
      </c>
      <c r="B1687">
        <v>2014</v>
      </c>
      <c r="C1687">
        <v>1</v>
      </c>
      <c r="D1687">
        <v>13527</v>
      </c>
      <c r="E1687">
        <v>664</v>
      </c>
      <c r="F1687">
        <v>104565.34</v>
      </c>
      <c r="G1687">
        <v>19532.77</v>
      </c>
      <c r="H1687" t="str">
        <f>VLOOKUP(myynnit[[#This Row],[TuoteID]],ohjaus!$A$4:$B$20,2,FALSE)</f>
        <v>Pinnatuoli</v>
      </c>
    </row>
    <row r="1688" spans="1:8" x14ac:dyDescent="0.35">
      <c r="A1688" t="s">
        <v>38</v>
      </c>
      <c r="B1688">
        <v>2014</v>
      </c>
      <c r="C1688">
        <v>1</v>
      </c>
      <c r="D1688">
        <v>13618</v>
      </c>
      <c r="E1688">
        <v>14</v>
      </c>
      <c r="F1688">
        <v>4727.9399999999996</v>
      </c>
      <c r="G1688">
        <v>1991.88</v>
      </c>
      <c r="H1688" t="str">
        <f>VLOOKUP(myynnit[[#This Row],[TuoteID]],ohjaus!$A$4:$B$20,2,FALSE)</f>
        <v>Pianotuoli</v>
      </c>
    </row>
    <row r="1689" spans="1:8" x14ac:dyDescent="0.35">
      <c r="A1689" t="s">
        <v>38</v>
      </c>
      <c r="B1689">
        <v>2014</v>
      </c>
      <c r="C1689">
        <v>1</v>
      </c>
      <c r="D1689">
        <v>16024</v>
      </c>
      <c r="E1689">
        <v>140</v>
      </c>
      <c r="F1689">
        <v>54349.77</v>
      </c>
      <c r="G1689">
        <v>13803.69</v>
      </c>
      <c r="H1689" t="str">
        <f>VLOOKUP(myynnit[[#This Row],[TuoteID]],ohjaus!$A$4:$B$20,2,FALSE)</f>
        <v>Työtuoli</v>
      </c>
    </row>
    <row r="1690" spans="1:8" x14ac:dyDescent="0.35">
      <c r="A1690" t="s">
        <v>38</v>
      </c>
      <c r="B1690">
        <v>2014</v>
      </c>
      <c r="C1690">
        <v>1</v>
      </c>
      <c r="D1690">
        <v>16650</v>
      </c>
      <c r="E1690">
        <v>24</v>
      </c>
      <c r="F1690">
        <v>4276.96</v>
      </c>
      <c r="G1690">
        <v>2802</v>
      </c>
      <c r="H1690" t="str">
        <f>VLOOKUP(myynnit[[#This Row],[TuoteID]],ohjaus!$A$4:$B$20,2,FALSE)</f>
        <v>Rahi</v>
      </c>
    </row>
    <row r="1691" spans="1:8" x14ac:dyDescent="0.35">
      <c r="A1691" t="s">
        <v>38</v>
      </c>
      <c r="B1691">
        <v>2014</v>
      </c>
      <c r="C1691">
        <v>1</v>
      </c>
      <c r="D1691">
        <v>17892</v>
      </c>
      <c r="E1691">
        <v>77</v>
      </c>
      <c r="F1691">
        <v>9970.06</v>
      </c>
      <c r="G1691">
        <v>2713.06</v>
      </c>
      <c r="H1691" t="str">
        <f>VLOOKUP(myynnit[[#This Row],[TuoteID]],ohjaus!$A$4:$B$20,2,FALSE)</f>
        <v>Lepotuoli</v>
      </c>
    </row>
    <row r="1692" spans="1:8" x14ac:dyDescent="0.35">
      <c r="A1692" t="s">
        <v>38</v>
      </c>
      <c r="B1692">
        <v>2014</v>
      </c>
      <c r="C1692">
        <v>1</v>
      </c>
      <c r="D1692">
        <v>18342</v>
      </c>
      <c r="E1692">
        <v>99</v>
      </c>
      <c r="F1692">
        <v>81523.39</v>
      </c>
      <c r="G1692">
        <v>20750.05</v>
      </c>
      <c r="H1692" t="str">
        <f>VLOOKUP(myynnit[[#This Row],[TuoteID]],ohjaus!$A$4:$B$20,2,FALSE)</f>
        <v>Työtuoli</v>
      </c>
    </row>
    <row r="1693" spans="1:8" x14ac:dyDescent="0.35">
      <c r="A1693" t="s">
        <v>38</v>
      </c>
      <c r="B1693">
        <v>2014</v>
      </c>
      <c r="C1693">
        <v>1</v>
      </c>
      <c r="D1693">
        <v>20177</v>
      </c>
      <c r="E1693">
        <v>77</v>
      </c>
      <c r="F1693">
        <v>7868.17</v>
      </c>
      <c r="G1693">
        <v>3138.61</v>
      </c>
      <c r="H1693" t="str">
        <f>VLOOKUP(myynnit[[#This Row],[TuoteID]],ohjaus!$A$4:$B$20,2,FALSE)</f>
        <v>Säkkituoli</v>
      </c>
    </row>
    <row r="1694" spans="1:8" x14ac:dyDescent="0.35">
      <c r="A1694" t="s">
        <v>38</v>
      </c>
      <c r="B1694">
        <v>2014</v>
      </c>
      <c r="C1694">
        <v>1</v>
      </c>
      <c r="D1694">
        <v>21179</v>
      </c>
      <c r="E1694">
        <v>39</v>
      </c>
      <c r="F1694">
        <v>5854.33</v>
      </c>
      <c r="G1694">
        <v>3422.77</v>
      </c>
      <c r="H1694" t="str">
        <f>VLOOKUP(myynnit[[#This Row],[TuoteID]],ohjaus!$A$4:$B$20,2,FALSE)</f>
        <v>Rahi</v>
      </c>
    </row>
    <row r="1695" spans="1:8" x14ac:dyDescent="0.35">
      <c r="A1695" t="s">
        <v>38</v>
      </c>
      <c r="B1695">
        <v>2014</v>
      </c>
      <c r="C1695">
        <v>1</v>
      </c>
      <c r="D1695">
        <v>21260</v>
      </c>
      <c r="E1695">
        <v>45</v>
      </c>
      <c r="F1695">
        <v>8128.14</v>
      </c>
      <c r="G1695">
        <v>2078.5300000000002</v>
      </c>
      <c r="H1695" t="str">
        <f>VLOOKUP(myynnit[[#This Row],[TuoteID]],ohjaus!$A$4:$B$20,2,FALSE)</f>
        <v>Lepotuoli</v>
      </c>
    </row>
    <row r="1696" spans="1:8" x14ac:dyDescent="0.35">
      <c r="A1696" t="s">
        <v>38</v>
      </c>
      <c r="B1696">
        <v>2014</v>
      </c>
      <c r="C1696">
        <v>1</v>
      </c>
      <c r="D1696">
        <v>22317</v>
      </c>
      <c r="E1696">
        <v>57</v>
      </c>
      <c r="F1696">
        <v>5318.2</v>
      </c>
      <c r="G1696">
        <v>2189.62</v>
      </c>
      <c r="H1696" t="str">
        <f>VLOOKUP(myynnit[[#This Row],[TuoteID]],ohjaus!$A$4:$B$20,2,FALSE)</f>
        <v>Säkkituoli</v>
      </c>
    </row>
    <row r="1697" spans="1:8" x14ac:dyDescent="0.35">
      <c r="A1697" t="s">
        <v>38</v>
      </c>
      <c r="B1697">
        <v>2014</v>
      </c>
      <c r="C1697">
        <v>1</v>
      </c>
      <c r="D1697">
        <v>22940</v>
      </c>
      <c r="E1697">
        <v>634</v>
      </c>
      <c r="F1697">
        <v>81567.899999999994</v>
      </c>
      <c r="G1697">
        <v>18881.38</v>
      </c>
      <c r="H1697" t="str">
        <f>VLOOKUP(myynnit[[#This Row],[TuoteID]],ohjaus!$A$4:$B$20,2,FALSE)</f>
        <v>Pinnatuoli</v>
      </c>
    </row>
    <row r="1698" spans="1:8" x14ac:dyDescent="0.35">
      <c r="A1698" t="s">
        <v>38</v>
      </c>
      <c r="B1698">
        <v>2014</v>
      </c>
      <c r="C1698">
        <v>1</v>
      </c>
      <c r="D1698">
        <v>23178</v>
      </c>
      <c r="E1698">
        <v>186</v>
      </c>
      <c r="F1698">
        <v>34752.26</v>
      </c>
      <c r="G1698">
        <v>6239.89</v>
      </c>
      <c r="H1698" t="str">
        <f>VLOOKUP(myynnit[[#This Row],[TuoteID]],ohjaus!$A$4:$B$20,2,FALSE)</f>
        <v>Pinnatuoli</v>
      </c>
    </row>
    <row r="1699" spans="1:8" x14ac:dyDescent="0.35">
      <c r="A1699" t="s">
        <v>38</v>
      </c>
      <c r="B1699">
        <v>2014</v>
      </c>
      <c r="C1699">
        <v>1</v>
      </c>
      <c r="D1699">
        <v>23600</v>
      </c>
      <c r="E1699">
        <v>1031</v>
      </c>
      <c r="F1699">
        <v>109002.26</v>
      </c>
      <c r="G1699">
        <v>29535.69</v>
      </c>
      <c r="H1699" t="str">
        <f>VLOOKUP(myynnit[[#This Row],[TuoteID]],ohjaus!$A$4:$B$20,2,FALSE)</f>
        <v>Pinnatuoli</v>
      </c>
    </row>
    <row r="1700" spans="1:8" x14ac:dyDescent="0.35">
      <c r="A1700" t="s">
        <v>38</v>
      </c>
      <c r="B1700">
        <v>2014</v>
      </c>
      <c r="C1700">
        <v>1</v>
      </c>
      <c r="D1700">
        <v>23756</v>
      </c>
      <c r="E1700">
        <v>138</v>
      </c>
      <c r="F1700">
        <v>24617.279999999999</v>
      </c>
      <c r="G1700">
        <v>11229.89</v>
      </c>
      <c r="H1700" t="str">
        <f>VLOOKUP(myynnit[[#This Row],[TuoteID]],ohjaus!$A$4:$B$20,2,FALSE)</f>
        <v>Pianotuoli</v>
      </c>
    </row>
    <row r="1701" spans="1:8" x14ac:dyDescent="0.35">
      <c r="A1701" t="s">
        <v>38</v>
      </c>
      <c r="B1701">
        <v>2014</v>
      </c>
      <c r="C1701">
        <v>1</v>
      </c>
      <c r="D1701">
        <v>24326</v>
      </c>
      <c r="E1701">
        <v>116</v>
      </c>
      <c r="F1701">
        <v>16947.2</v>
      </c>
      <c r="G1701">
        <v>3997.2</v>
      </c>
      <c r="H1701" t="str">
        <f>VLOOKUP(myynnit[[#This Row],[TuoteID]],ohjaus!$A$4:$B$20,2,FALSE)</f>
        <v>Lepotuoli</v>
      </c>
    </row>
    <row r="1702" spans="1:8" x14ac:dyDescent="0.35">
      <c r="A1702" t="s">
        <v>37</v>
      </c>
      <c r="B1702">
        <v>2014</v>
      </c>
      <c r="C1702">
        <v>2</v>
      </c>
      <c r="D1702">
        <v>12184</v>
      </c>
      <c r="E1702">
        <v>73</v>
      </c>
      <c r="F1702">
        <v>9108.59</v>
      </c>
      <c r="G1702">
        <v>4180.45</v>
      </c>
      <c r="H1702" t="str">
        <f>VLOOKUP(myynnit[[#This Row],[TuoteID]],ohjaus!$A$4:$B$20,2,FALSE)</f>
        <v>Rahi</v>
      </c>
    </row>
    <row r="1703" spans="1:8" x14ac:dyDescent="0.35">
      <c r="A1703" t="s">
        <v>37</v>
      </c>
      <c r="B1703">
        <v>2014</v>
      </c>
      <c r="C1703">
        <v>2</v>
      </c>
      <c r="D1703">
        <v>12622</v>
      </c>
      <c r="E1703">
        <v>46</v>
      </c>
      <c r="F1703">
        <v>11063.4</v>
      </c>
      <c r="G1703">
        <v>4626.28</v>
      </c>
      <c r="H1703" t="str">
        <f>VLOOKUP(myynnit[[#This Row],[TuoteID]],ohjaus!$A$4:$B$20,2,FALSE)</f>
        <v>Pianotuoli</v>
      </c>
    </row>
    <row r="1704" spans="1:8" x14ac:dyDescent="0.35">
      <c r="A1704" t="s">
        <v>37</v>
      </c>
      <c r="B1704">
        <v>2014</v>
      </c>
      <c r="C1704">
        <v>2</v>
      </c>
      <c r="D1704">
        <v>13527</v>
      </c>
      <c r="E1704">
        <v>620</v>
      </c>
      <c r="F1704">
        <v>97333.01</v>
      </c>
      <c r="G1704">
        <v>19781.919999999998</v>
      </c>
      <c r="H1704" t="str">
        <f>VLOOKUP(myynnit[[#This Row],[TuoteID]],ohjaus!$A$4:$B$20,2,FALSE)</f>
        <v>Pinnatuoli</v>
      </c>
    </row>
    <row r="1705" spans="1:8" x14ac:dyDescent="0.35">
      <c r="A1705" t="s">
        <v>37</v>
      </c>
      <c r="B1705">
        <v>2014</v>
      </c>
      <c r="C1705">
        <v>2</v>
      </c>
      <c r="D1705">
        <v>13618</v>
      </c>
      <c r="E1705">
        <v>21</v>
      </c>
      <c r="F1705">
        <v>7129.92</v>
      </c>
      <c r="G1705">
        <v>3579.42</v>
      </c>
      <c r="H1705" t="str">
        <f>VLOOKUP(myynnit[[#This Row],[TuoteID]],ohjaus!$A$4:$B$20,2,FALSE)</f>
        <v>Pianotuoli</v>
      </c>
    </row>
    <row r="1706" spans="1:8" x14ac:dyDescent="0.35">
      <c r="A1706" t="s">
        <v>37</v>
      </c>
      <c r="B1706">
        <v>2014</v>
      </c>
      <c r="C1706">
        <v>2</v>
      </c>
      <c r="D1706">
        <v>16024</v>
      </c>
      <c r="E1706">
        <v>338</v>
      </c>
      <c r="F1706">
        <v>145568.93</v>
      </c>
      <c r="G1706">
        <v>43349.67</v>
      </c>
      <c r="H1706" t="str">
        <f>VLOOKUP(myynnit[[#This Row],[TuoteID]],ohjaus!$A$4:$B$20,2,FALSE)</f>
        <v>Työtuoli</v>
      </c>
    </row>
    <row r="1707" spans="1:8" x14ac:dyDescent="0.35">
      <c r="A1707" t="s">
        <v>37</v>
      </c>
      <c r="B1707">
        <v>2014</v>
      </c>
      <c r="C1707">
        <v>2</v>
      </c>
      <c r="D1707">
        <v>16650</v>
      </c>
      <c r="E1707">
        <v>60</v>
      </c>
      <c r="F1707">
        <v>8869.52</v>
      </c>
      <c r="G1707">
        <v>3591.55</v>
      </c>
      <c r="H1707" t="str">
        <f>VLOOKUP(myynnit[[#This Row],[TuoteID]],ohjaus!$A$4:$B$20,2,FALSE)</f>
        <v>Rahi</v>
      </c>
    </row>
    <row r="1708" spans="1:8" x14ac:dyDescent="0.35">
      <c r="A1708" t="s">
        <v>37</v>
      </c>
      <c r="B1708">
        <v>2014</v>
      </c>
      <c r="C1708">
        <v>2</v>
      </c>
      <c r="D1708">
        <v>17892</v>
      </c>
      <c r="E1708">
        <v>182</v>
      </c>
      <c r="F1708">
        <v>25206.73</v>
      </c>
      <c r="G1708">
        <v>6147.29</v>
      </c>
      <c r="H1708" t="str">
        <f>VLOOKUP(myynnit[[#This Row],[TuoteID]],ohjaus!$A$4:$B$20,2,FALSE)</f>
        <v>Lepotuoli</v>
      </c>
    </row>
    <row r="1709" spans="1:8" x14ac:dyDescent="0.35">
      <c r="A1709" t="s">
        <v>37</v>
      </c>
      <c r="B1709">
        <v>2014</v>
      </c>
      <c r="C1709">
        <v>2</v>
      </c>
      <c r="D1709">
        <v>18342</v>
      </c>
      <c r="E1709">
        <v>198</v>
      </c>
      <c r="F1709">
        <v>172676.93</v>
      </c>
      <c r="G1709">
        <v>54538.19</v>
      </c>
      <c r="H1709" t="str">
        <f>VLOOKUP(myynnit[[#This Row],[TuoteID]],ohjaus!$A$4:$B$20,2,FALSE)</f>
        <v>Työtuoli</v>
      </c>
    </row>
    <row r="1710" spans="1:8" x14ac:dyDescent="0.35">
      <c r="A1710" t="s">
        <v>37</v>
      </c>
      <c r="B1710">
        <v>2014</v>
      </c>
      <c r="C1710">
        <v>2</v>
      </c>
      <c r="D1710">
        <v>20177</v>
      </c>
      <c r="E1710">
        <v>158</v>
      </c>
      <c r="F1710">
        <v>15286.67</v>
      </c>
      <c r="G1710">
        <v>6235.21</v>
      </c>
      <c r="H1710" t="str">
        <f>VLOOKUP(myynnit[[#This Row],[TuoteID]],ohjaus!$A$4:$B$20,2,FALSE)</f>
        <v>Säkkituoli</v>
      </c>
    </row>
    <row r="1711" spans="1:8" x14ac:dyDescent="0.35">
      <c r="A1711" t="s">
        <v>37</v>
      </c>
      <c r="B1711">
        <v>2014</v>
      </c>
      <c r="C1711">
        <v>2</v>
      </c>
      <c r="D1711">
        <v>21179</v>
      </c>
      <c r="E1711">
        <v>61</v>
      </c>
      <c r="F1711">
        <v>8568.0300000000007</v>
      </c>
      <c r="G1711">
        <v>3596.95</v>
      </c>
      <c r="H1711" t="str">
        <f>VLOOKUP(myynnit[[#This Row],[TuoteID]],ohjaus!$A$4:$B$20,2,FALSE)</f>
        <v>Rahi</v>
      </c>
    </row>
    <row r="1712" spans="1:8" x14ac:dyDescent="0.35">
      <c r="A1712" t="s">
        <v>37</v>
      </c>
      <c r="B1712">
        <v>2014</v>
      </c>
      <c r="C1712">
        <v>2</v>
      </c>
      <c r="D1712">
        <v>21260</v>
      </c>
      <c r="E1712">
        <v>97</v>
      </c>
      <c r="F1712">
        <v>20244.39</v>
      </c>
      <c r="G1712">
        <v>6047.06</v>
      </c>
      <c r="H1712" t="str">
        <f>VLOOKUP(myynnit[[#This Row],[TuoteID]],ohjaus!$A$4:$B$20,2,FALSE)</f>
        <v>Lepotuoli</v>
      </c>
    </row>
    <row r="1713" spans="1:8" x14ac:dyDescent="0.35">
      <c r="A1713" t="s">
        <v>37</v>
      </c>
      <c r="B1713">
        <v>2014</v>
      </c>
      <c r="C1713">
        <v>2</v>
      </c>
      <c r="D1713">
        <v>22317</v>
      </c>
      <c r="E1713">
        <v>114</v>
      </c>
      <c r="F1713">
        <v>9632.49</v>
      </c>
      <c r="G1713">
        <v>3724.4</v>
      </c>
      <c r="H1713" t="str">
        <f>VLOOKUP(myynnit[[#This Row],[TuoteID]],ohjaus!$A$4:$B$20,2,FALSE)</f>
        <v>Säkkituoli</v>
      </c>
    </row>
    <row r="1714" spans="1:8" x14ac:dyDescent="0.35">
      <c r="A1714" t="s">
        <v>37</v>
      </c>
      <c r="B1714">
        <v>2014</v>
      </c>
      <c r="C1714">
        <v>2</v>
      </c>
      <c r="D1714">
        <v>22940</v>
      </c>
      <c r="E1714">
        <v>445</v>
      </c>
      <c r="F1714">
        <v>60097.3</v>
      </c>
      <c r="G1714">
        <v>10379.56</v>
      </c>
      <c r="H1714" t="str">
        <f>VLOOKUP(myynnit[[#This Row],[TuoteID]],ohjaus!$A$4:$B$20,2,FALSE)</f>
        <v>Pinnatuoli</v>
      </c>
    </row>
    <row r="1715" spans="1:8" x14ac:dyDescent="0.35">
      <c r="A1715" t="s">
        <v>37</v>
      </c>
      <c r="B1715">
        <v>2014</v>
      </c>
      <c r="C1715">
        <v>2</v>
      </c>
      <c r="D1715">
        <v>23178</v>
      </c>
      <c r="E1715">
        <v>408</v>
      </c>
      <c r="F1715">
        <v>74890.009999999995</v>
      </c>
      <c r="G1715">
        <v>15551.84</v>
      </c>
      <c r="H1715" t="str">
        <f>VLOOKUP(myynnit[[#This Row],[TuoteID]],ohjaus!$A$4:$B$20,2,FALSE)</f>
        <v>Pinnatuoli</v>
      </c>
    </row>
    <row r="1716" spans="1:8" x14ac:dyDescent="0.35">
      <c r="A1716" t="s">
        <v>37</v>
      </c>
      <c r="B1716">
        <v>2014</v>
      </c>
      <c r="C1716">
        <v>2</v>
      </c>
      <c r="D1716">
        <v>23600</v>
      </c>
      <c r="E1716">
        <v>1333</v>
      </c>
      <c r="F1716">
        <v>151804.01</v>
      </c>
      <c r="G1716">
        <v>32839.410000000003</v>
      </c>
      <c r="H1716" t="str">
        <f>VLOOKUP(myynnit[[#This Row],[TuoteID]],ohjaus!$A$4:$B$20,2,FALSE)</f>
        <v>Pinnatuoli</v>
      </c>
    </row>
    <row r="1717" spans="1:8" x14ac:dyDescent="0.35">
      <c r="A1717" t="s">
        <v>37</v>
      </c>
      <c r="B1717">
        <v>2014</v>
      </c>
      <c r="C1717">
        <v>2</v>
      </c>
      <c r="D1717">
        <v>23756</v>
      </c>
      <c r="E1717">
        <v>58</v>
      </c>
      <c r="F1717">
        <v>10411.91</v>
      </c>
      <c r="G1717">
        <v>4685.18</v>
      </c>
      <c r="H1717" t="str">
        <f>VLOOKUP(myynnit[[#This Row],[TuoteID]],ohjaus!$A$4:$B$20,2,FALSE)</f>
        <v>Pianotuoli</v>
      </c>
    </row>
    <row r="1718" spans="1:8" x14ac:dyDescent="0.35">
      <c r="A1718" t="s">
        <v>37</v>
      </c>
      <c r="B1718">
        <v>2014</v>
      </c>
      <c r="C1718">
        <v>2</v>
      </c>
      <c r="D1718">
        <v>24326</v>
      </c>
      <c r="E1718">
        <v>179</v>
      </c>
      <c r="F1718">
        <v>27123.82</v>
      </c>
      <c r="G1718">
        <v>8420.4699999999993</v>
      </c>
      <c r="H1718" t="str">
        <f>VLOOKUP(myynnit[[#This Row],[TuoteID]],ohjaus!$A$4:$B$20,2,FALSE)</f>
        <v>Lepotuoli</v>
      </c>
    </row>
    <row r="1719" spans="1:8" x14ac:dyDescent="0.35">
      <c r="A1719" t="s">
        <v>40</v>
      </c>
      <c r="B1719">
        <v>2014</v>
      </c>
      <c r="C1719">
        <v>2</v>
      </c>
      <c r="D1719">
        <v>12184</v>
      </c>
      <c r="E1719">
        <v>35</v>
      </c>
      <c r="F1719">
        <v>4351.84</v>
      </c>
      <c r="G1719">
        <v>2194.23</v>
      </c>
      <c r="H1719" t="str">
        <f>VLOOKUP(myynnit[[#This Row],[TuoteID]],ohjaus!$A$4:$B$20,2,FALSE)</f>
        <v>Rahi</v>
      </c>
    </row>
    <row r="1720" spans="1:8" x14ac:dyDescent="0.35">
      <c r="A1720" t="s">
        <v>40</v>
      </c>
      <c r="B1720">
        <v>2014</v>
      </c>
      <c r="C1720">
        <v>2</v>
      </c>
      <c r="D1720">
        <v>12622</v>
      </c>
      <c r="E1720">
        <v>13</v>
      </c>
      <c r="F1720">
        <v>3554.54</v>
      </c>
      <c r="G1720">
        <v>1334.28</v>
      </c>
      <c r="H1720" t="str">
        <f>VLOOKUP(myynnit[[#This Row],[TuoteID]],ohjaus!$A$4:$B$20,2,FALSE)</f>
        <v>Pianotuoli</v>
      </c>
    </row>
    <row r="1721" spans="1:8" x14ac:dyDescent="0.35">
      <c r="A1721" t="s">
        <v>40</v>
      </c>
      <c r="B1721">
        <v>2014</v>
      </c>
      <c r="C1721">
        <v>2</v>
      </c>
      <c r="D1721">
        <v>13527</v>
      </c>
      <c r="E1721">
        <v>202</v>
      </c>
      <c r="F1721">
        <v>33310.54</v>
      </c>
      <c r="G1721">
        <v>6725.04</v>
      </c>
      <c r="H1721" t="str">
        <f>VLOOKUP(myynnit[[#This Row],[TuoteID]],ohjaus!$A$4:$B$20,2,FALSE)</f>
        <v>Pinnatuoli</v>
      </c>
    </row>
    <row r="1722" spans="1:8" x14ac:dyDescent="0.35">
      <c r="A1722" t="s">
        <v>40</v>
      </c>
      <c r="B1722">
        <v>2014</v>
      </c>
      <c r="C1722">
        <v>2</v>
      </c>
      <c r="D1722">
        <v>13618</v>
      </c>
      <c r="E1722">
        <v>6</v>
      </c>
      <c r="F1722">
        <v>2046.38</v>
      </c>
      <c r="G1722">
        <v>878.45</v>
      </c>
      <c r="H1722" t="str">
        <f>VLOOKUP(myynnit[[#This Row],[TuoteID]],ohjaus!$A$4:$B$20,2,FALSE)</f>
        <v>Pianotuoli</v>
      </c>
    </row>
    <row r="1723" spans="1:8" x14ac:dyDescent="0.35">
      <c r="A1723" t="s">
        <v>40</v>
      </c>
      <c r="B1723">
        <v>2014</v>
      </c>
      <c r="C1723">
        <v>2</v>
      </c>
      <c r="D1723">
        <v>16024</v>
      </c>
      <c r="E1723">
        <v>181</v>
      </c>
      <c r="F1723">
        <v>82870.720000000001</v>
      </c>
      <c r="G1723">
        <v>27611.15</v>
      </c>
      <c r="H1723" t="str">
        <f>VLOOKUP(myynnit[[#This Row],[TuoteID]],ohjaus!$A$4:$B$20,2,FALSE)</f>
        <v>Työtuoli</v>
      </c>
    </row>
    <row r="1724" spans="1:8" x14ac:dyDescent="0.35">
      <c r="A1724" t="s">
        <v>40</v>
      </c>
      <c r="B1724">
        <v>2014</v>
      </c>
      <c r="C1724">
        <v>2</v>
      </c>
      <c r="D1724">
        <v>16650</v>
      </c>
      <c r="E1724">
        <v>14</v>
      </c>
      <c r="F1724">
        <v>2562.59</v>
      </c>
      <c r="G1724">
        <v>1603.78</v>
      </c>
      <c r="H1724" t="str">
        <f>VLOOKUP(myynnit[[#This Row],[TuoteID]],ohjaus!$A$4:$B$20,2,FALSE)</f>
        <v>Rahi</v>
      </c>
    </row>
    <row r="1725" spans="1:8" x14ac:dyDescent="0.35">
      <c r="A1725" t="s">
        <v>40</v>
      </c>
      <c r="B1725">
        <v>2014</v>
      </c>
      <c r="C1725">
        <v>2</v>
      </c>
      <c r="D1725">
        <v>17892</v>
      </c>
      <c r="E1725">
        <v>40</v>
      </c>
      <c r="F1725">
        <v>5472.62</v>
      </c>
      <c r="G1725">
        <v>1336.99</v>
      </c>
      <c r="H1725" t="str">
        <f>VLOOKUP(myynnit[[#This Row],[TuoteID]],ohjaus!$A$4:$B$20,2,FALSE)</f>
        <v>Lepotuoli</v>
      </c>
    </row>
    <row r="1726" spans="1:8" x14ac:dyDescent="0.35">
      <c r="A1726" t="s">
        <v>40</v>
      </c>
      <c r="B1726">
        <v>2014</v>
      </c>
      <c r="C1726">
        <v>2</v>
      </c>
      <c r="D1726">
        <v>18342</v>
      </c>
      <c r="E1726">
        <v>12</v>
      </c>
      <c r="F1726">
        <v>9135.6200000000008</v>
      </c>
      <c r="G1726">
        <v>3065.19</v>
      </c>
      <c r="H1726" t="str">
        <f>VLOOKUP(myynnit[[#This Row],[TuoteID]],ohjaus!$A$4:$B$20,2,FALSE)</f>
        <v>Työtuoli</v>
      </c>
    </row>
    <row r="1727" spans="1:8" x14ac:dyDescent="0.35">
      <c r="A1727" t="s">
        <v>40</v>
      </c>
      <c r="B1727">
        <v>2014</v>
      </c>
      <c r="C1727">
        <v>2</v>
      </c>
      <c r="D1727">
        <v>20177</v>
      </c>
      <c r="E1727">
        <v>21</v>
      </c>
      <c r="F1727">
        <v>2400.17</v>
      </c>
      <c r="G1727">
        <v>960.54</v>
      </c>
      <c r="H1727" t="str">
        <f>VLOOKUP(myynnit[[#This Row],[TuoteID]],ohjaus!$A$4:$B$20,2,FALSE)</f>
        <v>Säkkituoli</v>
      </c>
    </row>
    <row r="1728" spans="1:8" x14ac:dyDescent="0.35">
      <c r="A1728" t="s">
        <v>40</v>
      </c>
      <c r="B1728">
        <v>2014</v>
      </c>
      <c r="C1728">
        <v>2</v>
      </c>
      <c r="D1728">
        <v>21179</v>
      </c>
      <c r="E1728">
        <v>38</v>
      </c>
      <c r="F1728">
        <v>5209.09</v>
      </c>
      <c r="G1728">
        <v>3267.86</v>
      </c>
      <c r="H1728" t="str">
        <f>VLOOKUP(myynnit[[#This Row],[TuoteID]],ohjaus!$A$4:$B$20,2,FALSE)</f>
        <v>Rahi</v>
      </c>
    </row>
    <row r="1729" spans="1:8" x14ac:dyDescent="0.35">
      <c r="A1729" t="s">
        <v>40</v>
      </c>
      <c r="B1729">
        <v>2014</v>
      </c>
      <c r="C1729">
        <v>2</v>
      </c>
      <c r="D1729">
        <v>21260</v>
      </c>
      <c r="E1729">
        <v>33</v>
      </c>
      <c r="F1729">
        <v>6720.78</v>
      </c>
      <c r="G1729">
        <v>1868.22</v>
      </c>
      <c r="H1729" t="str">
        <f>VLOOKUP(myynnit[[#This Row],[TuoteID]],ohjaus!$A$4:$B$20,2,FALSE)</f>
        <v>Lepotuoli</v>
      </c>
    </row>
    <row r="1730" spans="1:8" x14ac:dyDescent="0.35">
      <c r="A1730" t="s">
        <v>40</v>
      </c>
      <c r="B1730">
        <v>2014</v>
      </c>
      <c r="C1730">
        <v>2</v>
      </c>
      <c r="D1730">
        <v>22317</v>
      </c>
      <c r="E1730">
        <v>14</v>
      </c>
      <c r="F1730">
        <v>1459.11</v>
      </c>
      <c r="G1730">
        <v>599.38</v>
      </c>
      <c r="H1730" t="str">
        <f>VLOOKUP(myynnit[[#This Row],[TuoteID]],ohjaus!$A$4:$B$20,2,FALSE)</f>
        <v>Säkkituoli</v>
      </c>
    </row>
    <row r="1731" spans="1:8" x14ac:dyDescent="0.35">
      <c r="A1731" t="s">
        <v>40</v>
      </c>
      <c r="B1731">
        <v>2014</v>
      </c>
      <c r="C1731">
        <v>2</v>
      </c>
      <c r="D1731">
        <v>22940</v>
      </c>
      <c r="E1731">
        <v>230</v>
      </c>
      <c r="F1731">
        <v>31582.91</v>
      </c>
      <c r="G1731">
        <v>9690.17</v>
      </c>
      <c r="H1731" t="str">
        <f>VLOOKUP(myynnit[[#This Row],[TuoteID]],ohjaus!$A$4:$B$20,2,FALSE)</f>
        <v>Pinnatuoli</v>
      </c>
    </row>
    <row r="1732" spans="1:8" x14ac:dyDescent="0.35">
      <c r="A1732" t="s">
        <v>40</v>
      </c>
      <c r="B1732">
        <v>2014</v>
      </c>
      <c r="C1732">
        <v>2</v>
      </c>
      <c r="D1732">
        <v>23178</v>
      </c>
      <c r="E1732">
        <v>246</v>
      </c>
      <c r="F1732">
        <v>47147.25</v>
      </c>
      <c r="G1732">
        <v>10859.48</v>
      </c>
      <c r="H1732" t="str">
        <f>VLOOKUP(myynnit[[#This Row],[TuoteID]],ohjaus!$A$4:$B$20,2,FALSE)</f>
        <v>Pinnatuoli</v>
      </c>
    </row>
    <row r="1733" spans="1:8" x14ac:dyDescent="0.35">
      <c r="A1733" t="s">
        <v>40</v>
      </c>
      <c r="B1733">
        <v>2014</v>
      </c>
      <c r="C1733">
        <v>2</v>
      </c>
      <c r="D1733">
        <v>23600</v>
      </c>
      <c r="E1733">
        <v>637</v>
      </c>
      <c r="F1733">
        <v>79110.03</v>
      </c>
      <c r="G1733">
        <v>23582.31</v>
      </c>
      <c r="H1733" t="str">
        <f>VLOOKUP(myynnit[[#This Row],[TuoteID]],ohjaus!$A$4:$B$20,2,FALSE)</f>
        <v>Pinnatuoli</v>
      </c>
    </row>
    <row r="1734" spans="1:8" x14ac:dyDescent="0.35">
      <c r="A1734" t="s">
        <v>40</v>
      </c>
      <c r="B1734">
        <v>2014</v>
      </c>
      <c r="C1734">
        <v>2</v>
      </c>
      <c r="D1734">
        <v>23756</v>
      </c>
      <c r="E1734">
        <v>76</v>
      </c>
      <c r="F1734">
        <v>14470.44</v>
      </c>
      <c r="G1734">
        <v>6662.04</v>
      </c>
      <c r="H1734" t="str">
        <f>VLOOKUP(myynnit[[#This Row],[TuoteID]],ohjaus!$A$4:$B$20,2,FALSE)</f>
        <v>Pianotuoli</v>
      </c>
    </row>
    <row r="1735" spans="1:8" x14ac:dyDescent="0.35">
      <c r="A1735" t="s">
        <v>40</v>
      </c>
      <c r="B1735">
        <v>2014</v>
      </c>
      <c r="C1735">
        <v>2</v>
      </c>
      <c r="D1735">
        <v>24326</v>
      </c>
      <c r="E1735">
        <v>28</v>
      </c>
      <c r="F1735">
        <v>4412.83</v>
      </c>
      <c r="G1735">
        <v>1222.6099999999999</v>
      </c>
      <c r="H1735" t="str">
        <f>VLOOKUP(myynnit[[#This Row],[TuoteID]],ohjaus!$A$4:$B$20,2,FALSE)</f>
        <v>Lepotuoli</v>
      </c>
    </row>
    <row r="1736" spans="1:8" x14ac:dyDescent="0.35">
      <c r="A1736" t="s">
        <v>39</v>
      </c>
      <c r="B1736">
        <v>2014</v>
      </c>
      <c r="C1736">
        <v>2</v>
      </c>
      <c r="D1736">
        <v>12184</v>
      </c>
      <c r="E1736">
        <v>57</v>
      </c>
      <c r="F1736">
        <v>7134.62</v>
      </c>
      <c r="G1736">
        <v>4147.8100000000004</v>
      </c>
      <c r="H1736" t="str">
        <f>VLOOKUP(myynnit[[#This Row],[TuoteID]],ohjaus!$A$4:$B$20,2,FALSE)</f>
        <v>Rahi</v>
      </c>
    </row>
    <row r="1737" spans="1:8" x14ac:dyDescent="0.35">
      <c r="A1737" t="s">
        <v>39</v>
      </c>
      <c r="B1737">
        <v>2014</v>
      </c>
      <c r="C1737">
        <v>2</v>
      </c>
      <c r="D1737">
        <v>12622</v>
      </c>
      <c r="E1737">
        <v>54</v>
      </c>
      <c r="F1737">
        <v>15462.55</v>
      </c>
      <c r="G1737">
        <v>9460.94</v>
      </c>
      <c r="H1737" t="str">
        <f>VLOOKUP(myynnit[[#This Row],[TuoteID]],ohjaus!$A$4:$B$20,2,FALSE)</f>
        <v>Pianotuoli</v>
      </c>
    </row>
    <row r="1738" spans="1:8" x14ac:dyDescent="0.35">
      <c r="A1738" t="s">
        <v>39</v>
      </c>
      <c r="B1738">
        <v>2014</v>
      </c>
      <c r="C1738">
        <v>2</v>
      </c>
      <c r="D1738">
        <v>13527</v>
      </c>
      <c r="E1738">
        <v>456</v>
      </c>
      <c r="F1738">
        <v>78558.06</v>
      </c>
      <c r="G1738">
        <v>20915.919999999998</v>
      </c>
      <c r="H1738" t="str">
        <f>VLOOKUP(myynnit[[#This Row],[TuoteID]],ohjaus!$A$4:$B$20,2,FALSE)</f>
        <v>Pinnatuoli</v>
      </c>
    </row>
    <row r="1739" spans="1:8" x14ac:dyDescent="0.35">
      <c r="A1739" t="s">
        <v>39</v>
      </c>
      <c r="B1739">
        <v>2014</v>
      </c>
      <c r="C1739">
        <v>2</v>
      </c>
      <c r="D1739">
        <v>13618</v>
      </c>
      <c r="E1739">
        <v>18</v>
      </c>
      <c r="F1739">
        <v>7997.28</v>
      </c>
      <c r="G1739">
        <v>4944.8599999999997</v>
      </c>
      <c r="H1739" t="str">
        <f>VLOOKUP(myynnit[[#This Row],[TuoteID]],ohjaus!$A$4:$B$20,2,FALSE)</f>
        <v>Pianotuoli</v>
      </c>
    </row>
    <row r="1740" spans="1:8" x14ac:dyDescent="0.35">
      <c r="A1740" t="s">
        <v>39</v>
      </c>
      <c r="B1740">
        <v>2014</v>
      </c>
      <c r="C1740">
        <v>2</v>
      </c>
      <c r="D1740">
        <v>16024</v>
      </c>
      <c r="E1740">
        <v>351</v>
      </c>
      <c r="F1740">
        <v>136218.59</v>
      </c>
      <c r="G1740">
        <v>43803.63</v>
      </c>
      <c r="H1740" t="str">
        <f>VLOOKUP(myynnit[[#This Row],[TuoteID]],ohjaus!$A$4:$B$20,2,FALSE)</f>
        <v>Työtuoli</v>
      </c>
    </row>
    <row r="1741" spans="1:8" x14ac:dyDescent="0.35">
      <c r="A1741" t="s">
        <v>39</v>
      </c>
      <c r="B1741">
        <v>2014</v>
      </c>
      <c r="C1741">
        <v>2</v>
      </c>
      <c r="D1741">
        <v>16650</v>
      </c>
      <c r="E1741">
        <v>42</v>
      </c>
      <c r="F1741">
        <v>7483.99</v>
      </c>
      <c r="G1741">
        <v>4528.42</v>
      </c>
      <c r="H1741" t="str">
        <f>VLOOKUP(myynnit[[#This Row],[TuoteID]],ohjaus!$A$4:$B$20,2,FALSE)</f>
        <v>Rahi</v>
      </c>
    </row>
    <row r="1742" spans="1:8" x14ac:dyDescent="0.35">
      <c r="A1742" t="s">
        <v>39</v>
      </c>
      <c r="B1742">
        <v>2014</v>
      </c>
      <c r="C1742">
        <v>2</v>
      </c>
      <c r="D1742">
        <v>17892</v>
      </c>
      <c r="E1742">
        <v>57</v>
      </c>
      <c r="F1742">
        <v>8244.83</v>
      </c>
      <c r="G1742">
        <v>2661.63</v>
      </c>
      <c r="H1742" t="str">
        <f>VLOOKUP(myynnit[[#This Row],[TuoteID]],ohjaus!$A$4:$B$20,2,FALSE)</f>
        <v>Lepotuoli</v>
      </c>
    </row>
    <row r="1743" spans="1:8" x14ac:dyDescent="0.35">
      <c r="A1743" t="s">
        <v>39</v>
      </c>
      <c r="B1743">
        <v>2014</v>
      </c>
      <c r="C1743">
        <v>2</v>
      </c>
      <c r="D1743">
        <v>18342</v>
      </c>
      <c r="E1743">
        <v>90</v>
      </c>
      <c r="F1743">
        <v>66510.850000000006</v>
      </c>
      <c r="G1743">
        <v>21519.88</v>
      </c>
      <c r="H1743" t="str">
        <f>VLOOKUP(myynnit[[#This Row],[TuoteID]],ohjaus!$A$4:$B$20,2,FALSE)</f>
        <v>Työtuoli</v>
      </c>
    </row>
    <row r="1744" spans="1:8" x14ac:dyDescent="0.35">
      <c r="A1744" t="s">
        <v>39</v>
      </c>
      <c r="B1744">
        <v>2014</v>
      </c>
      <c r="C1744">
        <v>2</v>
      </c>
      <c r="D1744">
        <v>20177</v>
      </c>
      <c r="E1744">
        <v>92</v>
      </c>
      <c r="F1744">
        <v>10128.49</v>
      </c>
      <c r="G1744">
        <v>4582.59</v>
      </c>
      <c r="H1744" t="str">
        <f>VLOOKUP(myynnit[[#This Row],[TuoteID]],ohjaus!$A$4:$B$20,2,FALSE)</f>
        <v>Säkkituoli</v>
      </c>
    </row>
    <row r="1745" spans="1:8" x14ac:dyDescent="0.35">
      <c r="A1745" t="s">
        <v>39</v>
      </c>
      <c r="B1745">
        <v>2014</v>
      </c>
      <c r="C1745">
        <v>2</v>
      </c>
      <c r="D1745">
        <v>21179</v>
      </c>
      <c r="E1745">
        <v>45</v>
      </c>
      <c r="F1745">
        <v>6590.15</v>
      </c>
      <c r="G1745">
        <v>4273.4799999999996</v>
      </c>
      <c r="H1745" t="str">
        <f>VLOOKUP(myynnit[[#This Row],[TuoteID]],ohjaus!$A$4:$B$20,2,FALSE)</f>
        <v>Rahi</v>
      </c>
    </row>
    <row r="1746" spans="1:8" x14ac:dyDescent="0.35">
      <c r="A1746" t="s">
        <v>39</v>
      </c>
      <c r="B1746">
        <v>2014</v>
      </c>
      <c r="C1746">
        <v>2</v>
      </c>
      <c r="D1746">
        <v>21260</v>
      </c>
      <c r="E1746">
        <v>53</v>
      </c>
      <c r="F1746">
        <v>10864.43</v>
      </c>
      <c r="G1746">
        <v>3378.47</v>
      </c>
      <c r="H1746" t="str">
        <f>VLOOKUP(myynnit[[#This Row],[TuoteID]],ohjaus!$A$4:$B$20,2,FALSE)</f>
        <v>Lepotuoli</v>
      </c>
    </row>
    <row r="1747" spans="1:8" x14ac:dyDescent="0.35">
      <c r="A1747" t="s">
        <v>39</v>
      </c>
      <c r="B1747">
        <v>2014</v>
      </c>
      <c r="C1747">
        <v>2</v>
      </c>
      <c r="D1747">
        <v>22317</v>
      </c>
      <c r="E1747">
        <v>49</v>
      </c>
      <c r="F1747">
        <v>4891.3599999999997</v>
      </c>
      <c r="G1747">
        <v>2520.69</v>
      </c>
      <c r="H1747" t="str">
        <f>VLOOKUP(myynnit[[#This Row],[TuoteID]],ohjaus!$A$4:$B$20,2,FALSE)</f>
        <v>Säkkituoli</v>
      </c>
    </row>
    <row r="1748" spans="1:8" x14ac:dyDescent="0.35">
      <c r="A1748" t="s">
        <v>39</v>
      </c>
      <c r="B1748">
        <v>2014</v>
      </c>
      <c r="C1748">
        <v>2</v>
      </c>
      <c r="D1748">
        <v>22940</v>
      </c>
      <c r="E1748">
        <v>638</v>
      </c>
      <c r="F1748">
        <v>89982.79</v>
      </c>
      <c r="G1748">
        <v>22132.79</v>
      </c>
      <c r="H1748" t="str">
        <f>VLOOKUP(myynnit[[#This Row],[TuoteID]],ohjaus!$A$4:$B$20,2,FALSE)</f>
        <v>Pinnatuoli</v>
      </c>
    </row>
    <row r="1749" spans="1:8" x14ac:dyDescent="0.35">
      <c r="A1749" t="s">
        <v>39</v>
      </c>
      <c r="B1749">
        <v>2014</v>
      </c>
      <c r="C1749">
        <v>2</v>
      </c>
      <c r="D1749">
        <v>23178</v>
      </c>
      <c r="E1749">
        <v>225</v>
      </c>
      <c r="F1749">
        <v>38410.11</v>
      </c>
      <c r="G1749">
        <v>9535.34</v>
      </c>
      <c r="H1749" t="str">
        <f>VLOOKUP(myynnit[[#This Row],[TuoteID]],ohjaus!$A$4:$B$20,2,FALSE)</f>
        <v>Pinnatuoli</v>
      </c>
    </row>
    <row r="1750" spans="1:8" x14ac:dyDescent="0.35">
      <c r="A1750" t="s">
        <v>39</v>
      </c>
      <c r="B1750">
        <v>2014</v>
      </c>
      <c r="C1750">
        <v>2</v>
      </c>
      <c r="D1750">
        <v>23600</v>
      </c>
      <c r="E1750">
        <v>582</v>
      </c>
      <c r="F1750">
        <v>61762.94</v>
      </c>
      <c r="G1750">
        <v>15701.05</v>
      </c>
      <c r="H1750" t="str">
        <f>VLOOKUP(myynnit[[#This Row],[TuoteID]],ohjaus!$A$4:$B$20,2,FALSE)</f>
        <v>Pinnatuoli</v>
      </c>
    </row>
    <row r="1751" spans="1:8" x14ac:dyDescent="0.35">
      <c r="A1751" t="s">
        <v>39</v>
      </c>
      <c r="B1751">
        <v>2014</v>
      </c>
      <c r="C1751">
        <v>2</v>
      </c>
      <c r="D1751">
        <v>23756</v>
      </c>
      <c r="E1751">
        <v>71</v>
      </c>
      <c r="F1751">
        <v>11035.73</v>
      </c>
      <c r="G1751">
        <v>5839.62</v>
      </c>
      <c r="H1751" t="str">
        <f>VLOOKUP(myynnit[[#This Row],[TuoteID]],ohjaus!$A$4:$B$20,2,FALSE)</f>
        <v>Pianotuoli</v>
      </c>
    </row>
    <row r="1752" spans="1:8" x14ac:dyDescent="0.35">
      <c r="A1752" t="s">
        <v>39</v>
      </c>
      <c r="B1752">
        <v>2014</v>
      </c>
      <c r="C1752">
        <v>2</v>
      </c>
      <c r="D1752">
        <v>24326</v>
      </c>
      <c r="E1752">
        <v>151</v>
      </c>
      <c r="F1752">
        <v>18873</v>
      </c>
      <c r="G1752">
        <v>6474.18</v>
      </c>
      <c r="H1752" t="str">
        <f>VLOOKUP(myynnit[[#This Row],[TuoteID]],ohjaus!$A$4:$B$20,2,FALSE)</f>
        <v>Lepotuoli</v>
      </c>
    </row>
    <row r="1753" spans="1:8" x14ac:dyDescent="0.35">
      <c r="A1753" t="s">
        <v>38</v>
      </c>
      <c r="B1753">
        <v>2014</v>
      </c>
      <c r="C1753">
        <v>2</v>
      </c>
      <c r="D1753">
        <v>12184</v>
      </c>
      <c r="E1753">
        <v>78</v>
      </c>
      <c r="F1753">
        <v>11042</v>
      </c>
      <c r="G1753">
        <v>6852.89</v>
      </c>
      <c r="H1753" t="str">
        <f>VLOOKUP(myynnit[[#This Row],[TuoteID]],ohjaus!$A$4:$B$20,2,FALSE)</f>
        <v>Rahi</v>
      </c>
    </row>
    <row r="1754" spans="1:8" x14ac:dyDescent="0.35">
      <c r="A1754" t="s">
        <v>38</v>
      </c>
      <c r="B1754">
        <v>2014</v>
      </c>
      <c r="C1754">
        <v>2</v>
      </c>
      <c r="D1754">
        <v>12622</v>
      </c>
      <c r="E1754">
        <v>43</v>
      </c>
      <c r="F1754">
        <v>12611.53</v>
      </c>
      <c r="G1754">
        <v>5907.35</v>
      </c>
      <c r="H1754" t="str">
        <f>VLOOKUP(myynnit[[#This Row],[TuoteID]],ohjaus!$A$4:$B$20,2,FALSE)</f>
        <v>Pianotuoli</v>
      </c>
    </row>
    <row r="1755" spans="1:8" x14ac:dyDescent="0.35">
      <c r="A1755" t="s">
        <v>38</v>
      </c>
      <c r="B1755">
        <v>2014</v>
      </c>
      <c r="C1755">
        <v>2</v>
      </c>
      <c r="D1755">
        <v>13527</v>
      </c>
      <c r="E1755">
        <v>381</v>
      </c>
      <c r="F1755">
        <v>66651.67</v>
      </c>
      <c r="G1755">
        <v>14070.54</v>
      </c>
      <c r="H1755" t="str">
        <f>VLOOKUP(myynnit[[#This Row],[TuoteID]],ohjaus!$A$4:$B$20,2,FALSE)</f>
        <v>Pinnatuoli</v>
      </c>
    </row>
    <row r="1756" spans="1:8" x14ac:dyDescent="0.35">
      <c r="A1756" t="s">
        <v>38</v>
      </c>
      <c r="B1756">
        <v>2014</v>
      </c>
      <c r="C1756">
        <v>2</v>
      </c>
      <c r="D1756">
        <v>13618</v>
      </c>
      <c r="E1756">
        <v>15</v>
      </c>
      <c r="F1756">
        <v>5122.24</v>
      </c>
      <c r="G1756">
        <v>2226.54</v>
      </c>
      <c r="H1756" t="str">
        <f>VLOOKUP(myynnit[[#This Row],[TuoteID]],ohjaus!$A$4:$B$20,2,FALSE)</f>
        <v>Pianotuoli</v>
      </c>
    </row>
    <row r="1757" spans="1:8" x14ac:dyDescent="0.35">
      <c r="A1757" t="s">
        <v>38</v>
      </c>
      <c r="B1757">
        <v>2014</v>
      </c>
      <c r="C1757">
        <v>2</v>
      </c>
      <c r="D1757">
        <v>16024</v>
      </c>
      <c r="E1757">
        <v>166</v>
      </c>
      <c r="F1757">
        <v>77609.2</v>
      </c>
      <c r="G1757">
        <v>21693.94</v>
      </c>
      <c r="H1757" t="str">
        <f>VLOOKUP(myynnit[[#This Row],[TuoteID]],ohjaus!$A$4:$B$20,2,FALSE)</f>
        <v>Työtuoli</v>
      </c>
    </row>
    <row r="1758" spans="1:8" x14ac:dyDescent="0.35">
      <c r="A1758" t="s">
        <v>38</v>
      </c>
      <c r="B1758">
        <v>2014</v>
      </c>
      <c r="C1758">
        <v>2</v>
      </c>
      <c r="D1758">
        <v>16650</v>
      </c>
      <c r="E1758">
        <v>60</v>
      </c>
      <c r="F1758">
        <v>9425.2000000000007</v>
      </c>
      <c r="G1758">
        <v>5208.91</v>
      </c>
      <c r="H1758" t="str">
        <f>VLOOKUP(myynnit[[#This Row],[TuoteID]],ohjaus!$A$4:$B$20,2,FALSE)</f>
        <v>Rahi</v>
      </c>
    </row>
    <row r="1759" spans="1:8" x14ac:dyDescent="0.35">
      <c r="A1759" t="s">
        <v>38</v>
      </c>
      <c r="B1759">
        <v>2014</v>
      </c>
      <c r="C1759">
        <v>2</v>
      </c>
      <c r="D1759">
        <v>17892</v>
      </c>
      <c r="E1759">
        <v>91</v>
      </c>
      <c r="F1759">
        <v>13715.32</v>
      </c>
      <c r="G1759">
        <v>4071.06</v>
      </c>
      <c r="H1759" t="str">
        <f>VLOOKUP(myynnit[[#This Row],[TuoteID]],ohjaus!$A$4:$B$20,2,FALSE)</f>
        <v>Lepotuoli</v>
      </c>
    </row>
    <row r="1760" spans="1:8" x14ac:dyDescent="0.35">
      <c r="A1760" t="s">
        <v>38</v>
      </c>
      <c r="B1760">
        <v>2014</v>
      </c>
      <c r="C1760">
        <v>2</v>
      </c>
      <c r="D1760">
        <v>18342</v>
      </c>
      <c r="E1760">
        <v>161</v>
      </c>
      <c r="F1760">
        <v>122028.51</v>
      </c>
      <c r="G1760">
        <v>32464.75</v>
      </c>
      <c r="H1760" t="str">
        <f>VLOOKUP(myynnit[[#This Row],[TuoteID]],ohjaus!$A$4:$B$20,2,FALSE)</f>
        <v>Työtuoli</v>
      </c>
    </row>
    <row r="1761" spans="1:8" x14ac:dyDescent="0.35">
      <c r="A1761" t="s">
        <v>38</v>
      </c>
      <c r="B1761">
        <v>2014</v>
      </c>
      <c r="C1761">
        <v>2</v>
      </c>
      <c r="D1761">
        <v>20177</v>
      </c>
      <c r="E1761">
        <v>102</v>
      </c>
      <c r="F1761">
        <v>10146.42</v>
      </c>
      <c r="G1761">
        <v>4158.3999999999996</v>
      </c>
      <c r="H1761" t="str">
        <f>VLOOKUP(myynnit[[#This Row],[TuoteID]],ohjaus!$A$4:$B$20,2,FALSE)</f>
        <v>Säkkituoli</v>
      </c>
    </row>
    <row r="1762" spans="1:8" x14ac:dyDescent="0.35">
      <c r="A1762" t="s">
        <v>38</v>
      </c>
      <c r="B1762">
        <v>2014</v>
      </c>
      <c r="C1762">
        <v>2</v>
      </c>
      <c r="D1762">
        <v>21179</v>
      </c>
      <c r="E1762">
        <v>40</v>
      </c>
      <c r="F1762">
        <v>4563.46</v>
      </c>
      <c r="G1762">
        <v>2704.03</v>
      </c>
      <c r="H1762" t="str">
        <f>VLOOKUP(myynnit[[#This Row],[TuoteID]],ohjaus!$A$4:$B$20,2,FALSE)</f>
        <v>Rahi</v>
      </c>
    </row>
    <row r="1763" spans="1:8" x14ac:dyDescent="0.35">
      <c r="A1763" t="s">
        <v>38</v>
      </c>
      <c r="B1763">
        <v>2014</v>
      </c>
      <c r="C1763">
        <v>2</v>
      </c>
      <c r="D1763">
        <v>21260</v>
      </c>
      <c r="E1763">
        <v>62</v>
      </c>
      <c r="F1763">
        <v>12753.1</v>
      </c>
      <c r="G1763">
        <v>3330.42</v>
      </c>
      <c r="H1763" t="str">
        <f>VLOOKUP(myynnit[[#This Row],[TuoteID]],ohjaus!$A$4:$B$20,2,FALSE)</f>
        <v>Lepotuoli</v>
      </c>
    </row>
    <row r="1764" spans="1:8" x14ac:dyDescent="0.35">
      <c r="A1764" t="s">
        <v>38</v>
      </c>
      <c r="B1764">
        <v>2014</v>
      </c>
      <c r="C1764">
        <v>2</v>
      </c>
      <c r="D1764">
        <v>22317</v>
      </c>
      <c r="E1764">
        <v>45</v>
      </c>
      <c r="F1764">
        <v>3690.5</v>
      </c>
      <c r="G1764">
        <v>1313.88</v>
      </c>
      <c r="H1764" t="str">
        <f>VLOOKUP(myynnit[[#This Row],[TuoteID]],ohjaus!$A$4:$B$20,2,FALSE)</f>
        <v>Säkkituoli</v>
      </c>
    </row>
    <row r="1765" spans="1:8" x14ac:dyDescent="0.35">
      <c r="A1765" t="s">
        <v>38</v>
      </c>
      <c r="B1765">
        <v>2014</v>
      </c>
      <c r="C1765">
        <v>2</v>
      </c>
      <c r="D1765">
        <v>22940</v>
      </c>
      <c r="E1765">
        <v>264</v>
      </c>
      <c r="F1765">
        <v>32082.83</v>
      </c>
      <c r="G1765">
        <v>6178.36</v>
      </c>
      <c r="H1765" t="str">
        <f>VLOOKUP(myynnit[[#This Row],[TuoteID]],ohjaus!$A$4:$B$20,2,FALSE)</f>
        <v>Pinnatuoli</v>
      </c>
    </row>
    <row r="1766" spans="1:8" x14ac:dyDescent="0.35">
      <c r="A1766" t="s">
        <v>38</v>
      </c>
      <c r="B1766">
        <v>2014</v>
      </c>
      <c r="C1766">
        <v>2</v>
      </c>
      <c r="D1766">
        <v>23178</v>
      </c>
      <c r="E1766">
        <v>284</v>
      </c>
      <c r="F1766">
        <v>50532.43</v>
      </c>
      <c r="G1766">
        <v>10779.01</v>
      </c>
      <c r="H1766" t="str">
        <f>VLOOKUP(myynnit[[#This Row],[TuoteID]],ohjaus!$A$4:$B$20,2,FALSE)</f>
        <v>Pinnatuoli</v>
      </c>
    </row>
    <row r="1767" spans="1:8" x14ac:dyDescent="0.35">
      <c r="A1767" t="s">
        <v>38</v>
      </c>
      <c r="B1767">
        <v>2014</v>
      </c>
      <c r="C1767">
        <v>2</v>
      </c>
      <c r="D1767">
        <v>23600</v>
      </c>
      <c r="E1767">
        <v>857</v>
      </c>
      <c r="F1767">
        <v>85801.919999999998</v>
      </c>
      <c r="G1767">
        <v>21745.91</v>
      </c>
      <c r="H1767" t="str">
        <f>VLOOKUP(myynnit[[#This Row],[TuoteID]],ohjaus!$A$4:$B$20,2,FALSE)</f>
        <v>Pinnatuoli</v>
      </c>
    </row>
    <row r="1768" spans="1:8" x14ac:dyDescent="0.35">
      <c r="A1768" t="s">
        <v>38</v>
      </c>
      <c r="B1768">
        <v>2014</v>
      </c>
      <c r="C1768">
        <v>2</v>
      </c>
      <c r="D1768">
        <v>23756</v>
      </c>
      <c r="E1768">
        <v>62</v>
      </c>
      <c r="F1768">
        <v>13100.17</v>
      </c>
      <c r="G1768">
        <v>5944.07</v>
      </c>
      <c r="H1768" t="str">
        <f>VLOOKUP(myynnit[[#This Row],[TuoteID]],ohjaus!$A$4:$B$20,2,FALSE)</f>
        <v>Pianotuoli</v>
      </c>
    </row>
    <row r="1769" spans="1:8" x14ac:dyDescent="0.35">
      <c r="A1769" t="s">
        <v>38</v>
      </c>
      <c r="B1769">
        <v>2014</v>
      </c>
      <c r="C1769">
        <v>2</v>
      </c>
      <c r="D1769">
        <v>24326</v>
      </c>
      <c r="E1769">
        <v>147</v>
      </c>
      <c r="F1769">
        <v>21974.78</v>
      </c>
      <c r="G1769">
        <v>5400.09</v>
      </c>
      <c r="H1769" t="str">
        <f>VLOOKUP(myynnit[[#This Row],[TuoteID]],ohjaus!$A$4:$B$20,2,FALSE)</f>
        <v>Lepotuoli</v>
      </c>
    </row>
    <row r="1770" spans="1:8" x14ac:dyDescent="0.35">
      <c r="A1770" t="s">
        <v>37</v>
      </c>
      <c r="B1770">
        <v>2014</v>
      </c>
      <c r="C1770">
        <v>3</v>
      </c>
      <c r="D1770">
        <v>12184</v>
      </c>
      <c r="E1770">
        <v>59</v>
      </c>
      <c r="F1770">
        <v>8434.75</v>
      </c>
      <c r="G1770">
        <v>3448.81</v>
      </c>
      <c r="H1770" t="str">
        <f>VLOOKUP(myynnit[[#This Row],[TuoteID]],ohjaus!$A$4:$B$20,2,FALSE)</f>
        <v>Rahi</v>
      </c>
    </row>
    <row r="1771" spans="1:8" x14ac:dyDescent="0.35">
      <c r="A1771" t="s">
        <v>37</v>
      </c>
      <c r="B1771">
        <v>2014</v>
      </c>
      <c r="C1771">
        <v>3</v>
      </c>
      <c r="D1771">
        <v>12622</v>
      </c>
      <c r="E1771">
        <v>38</v>
      </c>
      <c r="F1771">
        <v>10839.9</v>
      </c>
      <c r="G1771">
        <v>5505.4</v>
      </c>
      <c r="H1771" t="str">
        <f>VLOOKUP(myynnit[[#This Row],[TuoteID]],ohjaus!$A$4:$B$20,2,FALSE)</f>
        <v>Pianotuoli</v>
      </c>
    </row>
    <row r="1772" spans="1:8" x14ac:dyDescent="0.35">
      <c r="A1772" t="s">
        <v>37</v>
      </c>
      <c r="B1772">
        <v>2014</v>
      </c>
      <c r="C1772">
        <v>3</v>
      </c>
      <c r="D1772">
        <v>13527</v>
      </c>
      <c r="E1772">
        <v>702</v>
      </c>
      <c r="F1772">
        <v>109698.13</v>
      </c>
      <c r="G1772">
        <v>18917.52</v>
      </c>
      <c r="H1772" t="str">
        <f>VLOOKUP(myynnit[[#This Row],[TuoteID]],ohjaus!$A$4:$B$20,2,FALSE)</f>
        <v>Pinnatuoli</v>
      </c>
    </row>
    <row r="1773" spans="1:8" x14ac:dyDescent="0.35">
      <c r="A1773" t="s">
        <v>37</v>
      </c>
      <c r="B1773">
        <v>2014</v>
      </c>
      <c r="C1773">
        <v>3</v>
      </c>
      <c r="D1773">
        <v>13618</v>
      </c>
      <c r="E1773">
        <v>24</v>
      </c>
      <c r="F1773">
        <v>8513.26</v>
      </c>
      <c r="G1773">
        <v>3664.55</v>
      </c>
      <c r="H1773" t="str">
        <f>VLOOKUP(myynnit[[#This Row],[TuoteID]],ohjaus!$A$4:$B$20,2,FALSE)</f>
        <v>Pianotuoli</v>
      </c>
    </row>
    <row r="1774" spans="1:8" x14ac:dyDescent="0.35">
      <c r="A1774" t="s">
        <v>37</v>
      </c>
      <c r="B1774">
        <v>2014</v>
      </c>
      <c r="C1774">
        <v>3</v>
      </c>
      <c r="D1774">
        <v>16024</v>
      </c>
      <c r="E1774">
        <v>154</v>
      </c>
      <c r="F1774">
        <v>67505.88</v>
      </c>
      <c r="G1774">
        <v>16824.47</v>
      </c>
      <c r="H1774" t="str">
        <f>VLOOKUP(myynnit[[#This Row],[TuoteID]],ohjaus!$A$4:$B$20,2,FALSE)</f>
        <v>Työtuoli</v>
      </c>
    </row>
    <row r="1775" spans="1:8" x14ac:dyDescent="0.35">
      <c r="A1775" t="s">
        <v>37</v>
      </c>
      <c r="B1775">
        <v>2014</v>
      </c>
      <c r="C1775">
        <v>3</v>
      </c>
      <c r="D1775">
        <v>16650</v>
      </c>
      <c r="E1775">
        <v>47</v>
      </c>
      <c r="F1775">
        <v>5754.22</v>
      </c>
      <c r="G1775">
        <v>2620.87</v>
      </c>
      <c r="H1775" t="str">
        <f>VLOOKUP(myynnit[[#This Row],[TuoteID]],ohjaus!$A$4:$B$20,2,FALSE)</f>
        <v>Rahi</v>
      </c>
    </row>
    <row r="1776" spans="1:8" x14ac:dyDescent="0.35">
      <c r="A1776" t="s">
        <v>37</v>
      </c>
      <c r="B1776">
        <v>2014</v>
      </c>
      <c r="C1776">
        <v>3</v>
      </c>
      <c r="D1776">
        <v>17892</v>
      </c>
      <c r="E1776">
        <v>197</v>
      </c>
      <c r="F1776">
        <v>29642.93</v>
      </c>
      <c r="G1776">
        <v>8735.89</v>
      </c>
      <c r="H1776" t="str">
        <f>VLOOKUP(myynnit[[#This Row],[TuoteID]],ohjaus!$A$4:$B$20,2,FALSE)</f>
        <v>Lepotuoli</v>
      </c>
    </row>
    <row r="1777" spans="1:8" x14ac:dyDescent="0.35">
      <c r="A1777" t="s">
        <v>37</v>
      </c>
      <c r="B1777">
        <v>2014</v>
      </c>
      <c r="C1777">
        <v>3</v>
      </c>
      <c r="D1777">
        <v>18342</v>
      </c>
      <c r="E1777">
        <v>201</v>
      </c>
      <c r="F1777">
        <v>159425.32999999999</v>
      </c>
      <c r="G1777">
        <v>45300.31</v>
      </c>
      <c r="H1777" t="str">
        <f>VLOOKUP(myynnit[[#This Row],[TuoteID]],ohjaus!$A$4:$B$20,2,FALSE)</f>
        <v>Työtuoli</v>
      </c>
    </row>
    <row r="1778" spans="1:8" x14ac:dyDescent="0.35">
      <c r="A1778" t="s">
        <v>37</v>
      </c>
      <c r="B1778">
        <v>2014</v>
      </c>
      <c r="C1778">
        <v>3</v>
      </c>
      <c r="D1778">
        <v>20177</v>
      </c>
      <c r="E1778">
        <v>89</v>
      </c>
      <c r="F1778">
        <v>8379.57</v>
      </c>
      <c r="G1778">
        <v>3368.78</v>
      </c>
      <c r="H1778" t="str">
        <f>VLOOKUP(myynnit[[#This Row],[TuoteID]],ohjaus!$A$4:$B$20,2,FALSE)</f>
        <v>Säkkituoli</v>
      </c>
    </row>
    <row r="1779" spans="1:8" x14ac:dyDescent="0.35">
      <c r="A1779" t="s">
        <v>37</v>
      </c>
      <c r="B1779">
        <v>2014</v>
      </c>
      <c r="C1779">
        <v>3</v>
      </c>
      <c r="D1779">
        <v>21179</v>
      </c>
      <c r="E1779">
        <v>83</v>
      </c>
      <c r="F1779">
        <v>8692.39</v>
      </c>
      <c r="G1779">
        <v>4327.95</v>
      </c>
      <c r="H1779" t="str">
        <f>VLOOKUP(myynnit[[#This Row],[TuoteID]],ohjaus!$A$4:$B$20,2,FALSE)</f>
        <v>Rahi</v>
      </c>
    </row>
    <row r="1780" spans="1:8" x14ac:dyDescent="0.35">
      <c r="A1780" t="s">
        <v>37</v>
      </c>
      <c r="B1780">
        <v>2014</v>
      </c>
      <c r="C1780">
        <v>3</v>
      </c>
      <c r="D1780">
        <v>21260</v>
      </c>
      <c r="E1780">
        <v>92</v>
      </c>
      <c r="F1780">
        <v>18349.080000000002</v>
      </c>
      <c r="G1780">
        <v>5254.13</v>
      </c>
      <c r="H1780" t="str">
        <f>VLOOKUP(myynnit[[#This Row],[TuoteID]],ohjaus!$A$4:$B$20,2,FALSE)</f>
        <v>Lepotuoli</v>
      </c>
    </row>
    <row r="1781" spans="1:8" x14ac:dyDescent="0.35">
      <c r="A1781" t="s">
        <v>37</v>
      </c>
      <c r="B1781">
        <v>2014</v>
      </c>
      <c r="C1781">
        <v>3</v>
      </c>
      <c r="D1781">
        <v>22317</v>
      </c>
      <c r="E1781">
        <v>117</v>
      </c>
      <c r="F1781">
        <v>9706.14</v>
      </c>
      <c r="G1781">
        <v>4076.09</v>
      </c>
      <c r="H1781" t="str">
        <f>VLOOKUP(myynnit[[#This Row],[TuoteID]],ohjaus!$A$4:$B$20,2,FALSE)</f>
        <v>Säkkituoli</v>
      </c>
    </row>
    <row r="1782" spans="1:8" x14ac:dyDescent="0.35">
      <c r="A1782" t="s">
        <v>37</v>
      </c>
      <c r="B1782">
        <v>2014</v>
      </c>
      <c r="C1782">
        <v>3</v>
      </c>
      <c r="D1782">
        <v>22940</v>
      </c>
      <c r="E1782">
        <v>665</v>
      </c>
      <c r="F1782">
        <v>80867.22</v>
      </c>
      <c r="G1782">
        <v>15553.12</v>
      </c>
      <c r="H1782" t="str">
        <f>VLOOKUP(myynnit[[#This Row],[TuoteID]],ohjaus!$A$4:$B$20,2,FALSE)</f>
        <v>Pinnatuoli</v>
      </c>
    </row>
    <row r="1783" spans="1:8" x14ac:dyDescent="0.35">
      <c r="A1783" t="s">
        <v>37</v>
      </c>
      <c r="B1783">
        <v>2014</v>
      </c>
      <c r="C1783">
        <v>3</v>
      </c>
      <c r="D1783">
        <v>23178</v>
      </c>
      <c r="E1783">
        <v>309</v>
      </c>
      <c r="F1783">
        <v>49442.75</v>
      </c>
      <c r="G1783">
        <v>10205.58</v>
      </c>
      <c r="H1783" t="str">
        <f>VLOOKUP(myynnit[[#This Row],[TuoteID]],ohjaus!$A$4:$B$20,2,FALSE)</f>
        <v>Pinnatuoli</v>
      </c>
    </row>
    <row r="1784" spans="1:8" x14ac:dyDescent="0.35">
      <c r="A1784" t="s">
        <v>37</v>
      </c>
      <c r="B1784">
        <v>2014</v>
      </c>
      <c r="C1784">
        <v>3</v>
      </c>
      <c r="D1784">
        <v>23600</v>
      </c>
      <c r="E1784">
        <v>1068</v>
      </c>
      <c r="F1784">
        <v>108620.37</v>
      </c>
      <c r="G1784">
        <v>27986.6</v>
      </c>
      <c r="H1784" t="str">
        <f>VLOOKUP(myynnit[[#This Row],[TuoteID]],ohjaus!$A$4:$B$20,2,FALSE)</f>
        <v>Pinnatuoli</v>
      </c>
    </row>
    <row r="1785" spans="1:8" x14ac:dyDescent="0.35">
      <c r="A1785" t="s">
        <v>37</v>
      </c>
      <c r="B1785">
        <v>2014</v>
      </c>
      <c r="C1785">
        <v>3</v>
      </c>
      <c r="D1785">
        <v>23756</v>
      </c>
      <c r="E1785">
        <v>136</v>
      </c>
      <c r="F1785">
        <v>24322.14</v>
      </c>
      <c r="G1785">
        <v>10633.43</v>
      </c>
      <c r="H1785" t="str">
        <f>VLOOKUP(myynnit[[#This Row],[TuoteID]],ohjaus!$A$4:$B$20,2,FALSE)</f>
        <v>Pianotuoli</v>
      </c>
    </row>
    <row r="1786" spans="1:8" x14ac:dyDescent="0.35">
      <c r="A1786" t="s">
        <v>37</v>
      </c>
      <c r="B1786">
        <v>2014</v>
      </c>
      <c r="C1786">
        <v>3</v>
      </c>
      <c r="D1786">
        <v>24326</v>
      </c>
      <c r="E1786">
        <v>164</v>
      </c>
      <c r="F1786">
        <v>21385.200000000001</v>
      </c>
      <c r="G1786">
        <v>6986.38</v>
      </c>
      <c r="H1786" t="str">
        <f>VLOOKUP(myynnit[[#This Row],[TuoteID]],ohjaus!$A$4:$B$20,2,FALSE)</f>
        <v>Lepotuoli</v>
      </c>
    </row>
    <row r="1787" spans="1:8" x14ac:dyDescent="0.35">
      <c r="A1787" t="s">
        <v>40</v>
      </c>
      <c r="B1787">
        <v>2014</v>
      </c>
      <c r="C1787">
        <v>3</v>
      </c>
      <c r="D1787">
        <v>12184</v>
      </c>
      <c r="E1787">
        <v>15</v>
      </c>
      <c r="F1787">
        <v>1659.78</v>
      </c>
      <c r="G1787">
        <v>857.12</v>
      </c>
      <c r="H1787" t="str">
        <f>VLOOKUP(myynnit[[#This Row],[TuoteID]],ohjaus!$A$4:$B$20,2,FALSE)</f>
        <v>Rahi</v>
      </c>
    </row>
    <row r="1788" spans="1:8" x14ac:dyDescent="0.35">
      <c r="A1788" t="s">
        <v>40</v>
      </c>
      <c r="B1788">
        <v>2014</v>
      </c>
      <c r="C1788">
        <v>3</v>
      </c>
      <c r="D1788">
        <v>12622</v>
      </c>
      <c r="E1788">
        <v>20</v>
      </c>
      <c r="F1788">
        <v>4605.72</v>
      </c>
      <c r="G1788">
        <v>1893.86</v>
      </c>
      <c r="H1788" t="str">
        <f>VLOOKUP(myynnit[[#This Row],[TuoteID]],ohjaus!$A$4:$B$20,2,FALSE)</f>
        <v>Pianotuoli</v>
      </c>
    </row>
    <row r="1789" spans="1:8" x14ac:dyDescent="0.35">
      <c r="A1789" t="s">
        <v>40</v>
      </c>
      <c r="B1789">
        <v>2014</v>
      </c>
      <c r="C1789">
        <v>3</v>
      </c>
      <c r="D1789">
        <v>13527</v>
      </c>
      <c r="E1789">
        <v>209</v>
      </c>
      <c r="F1789">
        <v>30875.15</v>
      </c>
      <c r="G1789">
        <v>6131.15</v>
      </c>
      <c r="H1789" t="str">
        <f>VLOOKUP(myynnit[[#This Row],[TuoteID]],ohjaus!$A$4:$B$20,2,FALSE)</f>
        <v>Pinnatuoli</v>
      </c>
    </row>
    <row r="1790" spans="1:8" x14ac:dyDescent="0.35">
      <c r="A1790" t="s">
        <v>40</v>
      </c>
      <c r="B1790">
        <v>2014</v>
      </c>
      <c r="C1790">
        <v>3</v>
      </c>
      <c r="D1790">
        <v>13618</v>
      </c>
      <c r="E1790">
        <v>10</v>
      </c>
      <c r="F1790">
        <v>4057.36</v>
      </c>
      <c r="G1790">
        <v>1758.68</v>
      </c>
      <c r="H1790" t="str">
        <f>VLOOKUP(myynnit[[#This Row],[TuoteID]],ohjaus!$A$4:$B$20,2,FALSE)</f>
        <v>Pianotuoli</v>
      </c>
    </row>
    <row r="1791" spans="1:8" x14ac:dyDescent="0.35">
      <c r="A1791" t="s">
        <v>40</v>
      </c>
      <c r="B1791">
        <v>2014</v>
      </c>
      <c r="C1791">
        <v>3</v>
      </c>
      <c r="D1791">
        <v>16024</v>
      </c>
      <c r="E1791">
        <v>182</v>
      </c>
      <c r="F1791">
        <v>78287.38</v>
      </c>
      <c r="G1791">
        <v>21602.59</v>
      </c>
      <c r="H1791" t="str">
        <f>VLOOKUP(myynnit[[#This Row],[TuoteID]],ohjaus!$A$4:$B$20,2,FALSE)</f>
        <v>Työtuoli</v>
      </c>
    </row>
    <row r="1792" spans="1:8" x14ac:dyDescent="0.35">
      <c r="A1792" t="s">
        <v>40</v>
      </c>
      <c r="B1792">
        <v>2014</v>
      </c>
      <c r="C1792">
        <v>3</v>
      </c>
      <c r="D1792">
        <v>16650</v>
      </c>
      <c r="E1792">
        <v>26</v>
      </c>
      <c r="F1792">
        <v>4759.45</v>
      </c>
      <c r="G1792">
        <v>2997.23</v>
      </c>
      <c r="H1792" t="str">
        <f>VLOOKUP(myynnit[[#This Row],[TuoteID]],ohjaus!$A$4:$B$20,2,FALSE)</f>
        <v>Rahi</v>
      </c>
    </row>
    <row r="1793" spans="1:8" x14ac:dyDescent="0.35">
      <c r="A1793" t="s">
        <v>40</v>
      </c>
      <c r="B1793">
        <v>2014</v>
      </c>
      <c r="C1793">
        <v>3</v>
      </c>
      <c r="D1793">
        <v>17892</v>
      </c>
      <c r="E1793">
        <v>61</v>
      </c>
      <c r="F1793">
        <v>9094.58</v>
      </c>
      <c r="G1793">
        <v>2490.81</v>
      </c>
      <c r="H1793" t="str">
        <f>VLOOKUP(myynnit[[#This Row],[TuoteID]],ohjaus!$A$4:$B$20,2,FALSE)</f>
        <v>Lepotuoli</v>
      </c>
    </row>
    <row r="1794" spans="1:8" x14ac:dyDescent="0.35">
      <c r="A1794" t="s">
        <v>40</v>
      </c>
      <c r="B1794">
        <v>2014</v>
      </c>
      <c r="C1794">
        <v>3</v>
      </c>
      <c r="D1794">
        <v>18342</v>
      </c>
      <c r="E1794">
        <v>19</v>
      </c>
      <c r="F1794">
        <v>17392.03</v>
      </c>
      <c r="G1794">
        <v>5015.2</v>
      </c>
      <c r="H1794" t="str">
        <f>VLOOKUP(myynnit[[#This Row],[TuoteID]],ohjaus!$A$4:$B$20,2,FALSE)</f>
        <v>Työtuoli</v>
      </c>
    </row>
    <row r="1795" spans="1:8" x14ac:dyDescent="0.35">
      <c r="A1795" t="s">
        <v>40</v>
      </c>
      <c r="B1795">
        <v>2014</v>
      </c>
      <c r="C1795">
        <v>3</v>
      </c>
      <c r="D1795">
        <v>20177</v>
      </c>
      <c r="E1795">
        <v>33</v>
      </c>
      <c r="F1795">
        <v>3674.34</v>
      </c>
      <c r="G1795">
        <v>1261.73</v>
      </c>
      <c r="H1795" t="str">
        <f>VLOOKUP(myynnit[[#This Row],[TuoteID]],ohjaus!$A$4:$B$20,2,FALSE)</f>
        <v>Säkkituoli</v>
      </c>
    </row>
    <row r="1796" spans="1:8" x14ac:dyDescent="0.35">
      <c r="A1796" t="s">
        <v>40</v>
      </c>
      <c r="B1796">
        <v>2014</v>
      </c>
      <c r="C1796">
        <v>3</v>
      </c>
      <c r="D1796">
        <v>21179</v>
      </c>
      <c r="E1796">
        <v>35</v>
      </c>
      <c r="F1796">
        <v>4930.96</v>
      </c>
      <c r="G1796">
        <v>2929.73</v>
      </c>
      <c r="H1796" t="str">
        <f>VLOOKUP(myynnit[[#This Row],[TuoteID]],ohjaus!$A$4:$B$20,2,FALSE)</f>
        <v>Rahi</v>
      </c>
    </row>
    <row r="1797" spans="1:8" x14ac:dyDescent="0.35">
      <c r="A1797" t="s">
        <v>40</v>
      </c>
      <c r="B1797">
        <v>2014</v>
      </c>
      <c r="C1797">
        <v>3</v>
      </c>
      <c r="D1797">
        <v>21260</v>
      </c>
      <c r="E1797">
        <v>43</v>
      </c>
      <c r="F1797">
        <v>7457</v>
      </c>
      <c r="G1797">
        <v>1845.9</v>
      </c>
      <c r="H1797" t="str">
        <f>VLOOKUP(myynnit[[#This Row],[TuoteID]],ohjaus!$A$4:$B$20,2,FALSE)</f>
        <v>Lepotuoli</v>
      </c>
    </row>
    <row r="1798" spans="1:8" x14ac:dyDescent="0.35">
      <c r="A1798" t="s">
        <v>40</v>
      </c>
      <c r="B1798">
        <v>2014</v>
      </c>
      <c r="C1798">
        <v>3</v>
      </c>
      <c r="D1798">
        <v>22317</v>
      </c>
      <c r="E1798">
        <v>12</v>
      </c>
      <c r="F1798">
        <v>889.88</v>
      </c>
      <c r="G1798">
        <v>439.51</v>
      </c>
      <c r="H1798" t="str">
        <f>VLOOKUP(myynnit[[#This Row],[TuoteID]],ohjaus!$A$4:$B$20,2,FALSE)</f>
        <v>Säkkituoli</v>
      </c>
    </row>
    <row r="1799" spans="1:8" x14ac:dyDescent="0.35">
      <c r="A1799" t="s">
        <v>40</v>
      </c>
      <c r="B1799">
        <v>2014</v>
      </c>
      <c r="C1799">
        <v>3</v>
      </c>
      <c r="D1799">
        <v>22940</v>
      </c>
      <c r="E1799">
        <v>116</v>
      </c>
      <c r="F1799">
        <v>15868.36</v>
      </c>
      <c r="G1799">
        <v>4131.95</v>
      </c>
      <c r="H1799" t="str">
        <f>VLOOKUP(myynnit[[#This Row],[TuoteID]],ohjaus!$A$4:$B$20,2,FALSE)</f>
        <v>Pinnatuoli</v>
      </c>
    </row>
    <row r="1800" spans="1:8" x14ac:dyDescent="0.35">
      <c r="A1800" t="s">
        <v>40</v>
      </c>
      <c r="B1800">
        <v>2014</v>
      </c>
      <c r="C1800">
        <v>3</v>
      </c>
      <c r="D1800">
        <v>23178</v>
      </c>
      <c r="E1800">
        <v>285</v>
      </c>
      <c r="F1800">
        <v>50621.8</v>
      </c>
      <c r="G1800">
        <v>11719.94</v>
      </c>
      <c r="H1800" t="str">
        <f>VLOOKUP(myynnit[[#This Row],[TuoteID]],ohjaus!$A$4:$B$20,2,FALSE)</f>
        <v>Pinnatuoli</v>
      </c>
    </row>
    <row r="1801" spans="1:8" x14ac:dyDescent="0.35">
      <c r="A1801" t="s">
        <v>40</v>
      </c>
      <c r="B1801">
        <v>2014</v>
      </c>
      <c r="C1801">
        <v>3</v>
      </c>
      <c r="D1801">
        <v>23600</v>
      </c>
      <c r="E1801">
        <v>372</v>
      </c>
      <c r="F1801">
        <v>45080.01</v>
      </c>
      <c r="G1801">
        <v>12799.44</v>
      </c>
      <c r="H1801" t="str">
        <f>VLOOKUP(myynnit[[#This Row],[TuoteID]],ohjaus!$A$4:$B$20,2,FALSE)</f>
        <v>Pinnatuoli</v>
      </c>
    </row>
    <row r="1802" spans="1:8" x14ac:dyDescent="0.35">
      <c r="A1802" t="s">
        <v>40</v>
      </c>
      <c r="B1802">
        <v>2014</v>
      </c>
      <c r="C1802">
        <v>3</v>
      </c>
      <c r="D1802">
        <v>23756</v>
      </c>
      <c r="E1802">
        <v>42</v>
      </c>
      <c r="F1802">
        <v>8585.85</v>
      </c>
      <c r="G1802">
        <v>3888.03</v>
      </c>
      <c r="H1802" t="str">
        <f>VLOOKUP(myynnit[[#This Row],[TuoteID]],ohjaus!$A$4:$B$20,2,FALSE)</f>
        <v>Pianotuoli</v>
      </c>
    </row>
    <row r="1803" spans="1:8" x14ac:dyDescent="0.35">
      <c r="A1803" t="s">
        <v>40</v>
      </c>
      <c r="B1803">
        <v>2014</v>
      </c>
      <c r="C1803">
        <v>3</v>
      </c>
      <c r="D1803">
        <v>24326</v>
      </c>
      <c r="E1803">
        <v>22</v>
      </c>
      <c r="F1803">
        <v>2969.88</v>
      </c>
      <c r="G1803">
        <v>885.18</v>
      </c>
      <c r="H1803" t="str">
        <f>VLOOKUP(myynnit[[#This Row],[TuoteID]],ohjaus!$A$4:$B$20,2,FALSE)</f>
        <v>Lepotuoli</v>
      </c>
    </row>
    <row r="1804" spans="1:8" x14ac:dyDescent="0.35">
      <c r="A1804" t="s">
        <v>39</v>
      </c>
      <c r="B1804">
        <v>2014</v>
      </c>
      <c r="C1804">
        <v>3</v>
      </c>
      <c r="D1804">
        <v>12184</v>
      </c>
      <c r="E1804">
        <v>88</v>
      </c>
      <c r="F1804">
        <v>11432.61</v>
      </c>
      <c r="G1804">
        <v>7954.32</v>
      </c>
      <c r="H1804" t="str">
        <f>VLOOKUP(myynnit[[#This Row],[TuoteID]],ohjaus!$A$4:$B$20,2,FALSE)</f>
        <v>Rahi</v>
      </c>
    </row>
    <row r="1805" spans="1:8" x14ac:dyDescent="0.35">
      <c r="A1805" t="s">
        <v>39</v>
      </c>
      <c r="B1805">
        <v>2014</v>
      </c>
      <c r="C1805">
        <v>3</v>
      </c>
      <c r="D1805">
        <v>12622</v>
      </c>
      <c r="E1805">
        <v>41</v>
      </c>
      <c r="F1805">
        <v>12181.56</v>
      </c>
      <c r="G1805">
        <v>7018.15</v>
      </c>
      <c r="H1805" t="str">
        <f>VLOOKUP(myynnit[[#This Row],[TuoteID]],ohjaus!$A$4:$B$20,2,FALSE)</f>
        <v>Pianotuoli</v>
      </c>
    </row>
    <row r="1806" spans="1:8" x14ac:dyDescent="0.35">
      <c r="A1806" t="s">
        <v>39</v>
      </c>
      <c r="B1806">
        <v>2014</v>
      </c>
      <c r="C1806">
        <v>3</v>
      </c>
      <c r="D1806">
        <v>13527</v>
      </c>
      <c r="E1806">
        <v>456</v>
      </c>
      <c r="F1806">
        <v>67748.460000000006</v>
      </c>
      <c r="G1806">
        <v>18449.12</v>
      </c>
      <c r="H1806" t="str">
        <f>VLOOKUP(myynnit[[#This Row],[TuoteID]],ohjaus!$A$4:$B$20,2,FALSE)</f>
        <v>Pinnatuoli</v>
      </c>
    </row>
    <row r="1807" spans="1:8" x14ac:dyDescent="0.35">
      <c r="A1807" t="s">
        <v>39</v>
      </c>
      <c r="B1807">
        <v>2014</v>
      </c>
      <c r="C1807">
        <v>3</v>
      </c>
      <c r="D1807">
        <v>13618</v>
      </c>
      <c r="E1807">
        <v>27</v>
      </c>
      <c r="F1807">
        <v>11623.48</v>
      </c>
      <c r="G1807">
        <v>6128.74</v>
      </c>
      <c r="H1807" t="str">
        <f>VLOOKUP(myynnit[[#This Row],[TuoteID]],ohjaus!$A$4:$B$20,2,FALSE)</f>
        <v>Pianotuoli</v>
      </c>
    </row>
    <row r="1808" spans="1:8" x14ac:dyDescent="0.35">
      <c r="A1808" t="s">
        <v>39</v>
      </c>
      <c r="B1808">
        <v>2014</v>
      </c>
      <c r="C1808">
        <v>3</v>
      </c>
      <c r="D1808">
        <v>16024</v>
      </c>
      <c r="E1808">
        <v>181</v>
      </c>
      <c r="F1808">
        <v>78669.179999999993</v>
      </c>
      <c r="G1808">
        <v>23214.6</v>
      </c>
      <c r="H1808" t="str">
        <f>VLOOKUP(myynnit[[#This Row],[TuoteID]],ohjaus!$A$4:$B$20,2,FALSE)</f>
        <v>Työtuoli</v>
      </c>
    </row>
    <row r="1809" spans="1:8" x14ac:dyDescent="0.35">
      <c r="A1809" t="s">
        <v>39</v>
      </c>
      <c r="B1809">
        <v>2014</v>
      </c>
      <c r="C1809">
        <v>3</v>
      </c>
      <c r="D1809">
        <v>16650</v>
      </c>
      <c r="E1809">
        <v>35</v>
      </c>
      <c r="F1809">
        <v>6202.12</v>
      </c>
      <c r="G1809">
        <v>4190.51</v>
      </c>
      <c r="H1809" t="str">
        <f>VLOOKUP(myynnit[[#This Row],[TuoteID]],ohjaus!$A$4:$B$20,2,FALSE)</f>
        <v>Rahi</v>
      </c>
    </row>
    <row r="1810" spans="1:8" x14ac:dyDescent="0.35">
      <c r="A1810" t="s">
        <v>39</v>
      </c>
      <c r="B1810">
        <v>2014</v>
      </c>
      <c r="C1810">
        <v>3</v>
      </c>
      <c r="D1810">
        <v>17892</v>
      </c>
      <c r="E1810">
        <v>120</v>
      </c>
      <c r="F1810">
        <v>18580.900000000001</v>
      </c>
      <c r="G1810">
        <v>5973.05</v>
      </c>
      <c r="H1810" t="str">
        <f>VLOOKUP(myynnit[[#This Row],[TuoteID]],ohjaus!$A$4:$B$20,2,FALSE)</f>
        <v>Lepotuoli</v>
      </c>
    </row>
    <row r="1811" spans="1:8" x14ac:dyDescent="0.35">
      <c r="A1811" t="s">
        <v>39</v>
      </c>
      <c r="B1811">
        <v>2014</v>
      </c>
      <c r="C1811">
        <v>3</v>
      </c>
      <c r="D1811">
        <v>18342</v>
      </c>
      <c r="E1811">
        <v>102</v>
      </c>
      <c r="F1811">
        <v>90280.97</v>
      </c>
      <c r="G1811">
        <v>30249.08</v>
      </c>
      <c r="H1811" t="str">
        <f>VLOOKUP(myynnit[[#This Row],[TuoteID]],ohjaus!$A$4:$B$20,2,FALSE)</f>
        <v>Työtuoli</v>
      </c>
    </row>
    <row r="1812" spans="1:8" x14ac:dyDescent="0.35">
      <c r="A1812" t="s">
        <v>39</v>
      </c>
      <c r="B1812">
        <v>2014</v>
      </c>
      <c r="C1812">
        <v>3</v>
      </c>
      <c r="D1812">
        <v>20177</v>
      </c>
      <c r="E1812">
        <v>49</v>
      </c>
      <c r="F1812">
        <v>4970.1099999999997</v>
      </c>
      <c r="G1812">
        <v>2597.66</v>
      </c>
      <c r="H1812" t="str">
        <f>VLOOKUP(myynnit[[#This Row],[TuoteID]],ohjaus!$A$4:$B$20,2,FALSE)</f>
        <v>Säkkituoli</v>
      </c>
    </row>
    <row r="1813" spans="1:8" x14ac:dyDescent="0.35">
      <c r="A1813" t="s">
        <v>39</v>
      </c>
      <c r="B1813">
        <v>2014</v>
      </c>
      <c r="C1813">
        <v>3</v>
      </c>
      <c r="D1813">
        <v>21179</v>
      </c>
      <c r="E1813">
        <v>47</v>
      </c>
      <c r="F1813">
        <v>6050.52</v>
      </c>
      <c r="G1813">
        <v>3801.91</v>
      </c>
      <c r="H1813" t="str">
        <f>VLOOKUP(myynnit[[#This Row],[TuoteID]],ohjaus!$A$4:$B$20,2,FALSE)</f>
        <v>Rahi</v>
      </c>
    </row>
    <row r="1814" spans="1:8" x14ac:dyDescent="0.35">
      <c r="A1814" t="s">
        <v>39</v>
      </c>
      <c r="B1814">
        <v>2014</v>
      </c>
      <c r="C1814">
        <v>3</v>
      </c>
      <c r="D1814">
        <v>21260</v>
      </c>
      <c r="E1814">
        <v>32</v>
      </c>
      <c r="F1814">
        <v>5927.88</v>
      </c>
      <c r="G1814">
        <v>1898.74</v>
      </c>
      <c r="H1814" t="str">
        <f>VLOOKUP(myynnit[[#This Row],[TuoteID]],ohjaus!$A$4:$B$20,2,FALSE)</f>
        <v>Lepotuoli</v>
      </c>
    </row>
    <row r="1815" spans="1:8" x14ac:dyDescent="0.35">
      <c r="A1815" t="s">
        <v>39</v>
      </c>
      <c r="B1815">
        <v>2014</v>
      </c>
      <c r="C1815">
        <v>3</v>
      </c>
      <c r="D1815">
        <v>22317</v>
      </c>
      <c r="E1815">
        <v>50</v>
      </c>
      <c r="F1815">
        <v>3895.17</v>
      </c>
      <c r="G1815">
        <v>2033.8</v>
      </c>
      <c r="H1815" t="str">
        <f>VLOOKUP(myynnit[[#This Row],[TuoteID]],ohjaus!$A$4:$B$20,2,FALSE)</f>
        <v>Säkkituoli</v>
      </c>
    </row>
    <row r="1816" spans="1:8" x14ac:dyDescent="0.35">
      <c r="A1816" t="s">
        <v>39</v>
      </c>
      <c r="B1816">
        <v>2014</v>
      </c>
      <c r="C1816">
        <v>3</v>
      </c>
      <c r="D1816">
        <v>22940</v>
      </c>
      <c r="E1816">
        <v>681</v>
      </c>
      <c r="F1816">
        <v>87622.85</v>
      </c>
      <c r="G1816">
        <v>21814.17</v>
      </c>
      <c r="H1816" t="str">
        <f>VLOOKUP(myynnit[[#This Row],[TuoteID]],ohjaus!$A$4:$B$20,2,FALSE)</f>
        <v>Pinnatuoli</v>
      </c>
    </row>
    <row r="1817" spans="1:8" x14ac:dyDescent="0.35">
      <c r="A1817" t="s">
        <v>39</v>
      </c>
      <c r="B1817">
        <v>2014</v>
      </c>
      <c r="C1817">
        <v>3</v>
      </c>
      <c r="D1817">
        <v>23178</v>
      </c>
      <c r="E1817">
        <v>260</v>
      </c>
      <c r="F1817">
        <v>41493.379999999997</v>
      </c>
      <c r="G1817">
        <v>10777.53</v>
      </c>
      <c r="H1817" t="str">
        <f>VLOOKUP(myynnit[[#This Row],[TuoteID]],ohjaus!$A$4:$B$20,2,FALSE)</f>
        <v>Pinnatuoli</v>
      </c>
    </row>
    <row r="1818" spans="1:8" x14ac:dyDescent="0.35">
      <c r="A1818" t="s">
        <v>39</v>
      </c>
      <c r="B1818">
        <v>2014</v>
      </c>
      <c r="C1818">
        <v>3</v>
      </c>
      <c r="D1818">
        <v>23600</v>
      </c>
      <c r="E1818">
        <v>968</v>
      </c>
      <c r="F1818">
        <v>121785.01</v>
      </c>
      <c r="G1818">
        <v>39818.9</v>
      </c>
      <c r="H1818" t="str">
        <f>VLOOKUP(myynnit[[#This Row],[TuoteID]],ohjaus!$A$4:$B$20,2,FALSE)</f>
        <v>Pinnatuoli</v>
      </c>
    </row>
    <row r="1819" spans="1:8" x14ac:dyDescent="0.35">
      <c r="A1819" t="s">
        <v>39</v>
      </c>
      <c r="B1819">
        <v>2014</v>
      </c>
      <c r="C1819">
        <v>3</v>
      </c>
      <c r="D1819">
        <v>23756</v>
      </c>
      <c r="E1819">
        <v>133</v>
      </c>
      <c r="F1819">
        <v>26431.52</v>
      </c>
      <c r="G1819">
        <v>16432</v>
      </c>
      <c r="H1819" t="str">
        <f>VLOOKUP(myynnit[[#This Row],[TuoteID]],ohjaus!$A$4:$B$20,2,FALSE)</f>
        <v>Pianotuoli</v>
      </c>
    </row>
    <row r="1820" spans="1:8" x14ac:dyDescent="0.35">
      <c r="A1820" t="s">
        <v>39</v>
      </c>
      <c r="B1820">
        <v>2014</v>
      </c>
      <c r="C1820">
        <v>3</v>
      </c>
      <c r="D1820">
        <v>24326</v>
      </c>
      <c r="E1820">
        <v>57</v>
      </c>
      <c r="F1820">
        <v>7785.84</v>
      </c>
      <c r="G1820">
        <v>2108.46</v>
      </c>
      <c r="H1820" t="str">
        <f>VLOOKUP(myynnit[[#This Row],[TuoteID]],ohjaus!$A$4:$B$20,2,FALSE)</f>
        <v>Lepotuoli</v>
      </c>
    </row>
    <row r="1821" spans="1:8" x14ac:dyDescent="0.35">
      <c r="A1821" t="s">
        <v>38</v>
      </c>
      <c r="B1821">
        <v>2014</v>
      </c>
      <c r="C1821">
        <v>3</v>
      </c>
      <c r="D1821">
        <v>12184</v>
      </c>
      <c r="E1821">
        <v>65</v>
      </c>
      <c r="F1821">
        <v>9805.82</v>
      </c>
      <c r="G1821">
        <v>6011.25</v>
      </c>
      <c r="H1821" t="str">
        <f>VLOOKUP(myynnit[[#This Row],[TuoteID]],ohjaus!$A$4:$B$20,2,FALSE)</f>
        <v>Rahi</v>
      </c>
    </row>
    <row r="1822" spans="1:8" x14ac:dyDescent="0.35">
      <c r="A1822" t="s">
        <v>38</v>
      </c>
      <c r="B1822">
        <v>2014</v>
      </c>
      <c r="C1822">
        <v>3</v>
      </c>
      <c r="D1822">
        <v>12622</v>
      </c>
      <c r="E1822">
        <v>46</v>
      </c>
      <c r="F1822">
        <v>11874.67</v>
      </c>
      <c r="G1822">
        <v>5344.15</v>
      </c>
      <c r="H1822" t="str">
        <f>VLOOKUP(myynnit[[#This Row],[TuoteID]],ohjaus!$A$4:$B$20,2,FALSE)</f>
        <v>Pianotuoli</v>
      </c>
    </row>
    <row r="1823" spans="1:8" x14ac:dyDescent="0.35">
      <c r="A1823" t="s">
        <v>38</v>
      </c>
      <c r="B1823">
        <v>2014</v>
      </c>
      <c r="C1823">
        <v>3</v>
      </c>
      <c r="D1823">
        <v>13527</v>
      </c>
      <c r="E1823">
        <v>676</v>
      </c>
      <c r="F1823">
        <v>118109.4</v>
      </c>
      <c r="G1823">
        <v>28445.68</v>
      </c>
      <c r="H1823" t="str">
        <f>VLOOKUP(myynnit[[#This Row],[TuoteID]],ohjaus!$A$4:$B$20,2,FALSE)</f>
        <v>Pinnatuoli</v>
      </c>
    </row>
    <row r="1824" spans="1:8" x14ac:dyDescent="0.35">
      <c r="A1824" t="s">
        <v>38</v>
      </c>
      <c r="B1824">
        <v>2014</v>
      </c>
      <c r="C1824">
        <v>3</v>
      </c>
      <c r="D1824">
        <v>13618</v>
      </c>
      <c r="E1824">
        <v>8</v>
      </c>
      <c r="F1824">
        <v>3467.98</v>
      </c>
      <c r="G1824">
        <v>1670.31</v>
      </c>
      <c r="H1824" t="str">
        <f>VLOOKUP(myynnit[[#This Row],[TuoteID]],ohjaus!$A$4:$B$20,2,FALSE)</f>
        <v>Pianotuoli</v>
      </c>
    </row>
    <row r="1825" spans="1:8" x14ac:dyDescent="0.35">
      <c r="A1825" t="s">
        <v>38</v>
      </c>
      <c r="B1825">
        <v>2014</v>
      </c>
      <c r="C1825">
        <v>3</v>
      </c>
      <c r="D1825">
        <v>16024</v>
      </c>
      <c r="E1825">
        <v>226</v>
      </c>
      <c r="F1825">
        <v>98488.22</v>
      </c>
      <c r="G1825">
        <v>24732.73</v>
      </c>
      <c r="H1825" t="str">
        <f>VLOOKUP(myynnit[[#This Row],[TuoteID]],ohjaus!$A$4:$B$20,2,FALSE)</f>
        <v>Työtuoli</v>
      </c>
    </row>
    <row r="1826" spans="1:8" x14ac:dyDescent="0.35">
      <c r="A1826" t="s">
        <v>38</v>
      </c>
      <c r="B1826">
        <v>2014</v>
      </c>
      <c r="C1826">
        <v>3</v>
      </c>
      <c r="D1826">
        <v>16650</v>
      </c>
      <c r="E1826">
        <v>60</v>
      </c>
      <c r="F1826">
        <v>9233.24</v>
      </c>
      <c r="G1826">
        <v>5700.36</v>
      </c>
      <c r="H1826" t="str">
        <f>VLOOKUP(myynnit[[#This Row],[TuoteID]],ohjaus!$A$4:$B$20,2,FALSE)</f>
        <v>Rahi</v>
      </c>
    </row>
    <row r="1827" spans="1:8" x14ac:dyDescent="0.35">
      <c r="A1827" t="s">
        <v>38</v>
      </c>
      <c r="B1827">
        <v>2014</v>
      </c>
      <c r="C1827">
        <v>3</v>
      </c>
      <c r="D1827">
        <v>17892</v>
      </c>
      <c r="E1827">
        <v>82</v>
      </c>
      <c r="F1827">
        <v>10595.14</v>
      </c>
      <c r="G1827">
        <v>2411.25</v>
      </c>
      <c r="H1827" t="str">
        <f>VLOOKUP(myynnit[[#This Row],[TuoteID]],ohjaus!$A$4:$B$20,2,FALSE)</f>
        <v>Lepotuoli</v>
      </c>
    </row>
    <row r="1828" spans="1:8" x14ac:dyDescent="0.35">
      <c r="A1828" t="s">
        <v>38</v>
      </c>
      <c r="B1828">
        <v>2014</v>
      </c>
      <c r="C1828">
        <v>3</v>
      </c>
      <c r="D1828">
        <v>18342</v>
      </c>
      <c r="E1828">
        <v>163</v>
      </c>
      <c r="F1828">
        <v>140539.74</v>
      </c>
      <c r="G1828">
        <v>39327.339999999997</v>
      </c>
      <c r="H1828" t="str">
        <f>VLOOKUP(myynnit[[#This Row],[TuoteID]],ohjaus!$A$4:$B$20,2,FALSE)</f>
        <v>Työtuoli</v>
      </c>
    </row>
    <row r="1829" spans="1:8" x14ac:dyDescent="0.35">
      <c r="A1829" t="s">
        <v>38</v>
      </c>
      <c r="B1829">
        <v>2014</v>
      </c>
      <c r="C1829">
        <v>3</v>
      </c>
      <c r="D1829">
        <v>20177</v>
      </c>
      <c r="E1829">
        <v>85</v>
      </c>
      <c r="F1829">
        <v>8517.32</v>
      </c>
      <c r="G1829">
        <v>3458.06</v>
      </c>
      <c r="H1829" t="str">
        <f>VLOOKUP(myynnit[[#This Row],[TuoteID]],ohjaus!$A$4:$B$20,2,FALSE)</f>
        <v>Säkkituoli</v>
      </c>
    </row>
    <row r="1830" spans="1:8" x14ac:dyDescent="0.35">
      <c r="A1830" t="s">
        <v>38</v>
      </c>
      <c r="B1830">
        <v>2014</v>
      </c>
      <c r="C1830">
        <v>3</v>
      </c>
      <c r="D1830">
        <v>21179</v>
      </c>
      <c r="E1830">
        <v>51</v>
      </c>
      <c r="F1830">
        <v>6601.59</v>
      </c>
      <c r="G1830">
        <v>3871.49</v>
      </c>
      <c r="H1830" t="str">
        <f>VLOOKUP(myynnit[[#This Row],[TuoteID]],ohjaus!$A$4:$B$20,2,FALSE)</f>
        <v>Rahi</v>
      </c>
    </row>
    <row r="1831" spans="1:8" x14ac:dyDescent="0.35">
      <c r="A1831" t="s">
        <v>38</v>
      </c>
      <c r="B1831">
        <v>2014</v>
      </c>
      <c r="C1831">
        <v>3</v>
      </c>
      <c r="D1831">
        <v>21260</v>
      </c>
      <c r="E1831">
        <v>36</v>
      </c>
      <c r="F1831">
        <v>7375.45</v>
      </c>
      <c r="G1831">
        <v>1749.04</v>
      </c>
      <c r="H1831" t="str">
        <f>VLOOKUP(myynnit[[#This Row],[TuoteID]],ohjaus!$A$4:$B$20,2,FALSE)</f>
        <v>Lepotuoli</v>
      </c>
    </row>
    <row r="1832" spans="1:8" x14ac:dyDescent="0.35">
      <c r="A1832" t="s">
        <v>38</v>
      </c>
      <c r="B1832">
        <v>2014</v>
      </c>
      <c r="C1832">
        <v>3</v>
      </c>
      <c r="D1832">
        <v>22317</v>
      </c>
      <c r="E1832">
        <v>29</v>
      </c>
      <c r="F1832">
        <v>2318.6799999999998</v>
      </c>
      <c r="G1832">
        <v>932.35</v>
      </c>
      <c r="H1832" t="str">
        <f>VLOOKUP(myynnit[[#This Row],[TuoteID]],ohjaus!$A$4:$B$20,2,FALSE)</f>
        <v>Säkkituoli</v>
      </c>
    </row>
    <row r="1833" spans="1:8" x14ac:dyDescent="0.35">
      <c r="A1833" t="s">
        <v>38</v>
      </c>
      <c r="B1833">
        <v>2014</v>
      </c>
      <c r="C1833">
        <v>3</v>
      </c>
      <c r="D1833">
        <v>22940</v>
      </c>
      <c r="E1833">
        <v>523</v>
      </c>
      <c r="F1833">
        <v>62958.09</v>
      </c>
      <c r="G1833">
        <v>11658.21</v>
      </c>
      <c r="H1833" t="str">
        <f>VLOOKUP(myynnit[[#This Row],[TuoteID]],ohjaus!$A$4:$B$20,2,FALSE)</f>
        <v>Pinnatuoli</v>
      </c>
    </row>
    <row r="1834" spans="1:8" x14ac:dyDescent="0.35">
      <c r="A1834" t="s">
        <v>38</v>
      </c>
      <c r="B1834">
        <v>2014</v>
      </c>
      <c r="C1834">
        <v>3</v>
      </c>
      <c r="D1834">
        <v>23178</v>
      </c>
      <c r="E1834">
        <v>169</v>
      </c>
      <c r="F1834">
        <v>32158.13</v>
      </c>
      <c r="G1834">
        <v>6245.26</v>
      </c>
      <c r="H1834" t="str">
        <f>VLOOKUP(myynnit[[#This Row],[TuoteID]],ohjaus!$A$4:$B$20,2,FALSE)</f>
        <v>Pinnatuoli</v>
      </c>
    </row>
    <row r="1835" spans="1:8" x14ac:dyDescent="0.35">
      <c r="A1835" t="s">
        <v>38</v>
      </c>
      <c r="B1835">
        <v>2014</v>
      </c>
      <c r="C1835">
        <v>3</v>
      </c>
      <c r="D1835">
        <v>23600</v>
      </c>
      <c r="E1835">
        <v>817</v>
      </c>
      <c r="F1835">
        <v>91199.96</v>
      </c>
      <c r="G1835">
        <v>23188.03</v>
      </c>
      <c r="H1835" t="str">
        <f>VLOOKUP(myynnit[[#This Row],[TuoteID]],ohjaus!$A$4:$B$20,2,FALSE)</f>
        <v>Pinnatuoli</v>
      </c>
    </row>
    <row r="1836" spans="1:8" x14ac:dyDescent="0.35">
      <c r="A1836" t="s">
        <v>38</v>
      </c>
      <c r="B1836">
        <v>2014</v>
      </c>
      <c r="C1836">
        <v>3</v>
      </c>
      <c r="D1836">
        <v>23756</v>
      </c>
      <c r="E1836">
        <v>89</v>
      </c>
      <c r="F1836">
        <v>13839.31</v>
      </c>
      <c r="G1836">
        <v>5578.48</v>
      </c>
      <c r="H1836" t="str">
        <f>VLOOKUP(myynnit[[#This Row],[TuoteID]],ohjaus!$A$4:$B$20,2,FALSE)</f>
        <v>Pianotuoli</v>
      </c>
    </row>
    <row r="1837" spans="1:8" x14ac:dyDescent="0.35">
      <c r="A1837" t="s">
        <v>38</v>
      </c>
      <c r="B1837">
        <v>2014</v>
      </c>
      <c r="C1837">
        <v>3</v>
      </c>
      <c r="D1837">
        <v>24326</v>
      </c>
      <c r="E1837">
        <v>58</v>
      </c>
      <c r="F1837">
        <v>7382.52</v>
      </c>
      <c r="G1837">
        <v>1824.63</v>
      </c>
      <c r="H1837" t="str">
        <f>VLOOKUP(myynnit[[#This Row],[TuoteID]],ohjaus!$A$4:$B$20,2,FALSE)</f>
        <v>Lepotuoli</v>
      </c>
    </row>
    <row r="1838" spans="1:8" x14ac:dyDescent="0.35">
      <c r="A1838" t="s">
        <v>37</v>
      </c>
      <c r="B1838">
        <v>2014</v>
      </c>
      <c r="C1838">
        <v>4</v>
      </c>
      <c r="D1838">
        <v>12184</v>
      </c>
      <c r="E1838">
        <v>59</v>
      </c>
      <c r="F1838">
        <v>8186.99</v>
      </c>
      <c r="G1838">
        <v>4109.6099999999997</v>
      </c>
      <c r="H1838" t="str">
        <f>VLOOKUP(myynnit[[#This Row],[TuoteID]],ohjaus!$A$4:$B$20,2,FALSE)</f>
        <v>Rahi</v>
      </c>
    </row>
    <row r="1839" spans="1:8" x14ac:dyDescent="0.35">
      <c r="A1839" t="s">
        <v>37</v>
      </c>
      <c r="B1839">
        <v>2014</v>
      </c>
      <c r="C1839">
        <v>4</v>
      </c>
      <c r="D1839">
        <v>12622</v>
      </c>
      <c r="E1839">
        <v>41</v>
      </c>
      <c r="F1839">
        <v>12176.89</v>
      </c>
      <c r="G1839">
        <v>6613.45</v>
      </c>
      <c r="H1839" t="str">
        <f>VLOOKUP(myynnit[[#This Row],[TuoteID]],ohjaus!$A$4:$B$20,2,FALSE)</f>
        <v>Pianotuoli</v>
      </c>
    </row>
    <row r="1840" spans="1:8" x14ac:dyDescent="0.35">
      <c r="A1840" t="s">
        <v>37</v>
      </c>
      <c r="B1840">
        <v>2014</v>
      </c>
      <c r="C1840">
        <v>4</v>
      </c>
      <c r="D1840">
        <v>13527</v>
      </c>
      <c r="E1840">
        <v>713</v>
      </c>
      <c r="F1840">
        <v>122921.78</v>
      </c>
      <c r="G1840">
        <v>22108.69</v>
      </c>
      <c r="H1840" t="str">
        <f>VLOOKUP(myynnit[[#This Row],[TuoteID]],ohjaus!$A$4:$B$20,2,FALSE)</f>
        <v>Pinnatuoli</v>
      </c>
    </row>
    <row r="1841" spans="1:8" x14ac:dyDescent="0.35">
      <c r="A1841" t="s">
        <v>37</v>
      </c>
      <c r="B1841">
        <v>2014</v>
      </c>
      <c r="C1841">
        <v>4</v>
      </c>
      <c r="D1841">
        <v>13618</v>
      </c>
      <c r="E1841">
        <v>18</v>
      </c>
      <c r="F1841">
        <v>7358.79</v>
      </c>
      <c r="G1841">
        <v>3836.6</v>
      </c>
      <c r="H1841" t="str">
        <f>VLOOKUP(myynnit[[#This Row],[TuoteID]],ohjaus!$A$4:$B$20,2,FALSE)</f>
        <v>Pianotuoli</v>
      </c>
    </row>
    <row r="1842" spans="1:8" x14ac:dyDescent="0.35">
      <c r="A1842" t="s">
        <v>37</v>
      </c>
      <c r="B1842">
        <v>2014</v>
      </c>
      <c r="C1842">
        <v>4</v>
      </c>
      <c r="D1842">
        <v>16024</v>
      </c>
      <c r="E1842">
        <v>239</v>
      </c>
      <c r="F1842">
        <v>99753.75</v>
      </c>
      <c r="G1842">
        <v>31650.68</v>
      </c>
      <c r="H1842" t="str">
        <f>VLOOKUP(myynnit[[#This Row],[TuoteID]],ohjaus!$A$4:$B$20,2,FALSE)</f>
        <v>Työtuoli</v>
      </c>
    </row>
    <row r="1843" spans="1:8" x14ac:dyDescent="0.35">
      <c r="A1843" t="s">
        <v>37</v>
      </c>
      <c r="B1843">
        <v>2014</v>
      </c>
      <c r="C1843">
        <v>4</v>
      </c>
      <c r="D1843">
        <v>16650</v>
      </c>
      <c r="E1843">
        <v>58</v>
      </c>
      <c r="F1843">
        <v>7153.98</v>
      </c>
      <c r="G1843">
        <v>3800.7</v>
      </c>
      <c r="H1843" t="str">
        <f>VLOOKUP(myynnit[[#This Row],[TuoteID]],ohjaus!$A$4:$B$20,2,FALSE)</f>
        <v>Rahi</v>
      </c>
    </row>
    <row r="1844" spans="1:8" x14ac:dyDescent="0.35">
      <c r="A1844" t="s">
        <v>37</v>
      </c>
      <c r="B1844">
        <v>2014</v>
      </c>
      <c r="C1844">
        <v>4</v>
      </c>
      <c r="D1844">
        <v>17892</v>
      </c>
      <c r="E1844">
        <v>68</v>
      </c>
      <c r="F1844">
        <v>10689.78</v>
      </c>
      <c r="G1844">
        <v>3045.03</v>
      </c>
      <c r="H1844" t="str">
        <f>VLOOKUP(myynnit[[#This Row],[TuoteID]],ohjaus!$A$4:$B$20,2,FALSE)</f>
        <v>Lepotuoli</v>
      </c>
    </row>
    <row r="1845" spans="1:8" x14ac:dyDescent="0.35">
      <c r="A1845" t="s">
        <v>37</v>
      </c>
      <c r="B1845">
        <v>2014</v>
      </c>
      <c r="C1845">
        <v>4</v>
      </c>
      <c r="D1845">
        <v>18342</v>
      </c>
      <c r="E1845">
        <v>130</v>
      </c>
      <c r="F1845">
        <v>111591.46</v>
      </c>
      <c r="G1845">
        <v>34643.120000000003</v>
      </c>
      <c r="H1845" t="str">
        <f>VLOOKUP(myynnit[[#This Row],[TuoteID]],ohjaus!$A$4:$B$20,2,FALSE)</f>
        <v>Työtuoli</v>
      </c>
    </row>
    <row r="1846" spans="1:8" x14ac:dyDescent="0.35">
      <c r="A1846" t="s">
        <v>37</v>
      </c>
      <c r="B1846">
        <v>2014</v>
      </c>
      <c r="C1846">
        <v>4</v>
      </c>
      <c r="D1846">
        <v>20177</v>
      </c>
      <c r="E1846">
        <v>127</v>
      </c>
      <c r="F1846">
        <v>11433.15</v>
      </c>
      <c r="G1846">
        <v>4008.84</v>
      </c>
      <c r="H1846" t="str">
        <f>VLOOKUP(myynnit[[#This Row],[TuoteID]],ohjaus!$A$4:$B$20,2,FALSE)</f>
        <v>Säkkituoli</v>
      </c>
    </row>
    <row r="1847" spans="1:8" x14ac:dyDescent="0.35">
      <c r="A1847" t="s">
        <v>37</v>
      </c>
      <c r="B1847">
        <v>2014</v>
      </c>
      <c r="C1847">
        <v>4</v>
      </c>
      <c r="D1847">
        <v>21179</v>
      </c>
      <c r="E1847">
        <v>53</v>
      </c>
      <c r="F1847">
        <v>6541.81</v>
      </c>
      <c r="G1847">
        <v>3060.27</v>
      </c>
      <c r="H1847" t="str">
        <f>VLOOKUP(myynnit[[#This Row],[TuoteID]],ohjaus!$A$4:$B$20,2,FALSE)</f>
        <v>Rahi</v>
      </c>
    </row>
    <row r="1848" spans="1:8" x14ac:dyDescent="0.35">
      <c r="A1848" t="s">
        <v>37</v>
      </c>
      <c r="B1848">
        <v>2014</v>
      </c>
      <c r="C1848">
        <v>4</v>
      </c>
      <c r="D1848">
        <v>21260</v>
      </c>
      <c r="E1848">
        <v>99</v>
      </c>
      <c r="F1848">
        <v>20504.419999999998</v>
      </c>
      <c r="G1848">
        <v>6037.24</v>
      </c>
      <c r="H1848" t="str">
        <f>VLOOKUP(myynnit[[#This Row],[TuoteID]],ohjaus!$A$4:$B$20,2,FALSE)</f>
        <v>Lepotuoli</v>
      </c>
    </row>
    <row r="1849" spans="1:8" x14ac:dyDescent="0.35">
      <c r="A1849" t="s">
        <v>37</v>
      </c>
      <c r="B1849">
        <v>2014</v>
      </c>
      <c r="C1849">
        <v>4</v>
      </c>
      <c r="D1849">
        <v>22317</v>
      </c>
      <c r="E1849">
        <v>100</v>
      </c>
      <c r="F1849">
        <v>8284.7999999999993</v>
      </c>
      <c r="G1849">
        <v>3214.82</v>
      </c>
      <c r="H1849" t="str">
        <f>VLOOKUP(myynnit[[#This Row],[TuoteID]],ohjaus!$A$4:$B$20,2,FALSE)</f>
        <v>Säkkituoli</v>
      </c>
    </row>
    <row r="1850" spans="1:8" x14ac:dyDescent="0.35">
      <c r="A1850" t="s">
        <v>37</v>
      </c>
      <c r="B1850">
        <v>2014</v>
      </c>
      <c r="C1850">
        <v>4</v>
      </c>
      <c r="D1850">
        <v>22940</v>
      </c>
      <c r="E1850">
        <v>622</v>
      </c>
      <c r="F1850">
        <v>81017.31</v>
      </c>
      <c r="G1850">
        <v>13116.72</v>
      </c>
      <c r="H1850" t="str">
        <f>VLOOKUP(myynnit[[#This Row],[TuoteID]],ohjaus!$A$4:$B$20,2,FALSE)</f>
        <v>Pinnatuoli</v>
      </c>
    </row>
    <row r="1851" spans="1:8" x14ac:dyDescent="0.35">
      <c r="A1851" t="s">
        <v>37</v>
      </c>
      <c r="B1851">
        <v>2014</v>
      </c>
      <c r="C1851">
        <v>4</v>
      </c>
      <c r="D1851">
        <v>23178</v>
      </c>
      <c r="E1851">
        <v>436</v>
      </c>
      <c r="F1851">
        <v>74708.61</v>
      </c>
      <c r="G1851">
        <v>15720.18</v>
      </c>
      <c r="H1851" t="str">
        <f>VLOOKUP(myynnit[[#This Row],[TuoteID]],ohjaus!$A$4:$B$20,2,FALSE)</f>
        <v>Pinnatuoli</v>
      </c>
    </row>
    <row r="1852" spans="1:8" x14ac:dyDescent="0.35">
      <c r="A1852" t="s">
        <v>37</v>
      </c>
      <c r="B1852">
        <v>2014</v>
      </c>
      <c r="C1852">
        <v>4</v>
      </c>
      <c r="D1852">
        <v>23600</v>
      </c>
      <c r="E1852">
        <v>939</v>
      </c>
      <c r="F1852">
        <v>109775.9</v>
      </c>
      <c r="G1852">
        <v>24439.57</v>
      </c>
      <c r="H1852" t="str">
        <f>VLOOKUP(myynnit[[#This Row],[TuoteID]],ohjaus!$A$4:$B$20,2,FALSE)</f>
        <v>Pinnatuoli</v>
      </c>
    </row>
    <row r="1853" spans="1:8" x14ac:dyDescent="0.35">
      <c r="A1853" t="s">
        <v>37</v>
      </c>
      <c r="B1853">
        <v>2014</v>
      </c>
      <c r="C1853">
        <v>4</v>
      </c>
      <c r="D1853">
        <v>23756</v>
      </c>
      <c r="E1853">
        <v>86</v>
      </c>
      <c r="F1853">
        <v>13449.53</v>
      </c>
      <c r="G1853">
        <v>6614.83</v>
      </c>
      <c r="H1853" t="str">
        <f>VLOOKUP(myynnit[[#This Row],[TuoteID]],ohjaus!$A$4:$B$20,2,FALSE)</f>
        <v>Pianotuoli</v>
      </c>
    </row>
    <row r="1854" spans="1:8" x14ac:dyDescent="0.35">
      <c r="A1854" t="s">
        <v>37</v>
      </c>
      <c r="B1854">
        <v>2014</v>
      </c>
      <c r="C1854">
        <v>4</v>
      </c>
      <c r="D1854">
        <v>24326</v>
      </c>
      <c r="E1854">
        <v>90</v>
      </c>
      <c r="F1854">
        <v>12778.19</v>
      </c>
      <c r="G1854">
        <v>4021.42</v>
      </c>
      <c r="H1854" t="str">
        <f>VLOOKUP(myynnit[[#This Row],[TuoteID]],ohjaus!$A$4:$B$20,2,FALSE)</f>
        <v>Lepotuoli</v>
      </c>
    </row>
    <row r="1855" spans="1:8" x14ac:dyDescent="0.35">
      <c r="A1855" t="s">
        <v>40</v>
      </c>
      <c r="B1855">
        <v>2014</v>
      </c>
      <c r="C1855">
        <v>4</v>
      </c>
      <c r="D1855">
        <v>12184</v>
      </c>
      <c r="E1855">
        <v>19</v>
      </c>
      <c r="F1855">
        <v>2237.34</v>
      </c>
      <c r="G1855">
        <v>1262.05</v>
      </c>
      <c r="H1855" t="str">
        <f>VLOOKUP(myynnit[[#This Row],[TuoteID]],ohjaus!$A$4:$B$20,2,FALSE)</f>
        <v>Rahi</v>
      </c>
    </row>
    <row r="1856" spans="1:8" x14ac:dyDescent="0.35">
      <c r="A1856" t="s">
        <v>40</v>
      </c>
      <c r="B1856">
        <v>2014</v>
      </c>
      <c r="C1856">
        <v>4</v>
      </c>
      <c r="D1856">
        <v>12622</v>
      </c>
      <c r="E1856">
        <v>19</v>
      </c>
      <c r="F1856">
        <v>4909.2</v>
      </c>
      <c r="G1856">
        <v>2053.9</v>
      </c>
      <c r="H1856" t="str">
        <f>VLOOKUP(myynnit[[#This Row],[TuoteID]],ohjaus!$A$4:$B$20,2,FALSE)</f>
        <v>Pianotuoli</v>
      </c>
    </row>
    <row r="1857" spans="1:8" x14ac:dyDescent="0.35">
      <c r="A1857" t="s">
        <v>40</v>
      </c>
      <c r="B1857">
        <v>2014</v>
      </c>
      <c r="C1857">
        <v>4</v>
      </c>
      <c r="D1857">
        <v>13527</v>
      </c>
      <c r="E1857">
        <v>210</v>
      </c>
      <c r="F1857">
        <v>33482.269999999997</v>
      </c>
      <c r="G1857">
        <v>6466.65</v>
      </c>
      <c r="H1857" t="str">
        <f>VLOOKUP(myynnit[[#This Row],[TuoteID]],ohjaus!$A$4:$B$20,2,FALSE)</f>
        <v>Pinnatuoli</v>
      </c>
    </row>
    <row r="1858" spans="1:8" x14ac:dyDescent="0.35">
      <c r="A1858" t="s">
        <v>40</v>
      </c>
      <c r="B1858">
        <v>2014</v>
      </c>
      <c r="C1858">
        <v>4</v>
      </c>
      <c r="D1858">
        <v>13618</v>
      </c>
      <c r="E1858">
        <v>5</v>
      </c>
      <c r="F1858">
        <v>1946.24</v>
      </c>
      <c r="G1858">
        <v>842.92</v>
      </c>
      <c r="H1858" t="str">
        <f>VLOOKUP(myynnit[[#This Row],[TuoteID]],ohjaus!$A$4:$B$20,2,FALSE)</f>
        <v>Pianotuoli</v>
      </c>
    </row>
    <row r="1859" spans="1:8" x14ac:dyDescent="0.35">
      <c r="A1859" t="s">
        <v>40</v>
      </c>
      <c r="B1859">
        <v>2014</v>
      </c>
      <c r="C1859">
        <v>4</v>
      </c>
      <c r="D1859">
        <v>16024</v>
      </c>
      <c r="E1859">
        <v>122</v>
      </c>
      <c r="F1859">
        <v>47048.74</v>
      </c>
      <c r="G1859">
        <v>15903.76</v>
      </c>
      <c r="H1859" t="str">
        <f>VLOOKUP(myynnit[[#This Row],[TuoteID]],ohjaus!$A$4:$B$20,2,FALSE)</f>
        <v>Työtuoli</v>
      </c>
    </row>
    <row r="1860" spans="1:8" x14ac:dyDescent="0.35">
      <c r="A1860" t="s">
        <v>40</v>
      </c>
      <c r="B1860">
        <v>2014</v>
      </c>
      <c r="C1860">
        <v>4</v>
      </c>
      <c r="D1860">
        <v>16650</v>
      </c>
      <c r="E1860">
        <v>29</v>
      </c>
      <c r="F1860">
        <v>4718.7299999999996</v>
      </c>
      <c r="G1860">
        <v>3363.68</v>
      </c>
      <c r="H1860" t="str">
        <f>VLOOKUP(myynnit[[#This Row],[TuoteID]],ohjaus!$A$4:$B$20,2,FALSE)</f>
        <v>Rahi</v>
      </c>
    </row>
    <row r="1861" spans="1:8" x14ac:dyDescent="0.35">
      <c r="A1861" t="s">
        <v>40</v>
      </c>
      <c r="B1861">
        <v>2014</v>
      </c>
      <c r="C1861">
        <v>4</v>
      </c>
      <c r="D1861">
        <v>17892</v>
      </c>
      <c r="E1861">
        <v>102</v>
      </c>
      <c r="F1861">
        <v>14847.56</v>
      </c>
      <c r="G1861">
        <v>3649.08</v>
      </c>
      <c r="H1861" t="str">
        <f>VLOOKUP(myynnit[[#This Row],[TuoteID]],ohjaus!$A$4:$B$20,2,FALSE)</f>
        <v>Lepotuoli</v>
      </c>
    </row>
    <row r="1862" spans="1:8" x14ac:dyDescent="0.35">
      <c r="A1862" t="s">
        <v>40</v>
      </c>
      <c r="B1862">
        <v>2014</v>
      </c>
      <c r="C1862">
        <v>4</v>
      </c>
      <c r="D1862">
        <v>18342</v>
      </c>
      <c r="E1862">
        <v>32</v>
      </c>
      <c r="F1862">
        <v>24278.89</v>
      </c>
      <c r="G1862">
        <v>7241.79</v>
      </c>
      <c r="H1862" t="str">
        <f>VLOOKUP(myynnit[[#This Row],[TuoteID]],ohjaus!$A$4:$B$20,2,FALSE)</f>
        <v>Työtuoli</v>
      </c>
    </row>
    <row r="1863" spans="1:8" x14ac:dyDescent="0.35">
      <c r="A1863" t="s">
        <v>40</v>
      </c>
      <c r="B1863">
        <v>2014</v>
      </c>
      <c r="C1863">
        <v>4</v>
      </c>
      <c r="D1863">
        <v>20177</v>
      </c>
      <c r="E1863">
        <v>15</v>
      </c>
      <c r="F1863">
        <v>1720.97</v>
      </c>
      <c r="G1863">
        <v>679.76</v>
      </c>
      <c r="H1863" t="str">
        <f>VLOOKUP(myynnit[[#This Row],[TuoteID]],ohjaus!$A$4:$B$20,2,FALSE)</f>
        <v>Säkkituoli</v>
      </c>
    </row>
    <row r="1864" spans="1:8" x14ac:dyDescent="0.35">
      <c r="A1864" t="s">
        <v>40</v>
      </c>
      <c r="B1864">
        <v>2014</v>
      </c>
      <c r="C1864">
        <v>4</v>
      </c>
      <c r="D1864">
        <v>21179</v>
      </c>
      <c r="E1864">
        <v>42</v>
      </c>
      <c r="F1864">
        <v>5917.5</v>
      </c>
      <c r="G1864">
        <v>3800.25</v>
      </c>
      <c r="H1864" t="str">
        <f>VLOOKUP(myynnit[[#This Row],[TuoteID]],ohjaus!$A$4:$B$20,2,FALSE)</f>
        <v>Rahi</v>
      </c>
    </row>
    <row r="1865" spans="1:8" x14ac:dyDescent="0.35">
      <c r="A1865" t="s">
        <v>40</v>
      </c>
      <c r="B1865">
        <v>2014</v>
      </c>
      <c r="C1865">
        <v>4</v>
      </c>
      <c r="D1865">
        <v>21260</v>
      </c>
      <c r="E1865">
        <v>52</v>
      </c>
      <c r="F1865">
        <v>9615.7999999999993</v>
      </c>
      <c r="G1865">
        <v>2327.2199999999998</v>
      </c>
      <c r="H1865" t="str">
        <f>VLOOKUP(myynnit[[#This Row],[TuoteID]],ohjaus!$A$4:$B$20,2,FALSE)</f>
        <v>Lepotuoli</v>
      </c>
    </row>
    <row r="1866" spans="1:8" x14ac:dyDescent="0.35">
      <c r="A1866" t="s">
        <v>40</v>
      </c>
      <c r="B1866">
        <v>2014</v>
      </c>
      <c r="C1866">
        <v>4</v>
      </c>
      <c r="D1866">
        <v>22317</v>
      </c>
      <c r="E1866">
        <v>18</v>
      </c>
      <c r="F1866">
        <v>1734.91</v>
      </c>
      <c r="G1866">
        <v>883.57</v>
      </c>
      <c r="H1866" t="str">
        <f>VLOOKUP(myynnit[[#This Row],[TuoteID]],ohjaus!$A$4:$B$20,2,FALSE)</f>
        <v>Säkkituoli</v>
      </c>
    </row>
    <row r="1867" spans="1:8" x14ac:dyDescent="0.35">
      <c r="A1867" t="s">
        <v>40</v>
      </c>
      <c r="B1867">
        <v>2014</v>
      </c>
      <c r="C1867">
        <v>4</v>
      </c>
      <c r="D1867">
        <v>22940</v>
      </c>
      <c r="E1867">
        <v>169</v>
      </c>
      <c r="F1867">
        <v>19917.3</v>
      </c>
      <c r="G1867">
        <v>5614.71</v>
      </c>
      <c r="H1867" t="str">
        <f>VLOOKUP(myynnit[[#This Row],[TuoteID]],ohjaus!$A$4:$B$20,2,FALSE)</f>
        <v>Pinnatuoli</v>
      </c>
    </row>
    <row r="1868" spans="1:8" x14ac:dyDescent="0.35">
      <c r="A1868" t="s">
        <v>40</v>
      </c>
      <c r="B1868">
        <v>2014</v>
      </c>
      <c r="C1868">
        <v>4</v>
      </c>
      <c r="D1868">
        <v>23178</v>
      </c>
      <c r="E1868">
        <v>224</v>
      </c>
      <c r="F1868">
        <v>41973.01</v>
      </c>
      <c r="G1868">
        <v>11882.12</v>
      </c>
      <c r="H1868" t="str">
        <f>VLOOKUP(myynnit[[#This Row],[TuoteID]],ohjaus!$A$4:$B$20,2,FALSE)</f>
        <v>Pinnatuoli</v>
      </c>
    </row>
    <row r="1869" spans="1:8" x14ac:dyDescent="0.35">
      <c r="A1869" t="s">
        <v>40</v>
      </c>
      <c r="B1869">
        <v>2014</v>
      </c>
      <c r="C1869">
        <v>4</v>
      </c>
      <c r="D1869">
        <v>23600</v>
      </c>
      <c r="E1869">
        <v>627</v>
      </c>
      <c r="F1869">
        <v>67887.55</v>
      </c>
      <c r="G1869">
        <v>17764.689999999999</v>
      </c>
      <c r="H1869" t="str">
        <f>VLOOKUP(myynnit[[#This Row],[TuoteID]],ohjaus!$A$4:$B$20,2,FALSE)</f>
        <v>Pinnatuoli</v>
      </c>
    </row>
    <row r="1870" spans="1:8" x14ac:dyDescent="0.35">
      <c r="A1870" t="s">
        <v>40</v>
      </c>
      <c r="B1870">
        <v>2014</v>
      </c>
      <c r="C1870">
        <v>4</v>
      </c>
      <c r="D1870">
        <v>23756</v>
      </c>
      <c r="E1870">
        <v>57</v>
      </c>
      <c r="F1870">
        <v>9170.19</v>
      </c>
      <c r="G1870">
        <v>3659.6</v>
      </c>
      <c r="H1870" t="str">
        <f>VLOOKUP(myynnit[[#This Row],[TuoteID]],ohjaus!$A$4:$B$20,2,FALSE)</f>
        <v>Pianotuoli</v>
      </c>
    </row>
    <row r="1871" spans="1:8" x14ac:dyDescent="0.35">
      <c r="A1871" t="s">
        <v>40</v>
      </c>
      <c r="B1871">
        <v>2014</v>
      </c>
      <c r="C1871">
        <v>4</v>
      </c>
      <c r="D1871">
        <v>24326</v>
      </c>
      <c r="E1871">
        <v>33</v>
      </c>
      <c r="F1871">
        <v>4373.5</v>
      </c>
      <c r="G1871">
        <v>1474.08</v>
      </c>
      <c r="H1871" t="str">
        <f>VLOOKUP(myynnit[[#This Row],[TuoteID]],ohjaus!$A$4:$B$20,2,FALSE)</f>
        <v>Lepotuoli</v>
      </c>
    </row>
    <row r="1872" spans="1:8" x14ac:dyDescent="0.35">
      <c r="A1872" t="s">
        <v>39</v>
      </c>
      <c r="B1872">
        <v>2014</v>
      </c>
      <c r="C1872">
        <v>4</v>
      </c>
      <c r="D1872">
        <v>12184</v>
      </c>
      <c r="E1872">
        <v>92</v>
      </c>
      <c r="F1872">
        <v>9315.41</v>
      </c>
      <c r="G1872">
        <v>5555.08</v>
      </c>
      <c r="H1872" t="str">
        <f>VLOOKUP(myynnit[[#This Row],[TuoteID]],ohjaus!$A$4:$B$20,2,FALSE)</f>
        <v>Rahi</v>
      </c>
    </row>
    <row r="1873" spans="1:8" x14ac:dyDescent="0.35">
      <c r="A1873" t="s">
        <v>39</v>
      </c>
      <c r="B1873">
        <v>2014</v>
      </c>
      <c r="C1873">
        <v>4</v>
      </c>
      <c r="D1873">
        <v>12622</v>
      </c>
      <c r="E1873">
        <v>37</v>
      </c>
      <c r="F1873">
        <v>9230.32</v>
      </c>
      <c r="G1873">
        <v>5826.12</v>
      </c>
      <c r="H1873" t="str">
        <f>VLOOKUP(myynnit[[#This Row],[TuoteID]],ohjaus!$A$4:$B$20,2,FALSE)</f>
        <v>Pianotuoli</v>
      </c>
    </row>
    <row r="1874" spans="1:8" x14ac:dyDescent="0.35">
      <c r="A1874" t="s">
        <v>39</v>
      </c>
      <c r="B1874">
        <v>2014</v>
      </c>
      <c r="C1874">
        <v>4</v>
      </c>
      <c r="D1874">
        <v>13527</v>
      </c>
      <c r="E1874">
        <v>488</v>
      </c>
      <c r="F1874">
        <v>72499.45</v>
      </c>
      <c r="G1874">
        <v>21046.82</v>
      </c>
      <c r="H1874" t="str">
        <f>VLOOKUP(myynnit[[#This Row],[TuoteID]],ohjaus!$A$4:$B$20,2,FALSE)</f>
        <v>Pinnatuoli</v>
      </c>
    </row>
    <row r="1875" spans="1:8" x14ac:dyDescent="0.35">
      <c r="A1875" t="s">
        <v>39</v>
      </c>
      <c r="B1875">
        <v>2014</v>
      </c>
      <c r="C1875">
        <v>4</v>
      </c>
      <c r="D1875">
        <v>13618</v>
      </c>
      <c r="E1875">
        <v>18</v>
      </c>
      <c r="F1875">
        <v>7268.77</v>
      </c>
      <c r="G1875">
        <v>4404.34</v>
      </c>
      <c r="H1875" t="str">
        <f>VLOOKUP(myynnit[[#This Row],[TuoteID]],ohjaus!$A$4:$B$20,2,FALSE)</f>
        <v>Pianotuoli</v>
      </c>
    </row>
    <row r="1876" spans="1:8" x14ac:dyDescent="0.35">
      <c r="A1876" t="s">
        <v>39</v>
      </c>
      <c r="B1876">
        <v>2014</v>
      </c>
      <c r="C1876">
        <v>4</v>
      </c>
      <c r="D1876">
        <v>16024</v>
      </c>
      <c r="E1876">
        <v>175</v>
      </c>
      <c r="F1876">
        <v>69763.61</v>
      </c>
      <c r="G1876">
        <v>21414.47</v>
      </c>
      <c r="H1876" t="str">
        <f>VLOOKUP(myynnit[[#This Row],[TuoteID]],ohjaus!$A$4:$B$20,2,FALSE)</f>
        <v>Työtuoli</v>
      </c>
    </row>
    <row r="1877" spans="1:8" x14ac:dyDescent="0.35">
      <c r="A1877" t="s">
        <v>39</v>
      </c>
      <c r="B1877">
        <v>2014</v>
      </c>
      <c r="C1877">
        <v>4</v>
      </c>
      <c r="D1877">
        <v>16650</v>
      </c>
      <c r="E1877">
        <v>46</v>
      </c>
      <c r="F1877">
        <v>6929.74</v>
      </c>
      <c r="G1877">
        <v>4623.68</v>
      </c>
      <c r="H1877" t="str">
        <f>VLOOKUP(myynnit[[#This Row],[TuoteID]],ohjaus!$A$4:$B$20,2,FALSE)</f>
        <v>Rahi</v>
      </c>
    </row>
    <row r="1878" spans="1:8" x14ac:dyDescent="0.35">
      <c r="A1878" t="s">
        <v>39</v>
      </c>
      <c r="B1878">
        <v>2014</v>
      </c>
      <c r="C1878">
        <v>4</v>
      </c>
      <c r="D1878">
        <v>17892</v>
      </c>
      <c r="E1878">
        <v>110</v>
      </c>
      <c r="F1878">
        <v>15318.86</v>
      </c>
      <c r="G1878">
        <v>5341.46</v>
      </c>
      <c r="H1878" t="str">
        <f>VLOOKUP(myynnit[[#This Row],[TuoteID]],ohjaus!$A$4:$B$20,2,FALSE)</f>
        <v>Lepotuoli</v>
      </c>
    </row>
    <row r="1879" spans="1:8" x14ac:dyDescent="0.35">
      <c r="A1879" t="s">
        <v>39</v>
      </c>
      <c r="B1879">
        <v>2014</v>
      </c>
      <c r="C1879">
        <v>4</v>
      </c>
      <c r="D1879">
        <v>18342</v>
      </c>
      <c r="E1879">
        <v>132</v>
      </c>
      <c r="F1879">
        <v>113940.01</v>
      </c>
      <c r="G1879">
        <v>38861.57</v>
      </c>
      <c r="H1879" t="str">
        <f>VLOOKUP(myynnit[[#This Row],[TuoteID]],ohjaus!$A$4:$B$20,2,FALSE)</f>
        <v>Työtuoli</v>
      </c>
    </row>
    <row r="1880" spans="1:8" x14ac:dyDescent="0.35">
      <c r="A1880" t="s">
        <v>39</v>
      </c>
      <c r="B1880">
        <v>2014</v>
      </c>
      <c r="C1880">
        <v>4</v>
      </c>
      <c r="D1880">
        <v>20177</v>
      </c>
      <c r="E1880">
        <v>88</v>
      </c>
      <c r="F1880">
        <v>8181.59</v>
      </c>
      <c r="G1880">
        <v>3316.26</v>
      </c>
      <c r="H1880" t="str">
        <f>VLOOKUP(myynnit[[#This Row],[TuoteID]],ohjaus!$A$4:$B$20,2,FALSE)</f>
        <v>Säkkituoli</v>
      </c>
    </row>
    <row r="1881" spans="1:8" x14ac:dyDescent="0.35">
      <c r="A1881" t="s">
        <v>39</v>
      </c>
      <c r="B1881">
        <v>2014</v>
      </c>
      <c r="C1881">
        <v>4</v>
      </c>
      <c r="D1881">
        <v>21179</v>
      </c>
      <c r="E1881">
        <v>30</v>
      </c>
      <c r="F1881">
        <v>3748.54</v>
      </c>
      <c r="G1881">
        <v>2229.6</v>
      </c>
      <c r="H1881" t="str">
        <f>VLOOKUP(myynnit[[#This Row],[TuoteID]],ohjaus!$A$4:$B$20,2,FALSE)</f>
        <v>Rahi</v>
      </c>
    </row>
    <row r="1882" spans="1:8" x14ac:dyDescent="0.35">
      <c r="A1882" t="s">
        <v>39</v>
      </c>
      <c r="B1882">
        <v>2014</v>
      </c>
      <c r="C1882">
        <v>4</v>
      </c>
      <c r="D1882">
        <v>21260</v>
      </c>
      <c r="E1882">
        <v>65</v>
      </c>
      <c r="F1882">
        <v>11990.89</v>
      </c>
      <c r="G1882">
        <v>3244.4</v>
      </c>
      <c r="H1882" t="str">
        <f>VLOOKUP(myynnit[[#This Row],[TuoteID]],ohjaus!$A$4:$B$20,2,FALSE)</f>
        <v>Lepotuoli</v>
      </c>
    </row>
    <row r="1883" spans="1:8" x14ac:dyDescent="0.35">
      <c r="A1883" t="s">
        <v>39</v>
      </c>
      <c r="B1883">
        <v>2014</v>
      </c>
      <c r="C1883">
        <v>4</v>
      </c>
      <c r="D1883">
        <v>22317</v>
      </c>
      <c r="E1883">
        <v>49</v>
      </c>
      <c r="F1883">
        <v>3814.77</v>
      </c>
      <c r="G1883">
        <v>1817.02</v>
      </c>
      <c r="H1883" t="str">
        <f>VLOOKUP(myynnit[[#This Row],[TuoteID]],ohjaus!$A$4:$B$20,2,FALSE)</f>
        <v>Säkkituoli</v>
      </c>
    </row>
    <row r="1884" spans="1:8" x14ac:dyDescent="0.35">
      <c r="A1884" t="s">
        <v>39</v>
      </c>
      <c r="B1884">
        <v>2014</v>
      </c>
      <c r="C1884">
        <v>4</v>
      </c>
      <c r="D1884">
        <v>22940</v>
      </c>
      <c r="E1884">
        <v>575</v>
      </c>
      <c r="F1884">
        <v>71951.62</v>
      </c>
      <c r="G1884">
        <v>16376.2</v>
      </c>
      <c r="H1884" t="str">
        <f>VLOOKUP(myynnit[[#This Row],[TuoteID]],ohjaus!$A$4:$B$20,2,FALSE)</f>
        <v>Pinnatuoli</v>
      </c>
    </row>
    <row r="1885" spans="1:8" x14ac:dyDescent="0.35">
      <c r="A1885" t="s">
        <v>39</v>
      </c>
      <c r="B1885">
        <v>2014</v>
      </c>
      <c r="C1885">
        <v>4</v>
      </c>
      <c r="D1885">
        <v>23178</v>
      </c>
      <c r="E1885">
        <v>198</v>
      </c>
      <c r="F1885">
        <v>38134.67</v>
      </c>
      <c r="G1885">
        <v>8778.7999999999993</v>
      </c>
      <c r="H1885" t="str">
        <f>VLOOKUP(myynnit[[#This Row],[TuoteID]],ohjaus!$A$4:$B$20,2,FALSE)</f>
        <v>Pinnatuoli</v>
      </c>
    </row>
    <row r="1886" spans="1:8" x14ac:dyDescent="0.35">
      <c r="A1886" t="s">
        <v>39</v>
      </c>
      <c r="B1886">
        <v>2014</v>
      </c>
      <c r="C1886">
        <v>4</v>
      </c>
      <c r="D1886">
        <v>23600</v>
      </c>
      <c r="E1886">
        <v>875</v>
      </c>
      <c r="F1886">
        <v>103315.04</v>
      </c>
      <c r="G1886">
        <v>29324.15</v>
      </c>
      <c r="H1886" t="str">
        <f>VLOOKUP(myynnit[[#This Row],[TuoteID]],ohjaus!$A$4:$B$20,2,FALSE)</f>
        <v>Pinnatuoli</v>
      </c>
    </row>
    <row r="1887" spans="1:8" x14ac:dyDescent="0.35">
      <c r="A1887" t="s">
        <v>39</v>
      </c>
      <c r="B1887">
        <v>2014</v>
      </c>
      <c r="C1887">
        <v>4</v>
      </c>
      <c r="D1887">
        <v>23756</v>
      </c>
      <c r="E1887">
        <v>65</v>
      </c>
      <c r="F1887">
        <v>13124.67</v>
      </c>
      <c r="G1887">
        <v>6696.11</v>
      </c>
      <c r="H1887" t="str">
        <f>VLOOKUP(myynnit[[#This Row],[TuoteID]],ohjaus!$A$4:$B$20,2,FALSE)</f>
        <v>Pianotuoli</v>
      </c>
    </row>
    <row r="1888" spans="1:8" x14ac:dyDescent="0.35">
      <c r="A1888" t="s">
        <v>39</v>
      </c>
      <c r="B1888">
        <v>2014</v>
      </c>
      <c r="C1888">
        <v>4</v>
      </c>
      <c r="D1888">
        <v>24326</v>
      </c>
      <c r="E1888">
        <v>64</v>
      </c>
      <c r="F1888">
        <v>9863.6</v>
      </c>
      <c r="G1888">
        <v>2883.65</v>
      </c>
      <c r="H1888" t="str">
        <f>VLOOKUP(myynnit[[#This Row],[TuoteID]],ohjaus!$A$4:$B$20,2,FALSE)</f>
        <v>Lepotuoli</v>
      </c>
    </row>
    <row r="1889" spans="1:8" x14ac:dyDescent="0.35">
      <c r="A1889" t="s">
        <v>38</v>
      </c>
      <c r="B1889">
        <v>2014</v>
      </c>
      <c r="C1889">
        <v>4</v>
      </c>
      <c r="D1889">
        <v>12184</v>
      </c>
      <c r="E1889">
        <v>41</v>
      </c>
      <c r="F1889">
        <v>5781.97</v>
      </c>
      <c r="G1889">
        <v>3586.86</v>
      </c>
      <c r="H1889" t="str">
        <f>VLOOKUP(myynnit[[#This Row],[TuoteID]],ohjaus!$A$4:$B$20,2,FALSE)</f>
        <v>Rahi</v>
      </c>
    </row>
    <row r="1890" spans="1:8" x14ac:dyDescent="0.35">
      <c r="A1890" t="s">
        <v>38</v>
      </c>
      <c r="B1890">
        <v>2014</v>
      </c>
      <c r="C1890">
        <v>4</v>
      </c>
      <c r="D1890">
        <v>12622</v>
      </c>
      <c r="E1890">
        <v>53</v>
      </c>
      <c r="F1890">
        <v>14370.14</v>
      </c>
      <c r="G1890">
        <v>7016.88</v>
      </c>
      <c r="H1890" t="str">
        <f>VLOOKUP(myynnit[[#This Row],[TuoteID]],ohjaus!$A$4:$B$20,2,FALSE)</f>
        <v>Pianotuoli</v>
      </c>
    </row>
    <row r="1891" spans="1:8" x14ac:dyDescent="0.35">
      <c r="A1891" t="s">
        <v>38</v>
      </c>
      <c r="B1891">
        <v>2014</v>
      </c>
      <c r="C1891">
        <v>4</v>
      </c>
      <c r="D1891">
        <v>13527</v>
      </c>
      <c r="E1891">
        <v>559</v>
      </c>
      <c r="F1891">
        <v>88913.73</v>
      </c>
      <c r="G1891">
        <v>20676.650000000001</v>
      </c>
      <c r="H1891" t="str">
        <f>VLOOKUP(myynnit[[#This Row],[TuoteID]],ohjaus!$A$4:$B$20,2,FALSE)</f>
        <v>Pinnatuoli</v>
      </c>
    </row>
    <row r="1892" spans="1:8" x14ac:dyDescent="0.35">
      <c r="A1892" t="s">
        <v>38</v>
      </c>
      <c r="B1892">
        <v>2014</v>
      </c>
      <c r="C1892">
        <v>4</v>
      </c>
      <c r="D1892">
        <v>13618</v>
      </c>
      <c r="E1892">
        <v>9</v>
      </c>
      <c r="F1892">
        <v>4071.65</v>
      </c>
      <c r="G1892">
        <v>1685.85</v>
      </c>
      <c r="H1892" t="str">
        <f>VLOOKUP(myynnit[[#This Row],[TuoteID]],ohjaus!$A$4:$B$20,2,FALSE)</f>
        <v>Pianotuoli</v>
      </c>
    </row>
    <row r="1893" spans="1:8" x14ac:dyDescent="0.35">
      <c r="A1893" t="s">
        <v>38</v>
      </c>
      <c r="B1893">
        <v>2014</v>
      </c>
      <c r="C1893">
        <v>4</v>
      </c>
      <c r="D1893">
        <v>16024</v>
      </c>
      <c r="E1893">
        <v>201</v>
      </c>
      <c r="F1893">
        <v>90976.58</v>
      </c>
      <c r="G1893">
        <v>23763.439999999999</v>
      </c>
      <c r="H1893" t="str">
        <f>VLOOKUP(myynnit[[#This Row],[TuoteID]],ohjaus!$A$4:$B$20,2,FALSE)</f>
        <v>Työtuoli</v>
      </c>
    </row>
    <row r="1894" spans="1:8" x14ac:dyDescent="0.35">
      <c r="A1894" t="s">
        <v>38</v>
      </c>
      <c r="B1894">
        <v>2014</v>
      </c>
      <c r="C1894">
        <v>4</v>
      </c>
      <c r="D1894">
        <v>16650</v>
      </c>
      <c r="E1894">
        <v>60</v>
      </c>
      <c r="F1894">
        <v>10897.08</v>
      </c>
      <c r="G1894">
        <v>5655.01</v>
      </c>
      <c r="H1894" t="str">
        <f>VLOOKUP(myynnit[[#This Row],[TuoteID]],ohjaus!$A$4:$B$20,2,FALSE)</f>
        <v>Rahi</v>
      </c>
    </row>
    <row r="1895" spans="1:8" x14ac:dyDescent="0.35">
      <c r="A1895" t="s">
        <v>38</v>
      </c>
      <c r="B1895">
        <v>2014</v>
      </c>
      <c r="C1895">
        <v>4</v>
      </c>
      <c r="D1895">
        <v>17892</v>
      </c>
      <c r="E1895">
        <v>82</v>
      </c>
      <c r="F1895">
        <v>11819.34</v>
      </c>
      <c r="G1895">
        <v>2861.56</v>
      </c>
      <c r="H1895" t="str">
        <f>VLOOKUP(myynnit[[#This Row],[TuoteID]],ohjaus!$A$4:$B$20,2,FALSE)</f>
        <v>Lepotuoli</v>
      </c>
    </row>
    <row r="1896" spans="1:8" x14ac:dyDescent="0.35">
      <c r="A1896" t="s">
        <v>38</v>
      </c>
      <c r="B1896">
        <v>2014</v>
      </c>
      <c r="C1896">
        <v>4</v>
      </c>
      <c r="D1896">
        <v>18342</v>
      </c>
      <c r="E1896">
        <v>198</v>
      </c>
      <c r="F1896">
        <v>148056.38</v>
      </c>
      <c r="G1896">
        <v>32824.81</v>
      </c>
      <c r="H1896" t="str">
        <f>VLOOKUP(myynnit[[#This Row],[TuoteID]],ohjaus!$A$4:$B$20,2,FALSE)</f>
        <v>Työtuoli</v>
      </c>
    </row>
    <row r="1897" spans="1:8" x14ac:dyDescent="0.35">
      <c r="A1897" t="s">
        <v>38</v>
      </c>
      <c r="B1897">
        <v>2014</v>
      </c>
      <c r="C1897">
        <v>4</v>
      </c>
      <c r="D1897">
        <v>20177</v>
      </c>
      <c r="E1897">
        <v>37</v>
      </c>
      <c r="F1897">
        <v>3347.93</v>
      </c>
      <c r="G1897">
        <v>1138.99</v>
      </c>
      <c r="H1897" t="str">
        <f>VLOOKUP(myynnit[[#This Row],[TuoteID]],ohjaus!$A$4:$B$20,2,FALSE)</f>
        <v>Säkkituoli</v>
      </c>
    </row>
    <row r="1898" spans="1:8" x14ac:dyDescent="0.35">
      <c r="A1898" t="s">
        <v>38</v>
      </c>
      <c r="B1898">
        <v>2014</v>
      </c>
      <c r="C1898">
        <v>4</v>
      </c>
      <c r="D1898">
        <v>21179</v>
      </c>
      <c r="E1898">
        <v>60</v>
      </c>
      <c r="F1898">
        <v>8915.66</v>
      </c>
      <c r="G1898">
        <v>4466.4799999999996</v>
      </c>
      <c r="H1898" t="str">
        <f>VLOOKUP(myynnit[[#This Row],[TuoteID]],ohjaus!$A$4:$B$20,2,FALSE)</f>
        <v>Rahi</v>
      </c>
    </row>
    <row r="1899" spans="1:8" x14ac:dyDescent="0.35">
      <c r="A1899" t="s">
        <v>38</v>
      </c>
      <c r="B1899">
        <v>2014</v>
      </c>
      <c r="C1899">
        <v>4</v>
      </c>
      <c r="D1899">
        <v>21260</v>
      </c>
      <c r="E1899">
        <v>84</v>
      </c>
      <c r="F1899">
        <v>17772.36</v>
      </c>
      <c r="G1899">
        <v>5158.87</v>
      </c>
      <c r="H1899" t="str">
        <f>VLOOKUP(myynnit[[#This Row],[TuoteID]],ohjaus!$A$4:$B$20,2,FALSE)</f>
        <v>Lepotuoli</v>
      </c>
    </row>
    <row r="1900" spans="1:8" x14ac:dyDescent="0.35">
      <c r="A1900" t="s">
        <v>38</v>
      </c>
      <c r="B1900">
        <v>2014</v>
      </c>
      <c r="C1900">
        <v>4</v>
      </c>
      <c r="D1900">
        <v>22317</v>
      </c>
      <c r="E1900">
        <v>54</v>
      </c>
      <c r="F1900">
        <v>4015.08</v>
      </c>
      <c r="G1900">
        <v>1327.96</v>
      </c>
      <c r="H1900" t="str">
        <f>VLOOKUP(myynnit[[#This Row],[TuoteID]],ohjaus!$A$4:$B$20,2,FALSE)</f>
        <v>Säkkituoli</v>
      </c>
    </row>
    <row r="1901" spans="1:8" x14ac:dyDescent="0.35">
      <c r="A1901" t="s">
        <v>38</v>
      </c>
      <c r="B1901">
        <v>2014</v>
      </c>
      <c r="C1901">
        <v>4</v>
      </c>
      <c r="D1901">
        <v>22940</v>
      </c>
      <c r="E1901">
        <v>600</v>
      </c>
      <c r="F1901">
        <v>81186.649999999994</v>
      </c>
      <c r="G1901">
        <v>16231.79</v>
      </c>
      <c r="H1901" t="str">
        <f>VLOOKUP(myynnit[[#This Row],[TuoteID]],ohjaus!$A$4:$B$20,2,FALSE)</f>
        <v>Pinnatuoli</v>
      </c>
    </row>
    <row r="1902" spans="1:8" x14ac:dyDescent="0.35">
      <c r="A1902" t="s">
        <v>38</v>
      </c>
      <c r="B1902">
        <v>2014</v>
      </c>
      <c r="C1902">
        <v>4</v>
      </c>
      <c r="D1902">
        <v>23178</v>
      </c>
      <c r="E1902">
        <v>229</v>
      </c>
      <c r="F1902">
        <v>43459.31</v>
      </c>
      <c r="G1902">
        <v>9168.77</v>
      </c>
      <c r="H1902" t="str">
        <f>VLOOKUP(myynnit[[#This Row],[TuoteID]],ohjaus!$A$4:$B$20,2,FALSE)</f>
        <v>Pinnatuoli</v>
      </c>
    </row>
    <row r="1903" spans="1:8" x14ac:dyDescent="0.35">
      <c r="A1903" t="s">
        <v>38</v>
      </c>
      <c r="B1903">
        <v>2014</v>
      </c>
      <c r="C1903">
        <v>4</v>
      </c>
      <c r="D1903">
        <v>23600</v>
      </c>
      <c r="E1903">
        <v>1073</v>
      </c>
      <c r="F1903">
        <v>114693.09</v>
      </c>
      <c r="G1903">
        <v>27055.58</v>
      </c>
      <c r="H1903" t="str">
        <f>VLOOKUP(myynnit[[#This Row],[TuoteID]],ohjaus!$A$4:$B$20,2,FALSE)</f>
        <v>Pinnatuoli</v>
      </c>
    </row>
    <row r="1904" spans="1:8" x14ac:dyDescent="0.35">
      <c r="A1904" t="s">
        <v>38</v>
      </c>
      <c r="B1904">
        <v>2014</v>
      </c>
      <c r="C1904">
        <v>4</v>
      </c>
      <c r="D1904">
        <v>23756</v>
      </c>
      <c r="E1904">
        <v>137</v>
      </c>
      <c r="F1904">
        <v>27191.19</v>
      </c>
      <c r="G1904">
        <v>13873.35</v>
      </c>
      <c r="H1904" t="str">
        <f>VLOOKUP(myynnit[[#This Row],[TuoteID]],ohjaus!$A$4:$B$20,2,FALSE)</f>
        <v>Pianotuoli</v>
      </c>
    </row>
    <row r="1905" spans="1:8" x14ac:dyDescent="0.35">
      <c r="A1905" t="s">
        <v>38</v>
      </c>
      <c r="B1905">
        <v>2014</v>
      </c>
      <c r="C1905">
        <v>4</v>
      </c>
      <c r="D1905">
        <v>24326</v>
      </c>
      <c r="E1905">
        <v>105</v>
      </c>
      <c r="F1905">
        <v>13755.85</v>
      </c>
      <c r="G1905">
        <v>3463.4</v>
      </c>
      <c r="H1905" t="str">
        <f>VLOOKUP(myynnit[[#This Row],[TuoteID]],ohjaus!$A$4:$B$20,2,FALSE)</f>
        <v>Lepotuoli</v>
      </c>
    </row>
    <row r="1906" spans="1:8" x14ac:dyDescent="0.35">
      <c r="A1906" t="s">
        <v>37</v>
      </c>
      <c r="B1906">
        <v>2014</v>
      </c>
      <c r="C1906">
        <v>5</v>
      </c>
      <c r="D1906">
        <v>12184</v>
      </c>
      <c r="E1906">
        <v>44</v>
      </c>
      <c r="F1906">
        <v>6139.45</v>
      </c>
      <c r="G1906">
        <v>2854.03</v>
      </c>
      <c r="H1906" t="str">
        <f>VLOOKUP(myynnit[[#This Row],[TuoteID]],ohjaus!$A$4:$B$20,2,FALSE)</f>
        <v>Rahi</v>
      </c>
    </row>
    <row r="1907" spans="1:8" x14ac:dyDescent="0.35">
      <c r="A1907" t="s">
        <v>37</v>
      </c>
      <c r="B1907">
        <v>2014</v>
      </c>
      <c r="C1907">
        <v>5</v>
      </c>
      <c r="D1907">
        <v>12622</v>
      </c>
      <c r="E1907">
        <v>79</v>
      </c>
      <c r="F1907">
        <v>20525.73</v>
      </c>
      <c r="G1907">
        <v>8223.9699999999993</v>
      </c>
      <c r="H1907" t="str">
        <f>VLOOKUP(myynnit[[#This Row],[TuoteID]],ohjaus!$A$4:$B$20,2,FALSE)</f>
        <v>Pianotuoli</v>
      </c>
    </row>
    <row r="1908" spans="1:8" x14ac:dyDescent="0.35">
      <c r="A1908" t="s">
        <v>37</v>
      </c>
      <c r="B1908">
        <v>2014</v>
      </c>
      <c r="C1908">
        <v>5</v>
      </c>
      <c r="D1908">
        <v>13527</v>
      </c>
      <c r="E1908">
        <v>524</v>
      </c>
      <c r="F1908">
        <v>78716.89</v>
      </c>
      <c r="G1908">
        <v>15001.16</v>
      </c>
      <c r="H1908" t="str">
        <f>VLOOKUP(myynnit[[#This Row],[TuoteID]],ohjaus!$A$4:$B$20,2,FALSE)</f>
        <v>Pinnatuoli</v>
      </c>
    </row>
    <row r="1909" spans="1:8" x14ac:dyDescent="0.35">
      <c r="A1909" t="s">
        <v>37</v>
      </c>
      <c r="B1909">
        <v>2014</v>
      </c>
      <c r="C1909">
        <v>5</v>
      </c>
      <c r="D1909">
        <v>13618</v>
      </c>
      <c r="E1909">
        <v>13</v>
      </c>
      <c r="F1909">
        <v>5814.74</v>
      </c>
      <c r="G1909">
        <v>2353.25</v>
      </c>
      <c r="H1909" t="str">
        <f>VLOOKUP(myynnit[[#This Row],[TuoteID]],ohjaus!$A$4:$B$20,2,FALSE)</f>
        <v>Pianotuoli</v>
      </c>
    </row>
    <row r="1910" spans="1:8" x14ac:dyDescent="0.35">
      <c r="A1910" t="s">
        <v>37</v>
      </c>
      <c r="B1910">
        <v>2014</v>
      </c>
      <c r="C1910">
        <v>5</v>
      </c>
      <c r="D1910">
        <v>16024</v>
      </c>
      <c r="E1910">
        <v>224</v>
      </c>
      <c r="F1910">
        <v>86440.8</v>
      </c>
      <c r="G1910">
        <v>27663.65</v>
      </c>
      <c r="H1910" t="str">
        <f>VLOOKUP(myynnit[[#This Row],[TuoteID]],ohjaus!$A$4:$B$20,2,FALSE)</f>
        <v>Työtuoli</v>
      </c>
    </row>
    <row r="1911" spans="1:8" x14ac:dyDescent="0.35">
      <c r="A1911" t="s">
        <v>37</v>
      </c>
      <c r="B1911">
        <v>2014</v>
      </c>
      <c r="C1911">
        <v>5</v>
      </c>
      <c r="D1911">
        <v>16650</v>
      </c>
      <c r="E1911">
        <v>40</v>
      </c>
      <c r="F1911">
        <v>5019.8900000000003</v>
      </c>
      <c r="G1911">
        <v>2564.94</v>
      </c>
      <c r="H1911" t="str">
        <f>VLOOKUP(myynnit[[#This Row],[TuoteID]],ohjaus!$A$4:$B$20,2,FALSE)</f>
        <v>Rahi</v>
      </c>
    </row>
    <row r="1912" spans="1:8" x14ac:dyDescent="0.35">
      <c r="A1912" t="s">
        <v>37</v>
      </c>
      <c r="B1912">
        <v>2014</v>
      </c>
      <c r="C1912">
        <v>5</v>
      </c>
      <c r="D1912">
        <v>17892</v>
      </c>
      <c r="E1912">
        <v>151</v>
      </c>
      <c r="F1912">
        <v>20491.93</v>
      </c>
      <c r="G1912">
        <v>5245.05</v>
      </c>
      <c r="H1912" t="str">
        <f>VLOOKUP(myynnit[[#This Row],[TuoteID]],ohjaus!$A$4:$B$20,2,FALSE)</f>
        <v>Lepotuoli</v>
      </c>
    </row>
    <row r="1913" spans="1:8" x14ac:dyDescent="0.35">
      <c r="A1913" t="s">
        <v>37</v>
      </c>
      <c r="B1913">
        <v>2014</v>
      </c>
      <c r="C1913">
        <v>5</v>
      </c>
      <c r="D1913">
        <v>18342</v>
      </c>
      <c r="E1913">
        <v>204</v>
      </c>
      <c r="F1913">
        <v>174116.14</v>
      </c>
      <c r="G1913">
        <v>50699.71</v>
      </c>
      <c r="H1913" t="str">
        <f>VLOOKUP(myynnit[[#This Row],[TuoteID]],ohjaus!$A$4:$B$20,2,FALSE)</f>
        <v>Työtuoli</v>
      </c>
    </row>
    <row r="1914" spans="1:8" x14ac:dyDescent="0.35">
      <c r="A1914" t="s">
        <v>37</v>
      </c>
      <c r="B1914">
        <v>2014</v>
      </c>
      <c r="C1914">
        <v>5</v>
      </c>
      <c r="D1914">
        <v>20177</v>
      </c>
      <c r="E1914">
        <v>105</v>
      </c>
      <c r="F1914">
        <v>10616.38</v>
      </c>
      <c r="G1914">
        <v>3611.08</v>
      </c>
      <c r="H1914" t="str">
        <f>VLOOKUP(myynnit[[#This Row],[TuoteID]],ohjaus!$A$4:$B$20,2,FALSE)</f>
        <v>Säkkituoli</v>
      </c>
    </row>
    <row r="1915" spans="1:8" x14ac:dyDescent="0.35">
      <c r="A1915" t="s">
        <v>37</v>
      </c>
      <c r="B1915">
        <v>2014</v>
      </c>
      <c r="C1915">
        <v>5</v>
      </c>
      <c r="D1915">
        <v>21179</v>
      </c>
      <c r="E1915">
        <v>58</v>
      </c>
      <c r="F1915">
        <v>7808.25</v>
      </c>
      <c r="G1915">
        <v>4090.35</v>
      </c>
      <c r="H1915" t="str">
        <f>VLOOKUP(myynnit[[#This Row],[TuoteID]],ohjaus!$A$4:$B$20,2,FALSE)</f>
        <v>Rahi</v>
      </c>
    </row>
    <row r="1916" spans="1:8" x14ac:dyDescent="0.35">
      <c r="A1916" t="s">
        <v>37</v>
      </c>
      <c r="B1916">
        <v>2014</v>
      </c>
      <c r="C1916">
        <v>5</v>
      </c>
      <c r="D1916">
        <v>21260</v>
      </c>
      <c r="E1916">
        <v>43</v>
      </c>
      <c r="F1916">
        <v>8589.1200000000008</v>
      </c>
      <c r="G1916">
        <v>2174.0700000000002</v>
      </c>
      <c r="H1916" t="str">
        <f>VLOOKUP(myynnit[[#This Row],[TuoteID]],ohjaus!$A$4:$B$20,2,FALSE)</f>
        <v>Lepotuoli</v>
      </c>
    </row>
    <row r="1917" spans="1:8" x14ac:dyDescent="0.35">
      <c r="A1917" t="s">
        <v>37</v>
      </c>
      <c r="B1917">
        <v>2014</v>
      </c>
      <c r="C1917">
        <v>5</v>
      </c>
      <c r="D1917">
        <v>22317</v>
      </c>
      <c r="E1917">
        <v>125</v>
      </c>
      <c r="F1917">
        <v>11459.54</v>
      </c>
      <c r="G1917">
        <v>4940.43</v>
      </c>
      <c r="H1917" t="str">
        <f>VLOOKUP(myynnit[[#This Row],[TuoteID]],ohjaus!$A$4:$B$20,2,FALSE)</f>
        <v>Säkkituoli</v>
      </c>
    </row>
    <row r="1918" spans="1:8" x14ac:dyDescent="0.35">
      <c r="A1918" t="s">
        <v>37</v>
      </c>
      <c r="B1918">
        <v>2014</v>
      </c>
      <c r="C1918">
        <v>5</v>
      </c>
      <c r="D1918">
        <v>22940</v>
      </c>
      <c r="E1918">
        <v>656</v>
      </c>
      <c r="F1918">
        <v>77379.08</v>
      </c>
      <c r="G1918">
        <v>14042.85</v>
      </c>
      <c r="H1918" t="str">
        <f>VLOOKUP(myynnit[[#This Row],[TuoteID]],ohjaus!$A$4:$B$20,2,FALSE)</f>
        <v>Pinnatuoli</v>
      </c>
    </row>
    <row r="1919" spans="1:8" x14ac:dyDescent="0.35">
      <c r="A1919" t="s">
        <v>37</v>
      </c>
      <c r="B1919">
        <v>2014</v>
      </c>
      <c r="C1919">
        <v>5</v>
      </c>
      <c r="D1919">
        <v>23178</v>
      </c>
      <c r="E1919">
        <v>429</v>
      </c>
      <c r="F1919">
        <v>70810.36</v>
      </c>
      <c r="G1919">
        <v>13215.08</v>
      </c>
      <c r="H1919" t="str">
        <f>VLOOKUP(myynnit[[#This Row],[TuoteID]],ohjaus!$A$4:$B$20,2,FALSE)</f>
        <v>Pinnatuoli</v>
      </c>
    </row>
    <row r="1920" spans="1:8" x14ac:dyDescent="0.35">
      <c r="A1920" t="s">
        <v>37</v>
      </c>
      <c r="B1920">
        <v>2014</v>
      </c>
      <c r="C1920">
        <v>5</v>
      </c>
      <c r="D1920">
        <v>23600</v>
      </c>
      <c r="E1920">
        <v>1119</v>
      </c>
      <c r="F1920">
        <v>127549.17</v>
      </c>
      <c r="G1920">
        <v>27668.86</v>
      </c>
      <c r="H1920" t="str">
        <f>VLOOKUP(myynnit[[#This Row],[TuoteID]],ohjaus!$A$4:$B$20,2,FALSE)</f>
        <v>Pinnatuoli</v>
      </c>
    </row>
    <row r="1921" spans="1:8" x14ac:dyDescent="0.35">
      <c r="A1921" t="s">
        <v>37</v>
      </c>
      <c r="B1921">
        <v>2014</v>
      </c>
      <c r="C1921">
        <v>5</v>
      </c>
      <c r="D1921">
        <v>23756</v>
      </c>
      <c r="E1921">
        <v>56</v>
      </c>
      <c r="F1921">
        <v>10736.06</v>
      </c>
      <c r="G1921">
        <v>5176.47</v>
      </c>
      <c r="H1921" t="str">
        <f>VLOOKUP(myynnit[[#This Row],[TuoteID]],ohjaus!$A$4:$B$20,2,FALSE)</f>
        <v>Pianotuoli</v>
      </c>
    </row>
    <row r="1922" spans="1:8" x14ac:dyDescent="0.35">
      <c r="A1922" t="s">
        <v>37</v>
      </c>
      <c r="B1922">
        <v>2014</v>
      </c>
      <c r="C1922">
        <v>5</v>
      </c>
      <c r="D1922">
        <v>24326</v>
      </c>
      <c r="E1922">
        <v>153</v>
      </c>
      <c r="F1922">
        <v>22448.33</v>
      </c>
      <c r="G1922">
        <v>5813.15</v>
      </c>
      <c r="H1922" t="str">
        <f>VLOOKUP(myynnit[[#This Row],[TuoteID]],ohjaus!$A$4:$B$20,2,FALSE)</f>
        <v>Lepotuoli</v>
      </c>
    </row>
    <row r="1923" spans="1:8" x14ac:dyDescent="0.35">
      <c r="A1923" t="s">
        <v>40</v>
      </c>
      <c r="B1923">
        <v>2014</v>
      </c>
      <c r="C1923">
        <v>5</v>
      </c>
      <c r="D1923">
        <v>12184</v>
      </c>
      <c r="E1923">
        <v>15</v>
      </c>
      <c r="F1923">
        <v>1726.64</v>
      </c>
      <c r="G1923">
        <v>854.74</v>
      </c>
      <c r="H1923" t="str">
        <f>VLOOKUP(myynnit[[#This Row],[TuoteID]],ohjaus!$A$4:$B$20,2,FALSE)</f>
        <v>Rahi</v>
      </c>
    </row>
    <row r="1924" spans="1:8" x14ac:dyDescent="0.35">
      <c r="A1924" t="s">
        <v>40</v>
      </c>
      <c r="B1924">
        <v>2014</v>
      </c>
      <c r="C1924">
        <v>5</v>
      </c>
      <c r="D1924">
        <v>12622</v>
      </c>
      <c r="E1924">
        <v>15</v>
      </c>
      <c r="F1924">
        <v>3448.62</v>
      </c>
      <c r="G1924">
        <v>1524.64</v>
      </c>
      <c r="H1924" t="str">
        <f>VLOOKUP(myynnit[[#This Row],[TuoteID]],ohjaus!$A$4:$B$20,2,FALSE)</f>
        <v>Pianotuoli</v>
      </c>
    </row>
    <row r="1925" spans="1:8" x14ac:dyDescent="0.35">
      <c r="A1925" t="s">
        <v>40</v>
      </c>
      <c r="B1925">
        <v>2014</v>
      </c>
      <c r="C1925">
        <v>5</v>
      </c>
      <c r="D1925">
        <v>13527</v>
      </c>
      <c r="E1925">
        <v>305</v>
      </c>
      <c r="F1925">
        <v>50472.05</v>
      </c>
      <c r="G1925">
        <v>9990.11</v>
      </c>
      <c r="H1925" t="str">
        <f>VLOOKUP(myynnit[[#This Row],[TuoteID]],ohjaus!$A$4:$B$20,2,FALSE)</f>
        <v>Pinnatuoli</v>
      </c>
    </row>
    <row r="1926" spans="1:8" x14ac:dyDescent="0.35">
      <c r="A1926" t="s">
        <v>40</v>
      </c>
      <c r="B1926">
        <v>2014</v>
      </c>
      <c r="C1926">
        <v>5</v>
      </c>
      <c r="D1926">
        <v>13618</v>
      </c>
      <c r="E1926">
        <v>6</v>
      </c>
      <c r="F1926">
        <v>2562.58</v>
      </c>
      <c r="G1926">
        <v>954.26</v>
      </c>
      <c r="H1926" t="str">
        <f>VLOOKUP(myynnit[[#This Row],[TuoteID]],ohjaus!$A$4:$B$20,2,FALSE)</f>
        <v>Pianotuoli</v>
      </c>
    </row>
    <row r="1927" spans="1:8" x14ac:dyDescent="0.35">
      <c r="A1927" t="s">
        <v>40</v>
      </c>
      <c r="B1927">
        <v>2014</v>
      </c>
      <c r="C1927">
        <v>5</v>
      </c>
      <c r="D1927">
        <v>16024</v>
      </c>
      <c r="E1927">
        <v>209</v>
      </c>
      <c r="F1927">
        <v>84039.62</v>
      </c>
      <c r="G1927">
        <v>27701.16</v>
      </c>
      <c r="H1927" t="str">
        <f>VLOOKUP(myynnit[[#This Row],[TuoteID]],ohjaus!$A$4:$B$20,2,FALSE)</f>
        <v>Työtuoli</v>
      </c>
    </row>
    <row r="1928" spans="1:8" x14ac:dyDescent="0.35">
      <c r="A1928" t="s">
        <v>40</v>
      </c>
      <c r="B1928">
        <v>2014</v>
      </c>
      <c r="C1928">
        <v>5</v>
      </c>
      <c r="D1928">
        <v>16650</v>
      </c>
      <c r="E1928">
        <v>26</v>
      </c>
      <c r="F1928">
        <v>3542.44</v>
      </c>
      <c r="G1928">
        <v>1938.06</v>
      </c>
      <c r="H1928" t="str">
        <f>VLOOKUP(myynnit[[#This Row],[TuoteID]],ohjaus!$A$4:$B$20,2,FALSE)</f>
        <v>Rahi</v>
      </c>
    </row>
    <row r="1929" spans="1:8" x14ac:dyDescent="0.35">
      <c r="A1929" t="s">
        <v>40</v>
      </c>
      <c r="B1929">
        <v>2014</v>
      </c>
      <c r="C1929">
        <v>5</v>
      </c>
      <c r="D1929">
        <v>17892</v>
      </c>
      <c r="E1929">
        <v>97</v>
      </c>
      <c r="F1929">
        <v>14850.51</v>
      </c>
      <c r="G1929">
        <v>3496.39</v>
      </c>
      <c r="H1929" t="str">
        <f>VLOOKUP(myynnit[[#This Row],[TuoteID]],ohjaus!$A$4:$B$20,2,FALSE)</f>
        <v>Lepotuoli</v>
      </c>
    </row>
    <row r="1930" spans="1:8" x14ac:dyDescent="0.35">
      <c r="A1930" t="s">
        <v>40</v>
      </c>
      <c r="B1930">
        <v>2014</v>
      </c>
      <c r="C1930">
        <v>5</v>
      </c>
      <c r="D1930">
        <v>18342</v>
      </c>
      <c r="E1930">
        <v>20</v>
      </c>
      <c r="F1930">
        <v>16782.04</v>
      </c>
      <c r="G1930">
        <v>4469.0600000000004</v>
      </c>
      <c r="H1930" t="str">
        <f>VLOOKUP(myynnit[[#This Row],[TuoteID]],ohjaus!$A$4:$B$20,2,FALSE)</f>
        <v>Työtuoli</v>
      </c>
    </row>
    <row r="1931" spans="1:8" x14ac:dyDescent="0.35">
      <c r="A1931" t="s">
        <v>40</v>
      </c>
      <c r="B1931">
        <v>2014</v>
      </c>
      <c r="C1931">
        <v>5</v>
      </c>
      <c r="D1931">
        <v>20177</v>
      </c>
      <c r="E1931">
        <v>21</v>
      </c>
      <c r="F1931">
        <v>2163.75</v>
      </c>
      <c r="G1931">
        <v>849.43</v>
      </c>
      <c r="H1931" t="str">
        <f>VLOOKUP(myynnit[[#This Row],[TuoteID]],ohjaus!$A$4:$B$20,2,FALSE)</f>
        <v>Säkkituoli</v>
      </c>
    </row>
    <row r="1932" spans="1:8" x14ac:dyDescent="0.35">
      <c r="A1932" t="s">
        <v>40</v>
      </c>
      <c r="B1932">
        <v>2014</v>
      </c>
      <c r="C1932">
        <v>5</v>
      </c>
      <c r="D1932">
        <v>21179</v>
      </c>
      <c r="E1932">
        <v>46</v>
      </c>
      <c r="F1932">
        <v>6482.64</v>
      </c>
      <c r="G1932">
        <v>3262.56</v>
      </c>
      <c r="H1932" t="str">
        <f>VLOOKUP(myynnit[[#This Row],[TuoteID]],ohjaus!$A$4:$B$20,2,FALSE)</f>
        <v>Rahi</v>
      </c>
    </row>
    <row r="1933" spans="1:8" x14ac:dyDescent="0.35">
      <c r="A1933" t="s">
        <v>40</v>
      </c>
      <c r="B1933">
        <v>2014</v>
      </c>
      <c r="C1933">
        <v>5</v>
      </c>
      <c r="D1933">
        <v>21260</v>
      </c>
      <c r="E1933">
        <v>22</v>
      </c>
      <c r="F1933">
        <v>3917.57</v>
      </c>
      <c r="G1933">
        <v>1053.5</v>
      </c>
      <c r="H1933" t="str">
        <f>VLOOKUP(myynnit[[#This Row],[TuoteID]],ohjaus!$A$4:$B$20,2,FALSE)</f>
        <v>Lepotuoli</v>
      </c>
    </row>
    <row r="1934" spans="1:8" x14ac:dyDescent="0.35">
      <c r="A1934" t="s">
        <v>40</v>
      </c>
      <c r="B1934">
        <v>2014</v>
      </c>
      <c r="C1934">
        <v>5</v>
      </c>
      <c r="D1934">
        <v>22317</v>
      </c>
      <c r="E1934">
        <v>10</v>
      </c>
      <c r="F1934">
        <v>799.71</v>
      </c>
      <c r="G1934">
        <v>420.02</v>
      </c>
      <c r="H1934" t="str">
        <f>VLOOKUP(myynnit[[#This Row],[TuoteID]],ohjaus!$A$4:$B$20,2,FALSE)</f>
        <v>Säkkituoli</v>
      </c>
    </row>
    <row r="1935" spans="1:8" x14ac:dyDescent="0.35">
      <c r="A1935" t="s">
        <v>40</v>
      </c>
      <c r="B1935">
        <v>2014</v>
      </c>
      <c r="C1935">
        <v>5</v>
      </c>
      <c r="D1935">
        <v>22940</v>
      </c>
      <c r="E1935">
        <v>103</v>
      </c>
      <c r="F1935">
        <v>12128.16</v>
      </c>
      <c r="G1935">
        <v>2967.46</v>
      </c>
      <c r="H1935" t="str">
        <f>VLOOKUP(myynnit[[#This Row],[TuoteID]],ohjaus!$A$4:$B$20,2,FALSE)</f>
        <v>Pinnatuoli</v>
      </c>
    </row>
    <row r="1936" spans="1:8" x14ac:dyDescent="0.35">
      <c r="A1936" t="s">
        <v>40</v>
      </c>
      <c r="B1936">
        <v>2014</v>
      </c>
      <c r="C1936">
        <v>5</v>
      </c>
      <c r="D1936">
        <v>23178</v>
      </c>
      <c r="E1936">
        <v>139</v>
      </c>
      <c r="F1936">
        <v>26164.47</v>
      </c>
      <c r="G1936">
        <v>7715.67</v>
      </c>
      <c r="H1936" t="str">
        <f>VLOOKUP(myynnit[[#This Row],[TuoteID]],ohjaus!$A$4:$B$20,2,FALSE)</f>
        <v>Pinnatuoli</v>
      </c>
    </row>
    <row r="1937" spans="1:8" x14ac:dyDescent="0.35">
      <c r="A1937" t="s">
        <v>40</v>
      </c>
      <c r="B1937">
        <v>2014</v>
      </c>
      <c r="C1937">
        <v>5</v>
      </c>
      <c r="D1937">
        <v>23600</v>
      </c>
      <c r="E1937">
        <v>297</v>
      </c>
      <c r="F1937">
        <v>33487.629999999997</v>
      </c>
      <c r="G1937">
        <v>8922.8700000000008</v>
      </c>
      <c r="H1937" t="str">
        <f>VLOOKUP(myynnit[[#This Row],[TuoteID]],ohjaus!$A$4:$B$20,2,FALSE)</f>
        <v>Pinnatuoli</v>
      </c>
    </row>
    <row r="1938" spans="1:8" x14ac:dyDescent="0.35">
      <c r="A1938" t="s">
        <v>40</v>
      </c>
      <c r="B1938">
        <v>2014</v>
      </c>
      <c r="C1938">
        <v>5</v>
      </c>
      <c r="D1938">
        <v>23756</v>
      </c>
      <c r="E1938">
        <v>76</v>
      </c>
      <c r="F1938">
        <v>14297.97</v>
      </c>
      <c r="G1938">
        <v>6221.64</v>
      </c>
      <c r="H1938" t="str">
        <f>VLOOKUP(myynnit[[#This Row],[TuoteID]],ohjaus!$A$4:$B$20,2,FALSE)</f>
        <v>Pianotuoli</v>
      </c>
    </row>
    <row r="1939" spans="1:8" x14ac:dyDescent="0.35">
      <c r="A1939" t="s">
        <v>40</v>
      </c>
      <c r="B1939">
        <v>2014</v>
      </c>
      <c r="C1939">
        <v>5</v>
      </c>
      <c r="D1939">
        <v>24326</v>
      </c>
      <c r="E1939">
        <v>24</v>
      </c>
      <c r="F1939">
        <v>3002.84</v>
      </c>
      <c r="G1939">
        <v>937.41</v>
      </c>
      <c r="H1939" t="str">
        <f>VLOOKUP(myynnit[[#This Row],[TuoteID]],ohjaus!$A$4:$B$20,2,FALSE)</f>
        <v>Lepotuoli</v>
      </c>
    </row>
    <row r="1940" spans="1:8" x14ac:dyDescent="0.35">
      <c r="A1940" t="s">
        <v>39</v>
      </c>
      <c r="B1940">
        <v>2014</v>
      </c>
      <c r="C1940">
        <v>5</v>
      </c>
      <c r="D1940">
        <v>12184</v>
      </c>
      <c r="E1940">
        <v>92</v>
      </c>
      <c r="F1940">
        <v>12648.2</v>
      </c>
      <c r="G1940">
        <v>9094.14</v>
      </c>
      <c r="H1940" t="str">
        <f>VLOOKUP(myynnit[[#This Row],[TuoteID]],ohjaus!$A$4:$B$20,2,FALSE)</f>
        <v>Rahi</v>
      </c>
    </row>
    <row r="1941" spans="1:8" x14ac:dyDescent="0.35">
      <c r="A1941" t="s">
        <v>39</v>
      </c>
      <c r="B1941">
        <v>2014</v>
      </c>
      <c r="C1941">
        <v>5</v>
      </c>
      <c r="D1941">
        <v>12622</v>
      </c>
      <c r="E1941">
        <v>24</v>
      </c>
      <c r="F1941">
        <v>6978.99</v>
      </c>
      <c r="G1941">
        <v>4135.83</v>
      </c>
      <c r="H1941" t="str">
        <f>VLOOKUP(myynnit[[#This Row],[TuoteID]],ohjaus!$A$4:$B$20,2,FALSE)</f>
        <v>Pianotuoli</v>
      </c>
    </row>
    <row r="1942" spans="1:8" x14ac:dyDescent="0.35">
      <c r="A1942" t="s">
        <v>39</v>
      </c>
      <c r="B1942">
        <v>2014</v>
      </c>
      <c r="C1942">
        <v>5</v>
      </c>
      <c r="D1942">
        <v>13527</v>
      </c>
      <c r="E1942">
        <v>265</v>
      </c>
      <c r="F1942">
        <v>42190.89</v>
      </c>
      <c r="G1942">
        <v>12219.45</v>
      </c>
      <c r="H1942" t="str">
        <f>VLOOKUP(myynnit[[#This Row],[TuoteID]],ohjaus!$A$4:$B$20,2,FALSE)</f>
        <v>Pinnatuoli</v>
      </c>
    </row>
    <row r="1943" spans="1:8" x14ac:dyDescent="0.35">
      <c r="A1943" t="s">
        <v>39</v>
      </c>
      <c r="B1943">
        <v>2014</v>
      </c>
      <c r="C1943">
        <v>5</v>
      </c>
      <c r="D1943">
        <v>13618</v>
      </c>
      <c r="E1943">
        <v>26</v>
      </c>
      <c r="F1943">
        <v>8588.15</v>
      </c>
      <c r="G1943">
        <v>5581.58</v>
      </c>
      <c r="H1943" t="str">
        <f>VLOOKUP(myynnit[[#This Row],[TuoteID]],ohjaus!$A$4:$B$20,2,FALSE)</f>
        <v>Pianotuoli</v>
      </c>
    </row>
    <row r="1944" spans="1:8" x14ac:dyDescent="0.35">
      <c r="A1944" t="s">
        <v>39</v>
      </c>
      <c r="B1944">
        <v>2014</v>
      </c>
      <c r="C1944">
        <v>5</v>
      </c>
      <c r="D1944">
        <v>16024</v>
      </c>
      <c r="E1944">
        <v>135</v>
      </c>
      <c r="F1944">
        <v>54734.91</v>
      </c>
      <c r="G1944">
        <v>16643.66</v>
      </c>
      <c r="H1944" t="str">
        <f>VLOOKUP(myynnit[[#This Row],[TuoteID]],ohjaus!$A$4:$B$20,2,FALSE)</f>
        <v>Työtuoli</v>
      </c>
    </row>
    <row r="1945" spans="1:8" x14ac:dyDescent="0.35">
      <c r="A1945" t="s">
        <v>39</v>
      </c>
      <c r="B1945">
        <v>2014</v>
      </c>
      <c r="C1945">
        <v>5</v>
      </c>
      <c r="D1945">
        <v>16650</v>
      </c>
      <c r="E1945">
        <v>21</v>
      </c>
      <c r="F1945">
        <v>3401.78</v>
      </c>
      <c r="G1945">
        <v>2267.58</v>
      </c>
      <c r="H1945" t="str">
        <f>VLOOKUP(myynnit[[#This Row],[TuoteID]],ohjaus!$A$4:$B$20,2,FALSE)</f>
        <v>Rahi</v>
      </c>
    </row>
    <row r="1946" spans="1:8" x14ac:dyDescent="0.35">
      <c r="A1946" t="s">
        <v>39</v>
      </c>
      <c r="B1946">
        <v>2014</v>
      </c>
      <c r="C1946">
        <v>5</v>
      </c>
      <c r="D1946">
        <v>17892</v>
      </c>
      <c r="E1946">
        <v>77</v>
      </c>
      <c r="F1946">
        <v>10738.87</v>
      </c>
      <c r="G1946">
        <v>3009.57</v>
      </c>
      <c r="H1946" t="str">
        <f>VLOOKUP(myynnit[[#This Row],[TuoteID]],ohjaus!$A$4:$B$20,2,FALSE)</f>
        <v>Lepotuoli</v>
      </c>
    </row>
    <row r="1947" spans="1:8" x14ac:dyDescent="0.35">
      <c r="A1947" t="s">
        <v>39</v>
      </c>
      <c r="B1947">
        <v>2014</v>
      </c>
      <c r="C1947">
        <v>5</v>
      </c>
      <c r="D1947">
        <v>18342</v>
      </c>
      <c r="E1947">
        <v>106</v>
      </c>
      <c r="F1947">
        <v>85196.44</v>
      </c>
      <c r="G1947">
        <v>23617.32</v>
      </c>
      <c r="H1947" t="str">
        <f>VLOOKUP(myynnit[[#This Row],[TuoteID]],ohjaus!$A$4:$B$20,2,FALSE)</f>
        <v>Työtuoli</v>
      </c>
    </row>
    <row r="1948" spans="1:8" x14ac:dyDescent="0.35">
      <c r="A1948" t="s">
        <v>39</v>
      </c>
      <c r="B1948">
        <v>2014</v>
      </c>
      <c r="C1948">
        <v>5</v>
      </c>
      <c r="D1948">
        <v>20177</v>
      </c>
      <c r="E1948">
        <v>41</v>
      </c>
      <c r="F1948">
        <v>4150.45</v>
      </c>
      <c r="G1948">
        <v>1913.52</v>
      </c>
      <c r="H1948" t="str">
        <f>VLOOKUP(myynnit[[#This Row],[TuoteID]],ohjaus!$A$4:$B$20,2,FALSE)</f>
        <v>Säkkituoli</v>
      </c>
    </row>
    <row r="1949" spans="1:8" x14ac:dyDescent="0.35">
      <c r="A1949" t="s">
        <v>39</v>
      </c>
      <c r="B1949">
        <v>2014</v>
      </c>
      <c r="C1949">
        <v>5</v>
      </c>
      <c r="D1949">
        <v>21179</v>
      </c>
      <c r="E1949">
        <v>57</v>
      </c>
      <c r="F1949">
        <v>5862.57</v>
      </c>
      <c r="G1949">
        <v>3575.78</v>
      </c>
      <c r="H1949" t="str">
        <f>VLOOKUP(myynnit[[#This Row],[TuoteID]],ohjaus!$A$4:$B$20,2,FALSE)</f>
        <v>Rahi</v>
      </c>
    </row>
    <row r="1950" spans="1:8" x14ac:dyDescent="0.35">
      <c r="A1950" t="s">
        <v>39</v>
      </c>
      <c r="B1950">
        <v>2014</v>
      </c>
      <c r="C1950">
        <v>5</v>
      </c>
      <c r="D1950">
        <v>21260</v>
      </c>
      <c r="E1950">
        <v>31</v>
      </c>
      <c r="F1950">
        <v>5932.4</v>
      </c>
      <c r="G1950">
        <v>1967.02</v>
      </c>
      <c r="H1950" t="str">
        <f>VLOOKUP(myynnit[[#This Row],[TuoteID]],ohjaus!$A$4:$B$20,2,FALSE)</f>
        <v>Lepotuoli</v>
      </c>
    </row>
    <row r="1951" spans="1:8" x14ac:dyDescent="0.35">
      <c r="A1951" t="s">
        <v>39</v>
      </c>
      <c r="B1951">
        <v>2014</v>
      </c>
      <c r="C1951">
        <v>5</v>
      </c>
      <c r="D1951">
        <v>22317</v>
      </c>
      <c r="E1951">
        <v>46</v>
      </c>
      <c r="F1951">
        <v>3448.86</v>
      </c>
      <c r="G1951">
        <v>1598.68</v>
      </c>
      <c r="H1951" t="str">
        <f>VLOOKUP(myynnit[[#This Row],[TuoteID]],ohjaus!$A$4:$B$20,2,FALSE)</f>
        <v>Säkkituoli</v>
      </c>
    </row>
    <row r="1952" spans="1:8" x14ac:dyDescent="0.35">
      <c r="A1952" t="s">
        <v>39</v>
      </c>
      <c r="B1952">
        <v>2014</v>
      </c>
      <c r="C1952">
        <v>5</v>
      </c>
      <c r="D1952">
        <v>22940</v>
      </c>
      <c r="E1952">
        <v>422</v>
      </c>
      <c r="F1952">
        <v>52599.43</v>
      </c>
      <c r="G1952">
        <v>13082.14</v>
      </c>
      <c r="H1952" t="str">
        <f>VLOOKUP(myynnit[[#This Row],[TuoteID]],ohjaus!$A$4:$B$20,2,FALSE)</f>
        <v>Pinnatuoli</v>
      </c>
    </row>
    <row r="1953" spans="1:8" x14ac:dyDescent="0.35">
      <c r="A1953" t="s">
        <v>39</v>
      </c>
      <c r="B1953">
        <v>2014</v>
      </c>
      <c r="C1953">
        <v>5</v>
      </c>
      <c r="D1953">
        <v>23178</v>
      </c>
      <c r="E1953">
        <v>231</v>
      </c>
      <c r="F1953">
        <v>43997.75</v>
      </c>
      <c r="G1953">
        <v>11237.64</v>
      </c>
      <c r="H1953" t="str">
        <f>VLOOKUP(myynnit[[#This Row],[TuoteID]],ohjaus!$A$4:$B$20,2,FALSE)</f>
        <v>Pinnatuoli</v>
      </c>
    </row>
    <row r="1954" spans="1:8" x14ac:dyDescent="0.35">
      <c r="A1954" t="s">
        <v>39</v>
      </c>
      <c r="B1954">
        <v>2014</v>
      </c>
      <c r="C1954">
        <v>5</v>
      </c>
      <c r="D1954">
        <v>23600</v>
      </c>
      <c r="E1954">
        <v>907</v>
      </c>
      <c r="F1954">
        <v>95416.65</v>
      </c>
      <c r="G1954">
        <v>27869.21</v>
      </c>
      <c r="H1954" t="str">
        <f>VLOOKUP(myynnit[[#This Row],[TuoteID]],ohjaus!$A$4:$B$20,2,FALSE)</f>
        <v>Pinnatuoli</v>
      </c>
    </row>
    <row r="1955" spans="1:8" x14ac:dyDescent="0.35">
      <c r="A1955" t="s">
        <v>39</v>
      </c>
      <c r="B1955">
        <v>2014</v>
      </c>
      <c r="C1955">
        <v>5</v>
      </c>
      <c r="D1955">
        <v>23756</v>
      </c>
      <c r="E1955">
        <v>70</v>
      </c>
      <c r="F1955">
        <v>11023.59</v>
      </c>
      <c r="G1955">
        <v>7081.62</v>
      </c>
      <c r="H1955" t="str">
        <f>VLOOKUP(myynnit[[#This Row],[TuoteID]],ohjaus!$A$4:$B$20,2,FALSE)</f>
        <v>Pianotuoli</v>
      </c>
    </row>
    <row r="1956" spans="1:8" x14ac:dyDescent="0.35">
      <c r="A1956" t="s">
        <v>39</v>
      </c>
      <c r="B1956">
        <v>2014</v>
      </c>
      <c r="C1956">
        <v>5</v>
      </c>
      <c r="D1956">
        <v>24326</v>
      </c>
      <c r="E1956">
        <v>120</v>
      </c>
      <c r="F1956">
        <v>15132.54</v>
      </c>
      <c r="G1956">
        <v>4952.17</v>
      </c>
      <c r="H1956" t="str">
        <f>VLOOKUP(myynnit[[#This Row],[TuoteID]],ohjaus!$A$4:$B$20,2,FALSE)</f>
        <v>Lepotuoli</v>
      </c>
    </row>
    <row r="1957" spans="1:8" x14ac:dyDescent="0.35">
      <c r="A1957" t="s">
        <v>38</v>
      </c>
      <c r="B1957">
        <v>2014</v>
      </c>
      <c r="C1957">
        <v>5</v>
      </c>
      <c r="D1957">
        <v>12184</v>
      </c>
      <c r="E1957">
        <v>58</v>
      </c>
      <c r="F1957">
        <v>7984.37</v>
      </c>
      <c r="G1957">
        <v>4749.1400000000003</v>
      </c>
      <c r="H1957" t="str">
        <f>VLOOKUP(myynnit[[#This Row],[TuoteID]],ohjaus!$A$4:$B$20,2,FALSE)</f>
        <v>Rahi</v>
      </c>
    </row>
    <row r="1958" spans="1:8" x14ac:dyDescent="0.35">
      <c r="A1958" t="s">
        <v>38</v>
      </c>
      <c r="B1958">
        <v>2014</v>
      </c>
      <c r="C1958">
        <v>5</v>
      </c>
      <c r="D1958">
        <v>12622</v>
      </c>
      <c r="E1958">
        <v>56</v>
      </c>
      <c r="F1958">
        <v>15135.26</v>
      </c>
      <c r="G1958">
        <v>7750.15</v>
      </c>
      <c r="H1958" t="str">
        <f>VLOOKUP(myynnit[[#This Row],[TuoteID]],ohjaus!$A$4:$B$20,2,FALSE)</f>
        <v>Pianotuoli</v>
      </c>
    </row>
    <row r="1959" spans="1:8" x14ac:dyDescent="0.35">
      <c r="A1959" t="s">
        <v>38</v>
      </c>
      <c r="B1959">
        <v>2014</v>
      </c>
      <c r="C1959">
        <v>5</v>
      </c>
      <c r="D1959">
        <v>13527</v>
      </c>
      <c r="E1959">
        <v>384</v>
      </c>
      <c r="F1959">
        <v>58313.01</v>
      </c>
      <c r="G1959">
        <v>13971.79</v>
      </c>
      <c r="H1959" t="str">
        <f>VLOOKUP(myynnit[[#This Row],[TuoteID]],ohjaus!$A$4:$B$20,2,FALSE)</f>
        <v>Pinnatuoli</v>
      </c>
    </row>
    <row r="1960" spans="1:8" x14ac:dyDescent="0.35">
      <c r="A1960" t="s">
        <v>38</v>
      </c>
      <c r="B1960">
        <v>2014</v>
      </c>
      <c r="C1960">
        <v>5</v>
      </c>
      <c r="D1960">
        <v>13618</v>
      </c>
      <c r="E1960">
        <v>19</v>
      </c>
      <c r="F1960">
        <v>7411.55</v>
      </c>
      <c r="G1960">
        <v>3874.81</v>
      </c>
      <c r="H1960" t="str">
        <f>VLOOKUP(myynnit[[#This Row],[TuoteID]],ohjaus!$A$4:$B$20,2,FALSE)</f>
        <v>Pianotuoli</v>
      </c>
    </row>
    <row r="1961" spans="1:8" x14ac:dyDescent="0.35">
      <c r="A1961" t="s">
        <v>38</v>
      </c>
      <c r="B1961">
        <v>2014</v>
      </c>
      <c r="C1961">
        <v>5</v>
      </c>
      <c r="D1961">
        <v>16024</v>
      </c>
      <c r="E1961">
        <v>109</v>
      </c>
      <c r="F1961">
        <v>48009.53</v>
      </c>
      <c r="G1961">
        <v>12876.79</v>
      </c>
      <c r="H1961" t="str">
        <f>VLOOKUP(myynnit[[#This Row],[TuoteID]],ohjaus!$A$4:$B$20,2,FALSE)</f>
        <v>Työtuoli</v>
      </c>
    </row>
    <row r="1962" spans="1:8" x14ac:dyDescent="0.35">
      <c r="A1962" t="s">
        <v>38</v>
      </c>
      <c r="B1962">
        <v>2014</v>
      </c>
      <c r="C1962">
        <v>5</v>
      </c>
      <c r="D1962">
        <v>16650</v>
      </c>
      <c r="E1962">
        <v>62</v>
      </c>
      <c r="F1962">
        <v>8495.25</v>
      </c>
      <c r="G1962">
        <v>5322.89</v>
      </c>
      <c r="H1962" t="str">
        <f>VLOOKUP(myynnit[[#This Row],[TuoteID]],ohjaus!$A$4:$B$20,2,FALSE)</f>
        <v>Rahi</v>
      </c>
    </row>
    <row r="1963" spans="1:8" x14ac:dyDescent="0.35">
      <c r="A1963" t="s">
        <v>38</v>
      </c>
      <c r="B1963">
        <v>2014</v>
      </c>
      <c r="C1963">
        <v>5</v>
      </c>
      <c r="D1963">
        <v>17892</v>
      </c>
      <c r="E1963">
        <v>97</v>
      </c>
      <c r="F1963">
        <v>12518.42</v>
      </c>
      <c r="G1963">
        <v>3631.94</v>
      </c>
      <c r="H1963" t="str">
        <f>VLOOKUP(myynnit[[#This Row],[TuoteID]],ohjaus!$A$4:$B$20,2,FALSE)</f>
        <v>Lepotuoli</v>
      </c>
    </row>
    <row r="1964" spans="1:8" x14ac:dyDescent="0.35">
      <c r="A1964" t="s">
        <v>38</v>
      </c>
      <c r="B1964">
        <v>2014</v>
      </c>
      <c r="C1964">
        <v>5</v>
      </c>
      <c r="D1964">
        <v>18342</v>
      </c>
      <c r="E1964">
        <v>165</v>
      </c>
      <c r="F1964">
        <v>139920.74</v>
      </c>
      <c r="G1964">
        <v>35143.17</v>
      </c>
      <c r="H1964" t="str">
        <f>VLOOKUP(myynnit[[#This Row],[TuoteID]],ohjaus!$A$4:$B$20,2,FALSE)</f>
        <v>Työtuoli</v>
      </c>
    </row>
    <row r="1965" spans="1:8" x14ac:dyDescent="0.35">
      <c r="A1965" t="s">
        <v>38</v>
      </c>
      <c r="B1965">
        <v>2014</v>
      </c>
      <c r="C1965">
        <v>5</v>
      </c>
      <c r="D1965">
        <v>20177</v>
      </c>
      <c r="E1965">
        <v>63</v>
      </c>
      <c r="F1965">
        <v>5669.8</v>
      </c>
      <c r="G1965">
        <v>2296.75</v>
      </c>
      <c r="H1965" t="str">
        <f>VLOOKUP(myynnit[[#This Row],[TuoteID]],ohjaus!$A$4:$B$20,2,FALSE)</f>
        <v>Säkkituoli</v>
      </c>
    </row>
    <row r="1966" spans="1:8" x14ac:dyDescent="0.35">
      <c r="A1966" t="s">
        <v>38</v>
      </c>
      <c r="B1966">
        <v>2014</v>
      </c>
      <c r="C1966">
        <v>5</v>
      </c>
      <c r="D1966">
        <v>21179</v>
      </c>
      <c r="E1966">
        <v>36</v>
      </c>
      <c r="F1966">
        <v>4872.88</v>
      </c>
      <c r="G1966">
        <v>2394.35</v>
      </c>
      <c r="H1966" t="str">
        <f>VLOOKUP(myynnit[[#This Row],[TuoteID]],ohjaus!$A$4:$B$20,2,FALSE)</f>
        <v>Rahi</v>
      </c>
    </row>
    <row r="1967" spans="1:8" x14ac:dyDescent="0.35">
      <c r="A1967" t="s">
        <v>38</v>
      </c>
      <c r="B1967">
        <v>2014</v>
      </c>
      <c r="C1967">
        <v>5</v>
      </c>
      <c r="D1967">
        <v>21260</v>
      </c>
      <c r="E1967">
        <v>73</v>
      </c>
      <c r="F1967">
        <v>12964.89</v>
      </c>
      <c r="G1967">
        <v>3466.61</v>
      </c>
      <c r="H1967" t="str">
        <f>VLOOKUP(myynnit[[#This Row],[TuoteID]],ohjaus!$A$4:$B$20,2,FALSE)</f>
        <v>Lepotuoli</v>
      </c>
    </row>
    <row r="1968" spans="1:8" x14ac:dyDescent="0.35">
      <c r="A1968" t="s">
        <v>38</v>
      </c>
      <c r="B1968">
        <v>2014</v>
      </c>
      <c r="C1968">
        <v>5</v>
      </c>
      <c r="D1968">
        <v>22317</v>
      </c>
      <c r="E1968">
        <v>49</v>
      </c>
      <c r="F1968">
        <v>4834.2700000000004</v>
      </c>
      <c r="G1968">
        <v>1751.85</v>
      </c>
      <c r="H1968" t="str">
        <f>VLOOKUP(myynnit[[#This Row],[TuoteID]],ohjaus!$A$4:$B$20,2,FALSE)</f>
        <v>Säkkituoli</v>
      </c>
    </row>
    <row r="1969" spans="1:8" x14ac:dyDescent="0.35">
      <c r="A1969" t="s">
        <v>38</v>
      </c>
      <c r="B1969">
        <v>2014</v>
      </c>
      <c r="C1969">
        <v>5</v>
      </c>
      <c r="D1969">
        <v>22940</v>
      </c>
      <c r="E1969">
        <v>707</v>
      </c>
      <c r="F1969">
        <v>84966.15</v>
      </c>
      <c r="G1969">
        <v>16375.41</v>
      </c>
      <c r="H1969" t="str">
        <f>VLOOKUP(myynnit[[#This Row],[TuoteID]],ohjaus!$A$4:$B$20,2,FALSE)</f>
        <v>Pinnatuoli</v>
      </c>
    </row>
    <row r="1970" spans="1:8" x14ac:dyDescent="0.35">
      <c r="A1970" t="s">
        <v>38</v>
      </c>
      <c r="B1970">
        <v>2014</v>
      </c>
      <c r="C1970">
        <v>5</v>
      </c>
      <c r="D1970">
        <v>23178</v>
      </c>
      <c r="E1970">
        <v>245</v>
      </c>
      <c r="F1970">
        <v>42685.72</v>
      </c>
      <c r="G1970">
        <v>7967.88</v>
      </c>
      <c r="H1970" t="str">
        <f>VLOOKUP(myynnit[[#This Row],[TuoteID]],ohjaus!$A$4:$B$20,2,FALSE)</f>
        <v>Pinnatuoli</v>
      </c>
    </row>
    <row r="1971" spans="1:8" x14ac:dyDescent="0.35">
      <c r="A1971" t="s">
        <v>38</v>
      </c>
      <c r="B1971">
        <v>2014</v>
      </c>
      <c r="C1971">
        <v>5</v>
      </c>
      <c r="D1971">
        <v>23600</v>
      </c>
      <c r="E1971">
        <v>1247</v>
      </c>
      <c r="F1971">
        <v>149369.07999999999</v>
      </c>
      <c r="G1971">
        <v>36153.82</v>
      </c>
      <c r="H1971" t="str">
        <f>VLOOKUP(myynnit[[#This Row],[TuoteID]],ohjaus!$A$4:$B$20,2,FALSE)</f>
        <v>Pinnatuoli</v>
      </c>
    </row>
    <row r="1972" spans="1:8" x14ac:dyDescent="0.35">
      <c r="A1972" t="s">
        <v>38</v>
      </c>
      <c r="B1972">
        <v>2014</v>
      </c>
      <c r="C1972">
        <v>5</v>
      </c>
      <c r="D1972">
        <v>23756</v>
      </c>
      <c r="E1972">
        <v>103</v>
      </c>
      <c r="F1972">
        <v>17812.400000000001</v>
      </c>
      <c r="G1972">
        <v>9315.4599999999991</v>
      </c>
      <c r="H1972" t="str">
        <f>VLOOKUP(myynnit[[#This Row],[TuoteID]],ohjaus!$A$4:$B$20,2,FALSE)</f>
        <v>Pianotuoli</v>
      </c>
    </row>
    <row r="1973" spans="1:8" x14ac:dyDescent="0.35">
      <c r="A1973" t="s">
        <v>38</v>
      </c>
      <c r="B1973">
        <v>2014</v>
      </c>
      <c r="C1973">
        <v>5</v>
      </c>
      <c r="D1973">
        <v>24326</v>
      </c>
      <c r="E1973">
        <v>120</v>
      </c>
      <c r="F1973">
        <v>18535.22</v>
      </c>
      <c r="G1973">
        <v>4802.26</v>
      </c>
      <c r="H1973" t="str">
        <f>VLOOKUP(myynnit[[#This Row],[TuoteID]],ohjaus!$A$4:$B$20,2,FALSE)</f>
        <v>Lepotuoli</v>
      </c>
    </row>
    <row r="1974" spans="1:8" x14ac:dyDescent="0.35">
      <c r="A1974" t="s">
        <v>37</v>
      </c>
      <c r="B1974">
        <v>2014</v>
      </c>
      <c r="C1974">
        <v>6</v>
      </c>
      <c r="D1974">
        <v>12184</v>
      </c>
      <c r="E1974">
        <v>57</v>
      </c>
      <c r="F1974">
        <v>7934.14</v>
      </c>
      <c r="G1974">
        <v>4333.83</v>
      </c>
      <c r="H1974" t="str">
        <f>VLOOKUP(myynnit[[#This Row],[TuoteID]],ohjaus!$A$4:$B$20,2,FALSE)</f>
        <v>Rahi</v>
      </c>
    </row>
    <row r="1975" spans="1:8" x14ac:dyDescent="0.35">
      <c r="A1975" t="s">
        <v>37</v>
      </c>
      <c r="B1975">
        <v>2014</v>
      </c>
      <c r="C1975">
        <v>6</v>
      </c>
      <c r="D1975">
        <v>12622</v>
      </c>
      <c r="E1975">
        <v>40</v>
      </c>
      <c r="F1975">
        <v>9477.01</v>
      </c>
      <c r="G1975">
        <v>4643.8599999999997</v>
      </c>
      <c r="H1975" t="str">
        <f>VLOOKUP(myynnit[[#This Row],[TuoteID]],ohjaus!$A$4:$B$20,2,FALSE)</f>
        <v>Pianotuoli</v>
      </c>
    </row>
    <row r="1976" spans="1:8" x14ac:dyDescent="0.35">
      <c r="A1976" t="s">
        <v>37</v>
      </c>
      <c r="B1976">
        <v>2014</v>
      </c>
      <c r="C1976">
        <v>6</v>
      </c>
      <c r="D1976">
        <v>13527</v>
      </c>
      <c r="E1976">
        <v>633</v>
      </c>
      <c r="F1976">
        <v>106176.21</v>
      </c>
      <c r="G1976">
        <v>20254.18</v>
      </c>
      <c r="H1976" t="str">
        <f>VLOOKUP(myynnit[[#This Row],[TuoteID]],ohjaus!$A$4:$B$20,2,FALSE)</f>
        <v>Pinnatuoli</v>
      </c>
    </row>
    <row r="1977" spans="1:8" x14ac:dyDescent="0.35">
      <c r="A1977" t="s">
        <v>37</v>
      </c>
      <c r="B1977">
        <v>2014</v>
      </c>
      <c r="C1977">
        <v>6</v>
      </c>
      <c r="D1977">
        <v>13618</v>
      </c>
      <c r="E1977">
        <v>22</v>
      </c>
      <c r="F1977">
        <v>7168.62</v>
      </c>
      <c r="G1977">
        <v>3272.46</v>
      </c>
      <c r="H1977" t="str">
        <f>VLOOKUP(myynnit[[#This Row],[TuoteID]],ohjaus!$A$4:$B$20,2,FALSE)</f>
        <v>Pianotuoli</v>
      </c>
    </row>
    <row r="1978" spans="1:8" x14ac:dyDescent="0.35">
      <c r="A1978" t="s">
        <v>37</v>
      </c>
      <c r="B1978">
        <v>2014</v>
      </c>
      <c r="C1978">
        <v>6</v>
      </c>
      <c r="D1978">
        <v>16024</v>
      </c>
      <c r="E1978">
        <v>246</v>
      </c>
      <c r="F1978">
        <v>111005.27</v>
      </c>
      <c r="G1978">
        <v>32378.44</v>
      </c>
      <c r="H1978" t="str">
        <f>VLOOKUP(myynnit[[#This Row],[TuoteID]],ohjaus!$A$4:$B$20,2,FALSE)</f>
        <v>Työtuoli</v>
      </c>
    </row>
    <row r="1979" spans="1:8" x14ac:dyDescent="0.35">
      <c r="A1979" t="s">
        <v>37</v>
      </c>
      <c r="B1979">
        <v>2014</v>
      </c>
      <c r="C1979">
        <v>6</v>
      </c>
      <c r="D1979">
        <v>16650</v>
      </c>
      <c r="E1979">
        <v>41</v>
      </c>
      <c r="F1979">
        <v>7023.21</v>
      </c>
      <c r="G1979">
        <v>3579.92</v>
      </c>
      <c r="H1979" t="str">
        <f>VLOOKUP(myynnit[[#This Row],[TuoteID]],ohjaus!$A$4:$B$20,2,FALSE)</f>
        <v>Rahi</v>
      </c>
    </row>
    <row r="1980" spans="1:8" x14ac:dyDescent="0.35">
      <c r="A1980" t="s">
        <v>37</v>
      </c>
      <c r="B1980">
        <v>2014</v>
      </c>
      <c r="C1980">
        <v>6</v>
      </c>
      <c r="D1980">
        <v>17892</v>
      </c>
      <c r="E1980">
        <v>196</v>
      </c>
      <c r="F1980">
        <v>29300.58</v>
      </c>
      <c r="G1980">
        <v>7127.43</v>
      </c>
      <c r="H1980" t="str">
        <f>VLOOKUP(myynnit[[#This Row],[TuoteID]],ohjaus!$A$4:$B$20,2,FALSE)</f>
        <v>Lepotuoli</v>
      </c>
    </row>
    <row r="1981" spans="1:8" x14ac:dyDescent="0.35">
      <c r="A1981" t="s">
        <v>37</v>
      </c>
      <c r="B1981">
        <v>2014</v>
      </c>
      <c r="C1981">
        <v>6</v>
      </c>
      <c r="D1981">
        <v>18342</v>
      </c>
      <c r="E1981">
        <v>175</v>
      </c>
      <c r="F1981">
        <v>131592.76999999999</v>
      </c>
      <c r="G1981">
        <v>34821.19</v>
      </c>
      <c r="H1981" t="str">
        <f>VLOOKUP(myynnit[[#This Row],[TuoteID]],ohjaus!$A$4:$B$20,2,FALSE)</f>
        <v>Työtuoli</v>
      </c>
    </row>
    <row r="1982" spans="1:8" x14ac:dyDescent="0.35">
      <c r="A1982" t="s">
        <v>37</v>
      </c>
      <c r="B1982">
        <v>2014</v>
      </c>
      <c r="C1982">
        <v>6</v>
      </c>
      <c r="D1982">
        <v>20177</v>
      </c>
      <c r="E1982">
        <v>64</v>
      </c>
      <c r="F1982">
        <v>6635.92</v>
      </c>
      <c r="G1982">
        <v>2341.66</v>
      </c>
      <c r="H1982" t="str">
        <f>VLOOKUP(myynnit[[#This Row],[TuoteID]],ohjaus!$A$4:$B$20,2,FALSE)</f>
        <v>Säkkituoli</v>
      </c>
    </row>
    <row r="1983" spans="1:8" x14ac:dyDescent="0.35">
      <c r="A1983" t="s">
        <v>37</v>
      </c>
      <c r="B1983">
        <v>2014</v>
      </c>
      <c r="C1983">
        <v>6</v>
      </c>
      <c r="D1983">
        <v>21179</v>
      </c>
      <c r="E1983">
        <v>48</v>
      </c>
      <c r="F1983">
        <v>6818.28</v>
      </c>
      <c r="G1983">
        <v>3456.95</v>
      </c>
      <c r="H1983" t="str">
        <f>VLOOKUP(myynnit[[#This Row],[TuoteID]],ohjaus!$A$4:$B$20,2,FALSE)</f>
        <v>Rahi</v>
      </c>
    </row>
    <row r="1984" spans="1:8" x14ac:dyDescent="0.35">
      <c r="A1984" t="s">
        <v>37</v>
      </c>
      <c r="B1984">
        <v>2014</v>
      </c>
      <c r="C1984">
        <v>6</v>
      </c>
      <c r="D1984">
        <v>21260</v>
      </c>
      <c r="E1984">
        <v>52</v>
      </c>
      <c r="F1984">
        <v>9374.73</v>
      </c>
      <c r="G1984">
        <v>2754.11</v>
      </c>
      <c r="H1984" t="str">
        <f>VLOOKUP(myynnit[[#This Row],[TuoteID]],ohjaus!$A$4:$B$20,2,FALSE)</f>
        <v>Lepotuoli</v>
      </c>
    </row>
    <row r="1985" spans="1:8" x14ac:dyDescent="0.35">
      <c r="A1985" t="s">
        <v>37</v>
      </c>
      <c r="B1985">
        <v>2014</v>
      </c>
      <c r="C1985">
        <v>6</v>
      </c>
      <c r="D1985">
        <v>22317</v>
      </c>
      <c r="E1985">
        <v>125</v>
      </c>
      <c r="F1985">
        <v>9667.2199999999993</v>
      </c>
      <c r="G1985">
        <v>3369.68</v>
      </c>
      <c r="H1985" t="str">
        <f>VLOOKUP(myynnit[[#This Row],[TuoteID]],ohjaus!$A$4:$B$20,2,FALSE)</f>
        <v>Säkkituoli</v>
      </c>
    </row>
    <row r="1986" spans="1:8" x14ac:dyDescent="0.35">
      <c r="A1986" t="s">
        <v>37</v>
      </c>
      <c r="B1986">
        <v>2014</v>
      </c>
      <c r="C1986">
        <v>6</v>
      </c>
      <c r="D1986">
        <v>22940</v>
      </c>
      <c r="E1986">
        <v>747</v>
      </c>
      <c r="F1986">
        <v>100717.99</v>
      </c>
      <c r="G1986">
        <v>17660.060000000001</v>
      </c>
      <c r="H1986" t="str">
        <f>VLOOKUP(myynnit[[#This Row],[TuoteID]],ohjaus!$A$4:$B$20,2,FALSE)</f>
        <v>Pinnatuoli</v>
      </c>
    </row>
    <row r="1987" spans="1:8" x14ac:dyDescent="0.35">
      <c r="A1987" t="s">
        <v>37</v>
      </c>
      <c r="B1987">
        <v>2014</v>
      </c>
      <c r="C1987">
        <v>6</v>
      </c>
      <c r="D1987">
        <v>23178</v>
      </c>
      <c r="E1987">
        <v>163</v>
      </c>
      <c r="F1987">
        <v>26851.11</v>
      </c>
      <c r="G1987">
        <v>4531.8599999999997</v>
      </c>
      <c r="H1987" t="str">
        <f>VLOOKUP(myynnit[[#This Row],[TuoteID]],ohjaus!$A$4:$B$20,2,FALSE)</f>
        <v>Pinnatuoli</v>
      </c>
    </row>
    <row r="1988" spans="1:8" x14ac:dyDescent="0.35">
      <c r="A1988" t="s">
        <v>37</v>
      </c>
      <c r="B1988">
        <v>2014</v>
      </c>
      <c r="C1988">
        <v>6</v>
      </c>
      <c r="D1988">
        <v>23600</v>
      </c>
      <c r="E1988">
        <v>776</v>
      </c>
      <c r="F1988">
        <v>78587.259999999995</v>
      </c>
      <c r="G1988">
        <v>19771.04</v>
      </c>
      <c r="H1988" t="str">
        <f>VLOOKUP(myynnit[[#This Row],[TuoteID]],ohjaus!$A$4:$B$20,2,FALSE)</f>
        <v>Pinnatuoli</v>
      </c>
    </row>
    <row r="1989" spans="1:8" x14ac:dyDescent="0.35">
      <c r="A1989" t="s">
        <v>37</v>
      </c>
      <c r="B1989">
        <v>2014</v>
      </c>
      <c r="C1989">
        <v>6</v>
      </c>
      <c r="D1989">
        <v>23756</v>
      </c>
      <c r="E1989">
        <v>86</v>
      </c>
      <c r="F1989">
        <v>16459.32</v>
      </c>
      <c r="G1989">
        <v>6885.94</v>
      </c>
      <c r="H1989" t="str">
        <f>VLOOKUP(myynnit[[#This Row],[TuoteID]],ohjaus!$A$4:$B$20,2,FALSE)</f>
        <v>Pianotuoli</v>
      </c>
    </row>
    <row r="1990" spans="1:8" x14ac:dyDescent="0.35">
      <c r="A1990" t="s">
        <v>37</v>
      </c>
      <c r="B1990">
        <v>2014</v>
      </c>
      <c r="C1990">
        <v>6</v>
      </c>
      <c r="D1990">
        <v>24326</v>
      </c>
      <c r="E1990">
        <v>126</v>
      </c>
      <c r="F1990">
        <v>17461.150000000001</v>
      </c>
      <c r="G1990">
        <v>4912.75</v>
      </c>
      <c r="H1990" t="str">
        <f>VLOOKUP(myynnit[[#This Row],[TuoteID]],ohjaus!$A$4:$B$20,2,FALSE)</f>
        <v>Lepotuoli</v>
      </c>
    </row>
    <row r="1991" spans="1:8" x14ac:dyDescent="0.35">
      <c r="A1991" t="s">
        <v>40</v>
      </c>
      <c r="B1991">
        <v>2014</v>
      </c>
      <c r="C1991">
        <v>6</v>
      </c>
      <c r="D1991">
        <v>12184</v>
      </c>
      <c r="E1991">
        <v>30</v>
      </c>
      <c r="F1991">
        <v>3586.02</v>
      </c>
      <c r="G1991">
        <v>1814.92</v>
      </c>
      <c r="H1991" t="str">
        <f>VLOOKUP(myynnit[[#This Row],[TuoteID]],ohjaus!$A$4:$B$20,2,FALSE)</f>
        <v>Rahi</v>
      </c>
    </row>
    <row r="1992" spans="1:8" x14ac:dyDescent="0.35">
      <c r="A1992" t="s">
        <v>40</v>
      </c>
      <c r="B1992">
        <v>2014</v>
      </c>
      <c r="C1992">
        <v>6</v>
      </c>
      <c r="D1992">
        <v>12622</v>
      </c>
      <c r="E1992">
        <v>10</v>
      </c>
      <c r="F1992">
        <v>2795.69</v>
      </c>
      <c r="G1992">
        <v>1298.0899999999999</v>
      </c>
      <c r="H1992" t="str">
        <f>VLOOKUP(myynnit[[#This Row],[TuoteID]],ohjaus!$A$4:$B$20,2,FALSE)</f>
        <v>Pianotuoli</v>
      </c>
    </row>
    <row r="1993" spans="1:8" x14ac:dyDescent="0.35">
      <c r="A1993" t="s">
        <v>40</v>
      </c>
      <c r="B1993">
        <v>2014</v>
      </c>
      <c r="C1993">
        <v>6</v>
      </c>
      <c r="D1993">
        <v>13527</v>
      </c>
      <c r="E1993">
        <v>250</v>
      </c>
      <c r="F1993">
        <v>38228.19</v>
      </c>
      <c r="G1993">
        <v>6665.3</v>
      </c>
      <c r="H1993" t="str">
        <f>VLOOKUP(myynnit[[#This Row],[TuoteID]],ohjaus!$A$4:$B$20,2,FALSE)</f>
        <v>Pinnatuoli</v>
      </c>
    </row>
    <row r="1994" spans="1:8" x14ac:dyDescent="0.35">
      <c r="A1994" t="s">
        <v>40</v>
      </c>
      <c r="B1994">
        <v>2014</v>
      </c>
      <c r="C1994">
        <v>6</v>
      </c>
      <c r="D1994">
        <v>13618</v>
      </c>
      <c r="E1994">
        <v>4</v>
      </c>
      <c r="F1994">
        <v>1500.9</v>
      </c>
      <c r="G1994">
        <v>558.57000000000005</v>
      </c>
      <c r="H1994" t="str">
        <f>VLOOKUP(myynnit[[#This Row],[TuoteID]],ohjaus!$A$4:$B$20,2,FALSE)</f>
        <v>Pianotuoli</v>
      </c>
    </row>
    <row r="1995" spans="1:8" x14ac:dyDescent="0.35">
      <c r="A1995" t="s">
        <v>40</v>
      </c>
      <c r="B1995">
        <v>2014</v>
      </c>
      <c r="C1995">
        <v>6</v>
      </c>
      <c r="D1995">
        <v>16024</v>
      </c>
      <c r="E1995">
        <v>159</v>
      </c>
      <c r="F1995">
        <v>76766.89</v>
      </c>
      <c r="G1995">
        <v>23748.79</v>
      </c>
      <c r="H1995" t="str">
        <f>VLOOKUP(myynnit[[#This Row],[TuoteID]],ohjaus!$A$4:$B$20,2,FALSE)</f>
        <v>Työtuoli</v>
      </c>
    </row>
    <row r="1996" spans="1:8" x14ac:dyDescent="0.35">
      <c r="A1996" t="s">
        <v>40</v>
      </c>
      <c r="B1996">
        <v>2014</v>
      </c>
      <c r="C1996">
        <v>6</v>
      </c>
      <c r="D1996">
        <v>16650</v>
      </c>
      <c r="E1996">
        <v>24</v>
      </c>
      <c r="F1996">
        <v>3626.6</v>
      </c>
      <c r="G1996">
        <v>2073.38</v>
      </c>
      <c r="H1996" t="str">
        <f>VLOOKUP(myynnit[[#This Row],[TuoteID]],ohjaus!$A$4:$B$20,2,FALSE)</f>
        <v>Rahi</v>
      </c>
    </row>
    <row r="1997" spans="1:8" x14ac:dyDescent="0.35">
      <c r="A1997" t="s">
        <v>40</v>
      </c>
      <c r="B1997">
        <v>2014</v>
      </c>
      <c r="C1997">
        <v>6</v>
      </c>
      <c r="D1997">
        <v>17892</v>
      </c>
      <c r="E1997">
        <v>112</v>
      </c>
      <c r="F1997">
        <v>15573.35</v>
      </c>
      <c r="G1997">
        <v>3585.2</v>
      </c>
      <c r="H1997" t="str">
        <f>VLOOKUP(myynnit[[#This Row],[TuoteID]],ohjaus!$A$4:$B$20,2,FALSE)</f>
        <v>Lepotuoli</v>
      </c>
    </row>
    <row r="1998" spans="1:8" x14ac:dyDescent="0.35">
      <c r="A1998" t="s">
        <v>40</v>
      </c>
      <c r="B1998">
        <v>2014</v>
      </c>
      <c r="C1998">
        <v>6</v>
      </c>
      <c r="D1998">
        <v>18342</v>
      </c>
      <c r="E1998">
        <v>18</v>
      </c>
      <c r="F1998">
        <v>16952.64</v>
      </c>
      <c r="G1998">
        <v>5192.54</v>
      </c>
      <c r="H1998" t="str">
        <f>VLOOKUP(myynnit[[#This Row],[TuoteID]],ohjaus!$A$4:$B$20,2,FALSE)</f>
        <v>Työtuoli</v>
      </c>
    </row>
    <row r="1999" spans="1:8" x14ac:dyDescent="0.35">
      <c r="A1999" t="s">
        <v>40</v>
      </c>
      <c r="B1999">
        <v>2014</v>
      </c>
      <c r="C1999">
        <v>6</v>
      </c>
      <c r="D1999">
        <v>20177</v>
      </c>
      <c r="E1999">
        <v>34</v>
      </c>
      <c r="F1999">
        <v>3418.01</v>
      </c>
      <c r="G1999">
        <v>1475.74</v>
      </c>
      <c r="H1999" t="str">
        <f>VLOOKUP(myynnit[[#This Row],[TuoteID]],ohjaus!$A$4:$B$20,2,FALSE)</f>
        <v>Säkkituoli</v>
      </c>
    </row>
    <row r="2000" spans="1:8" x14ac:dyDescent="0.35">
      <c r="A2000" t="s">
        <v>40</v>
      </c>
      <c r="B2000">
        <v>2014</v>
      </c>
      <c r="C2000">
        <v>6</v>
      </c>
      <c r="D2000">
        <v>21179</v>
      </c>
      <c r="E2000">
        <v>20</v>
      </c>
      <c r="F2000">
        <v>2722.27</v>
      </c>
      <c r="G2000">
        <v>1351.38</v>
      </c>
      <c r="H2000" t="str">
        <f>VLOOKUP(myynnit[[#This Row],[TuoteID]],ohjaus!$A$4:$B$20,2,FALSE)</f>
        <v>Rahi</v>
      </c>
    </row>
    <row r="2001" spans="1:8" x14ac:dyDescent="0.35">
      <c r="A2001" t="s">
        <v>40</v>
      </c>
      <c r="B2001">
        <v>2014</v>
      </c>
      <c r="C2001">
        <v>6</v>
      </c>
      <c r="D2001">
        <v>21260</v>
      </c>
      <c r="E2001">
        <v>43</v>
      </c>
      <c r="F2001">
        <v>8780.3700000000008</v>
      </c>
      <c r="G2001">
        <v>2345.86</v>
      </c>
      <c r="H2001" t="str">
        <f>VLOOKUP(myynnit[[#This Row],[TuoteID]],ohjaus!$A$4:$B$20,2,FALSE)</f>
        <v>Lepotuoli</v>
      </c>
    </row>
    <row r="2002" spans="1:8" x14ac:dyDescent="0.35">
      <c r="A2002" t="s">
        <v>40</v>
      </c>
      <c r="B2002">
        <v>2014</v>
      </c>
      <c r="C2002">
        <v>6</v>
      </c>
      <c r="D2002">
        <v>22317</v>
      </c>
      <c r="E2002">
        <v>15</v>
      </c>
      <c r="F2002">
        <v>1353.94</v>
      </c>
      <c r="G2002">
        <v>628.55999999999995</v>
      </c>
      <c r="H2002" t="str">
        <f>VLOOKUP(myynnit[[#This Row],[TuoteID]],ohjaus!$A$4:$B$20,2,FALSE)</f>
        <v>Säkkituoli</v>
      </c>
    </row>
    <row r="2003" spans="1:8" x14ac:dyDescent="0.35">
      <c r="A2003" t="s">
        <v>40</v>
      </c>
      <c r="B2003">
        <v>2014</v>
      </c>
      <c r="C2003">
        <v>6</v>
      </c>
      <c r="D2003">
        <v>22940</v>
      </c>
      <c r="E2003">
        <v>137</v>
      </c>
      <c r="F2003">
        <v>19652.88</v>
      </c>
      <c r="G2003">
        <v>4679.17</v>
      </c>
      <c r="H2003" t="str">
        <f>VLOOKUP(myynnit[[#This Row],[TuoteID]],ohjaus!$A$4:$B$20,2,FALSE)</f>
        <v>Pinnatuoli</v>
      </c>
    </row>
    <row r="2004" spans="1:8" x14ac:dyDescent="0.35">
      <c r="A2004" t="s">
        <v>40</v>
      </c>
      <c r="B2004">
        <v>2014</v>
      </c>
      <c r="C2004">
        <v>6</v>
      </c>
      <c r="D2004">
        <v>23178</v>
      </c>
      <c r="E2004">
        <v>284</v>
      </c>
      <c r="F2004">
        <v>45371.05</v>
      </c>
      <c r="G2004">
        <v>13377.26</v>
      </c>
      <c r="H2004" t="str">
        <f>VLOOKUP(myynnit[[#This Row],[TuoteID]],ohjaus!$A$4:$B$20,2,FALSE)</f>
        <v>Pinnatuoli</v>
      </c>
    </row>
    <row r="2005" spans="1:8" x14ac:dyDescent="0.35">
      <c r="A2005" t="s">
        <v>40</v>
      </c>
      <c r="B2005">
        <v>2014</v>
      </c>
      <c r="C2005">
        <v>6</v>
      </c>
      <c r="D2005">
        <v>23600</v>
      </c>
      <c r="E2005">
        <v>371</v>
      </c>
      <c r="F2005">
        <v>36952.949999999997</v>
      </c>
      <c r="G2005">
        <v>10332.790000000001</v>
      </c>
      <c r="H2005" t="str">
        <f>VLOOKUP(myynnit[[#This Row],[TuoteID]],ohjaus!$A$4:$B$20,2,FALSE)</f>
        <v>Pinnatuoli</v>
      </c>
    </row>
    <row r="2006" spans="1:8" x14ac:dyDescent="0.35">
      <c r="A2006" t="s">
        <v>40</v>
      </c>
      <c r="B2006">
        <v>2014</v>
      </c>
      <c r="C2006">
        <v>6</v>
      </c>
      <c r="D2006">
        <v>23756</v>
      </c>
      <c r="E2006">
        <v>41</v>
      </c>
      <c r="F2006">
        <v>6157.35</v>
      </c>
      <c r="G2006">
        <v>2380.62</v>
      </c>
      <c r="H2006" t="str">
        <f>VLOOKUP(myynnit[[#This Row],[TuoteID]],ohjaus!$A$4:$B$20,2,FALSE)</f>
        <v>Pianotuoli</v>
      </c>
    </row>
    <row r="2007" spans="1:8" x14ac:dyDescent="0.35">
      <c r="A2007" t="s">
        <v>40</v>
      </c>
      <c r="B2007">
        <v>2014</v>
      </c>
      <c r="C2007">
        <v>6</v>
      </c>
      <c r="D2007">
        <v>24326</v>
      </c>
      <c r="E2007">
        <v>44</v>
      </c>
      <c r="F2007">
        <v>5688.87</v>
      </c>
      <c r="G2007">
        <v>1675.04</v>
      </c>
      <c r="H2007" t="str">
        <f>VLOOKUP(myynnit[[#This Row],[TuoteID]],ohjaus!$A$4:$B$20,2,FALSE)</f>
        <v>Lepotuoli</v>
      </c>
    </row>
    <row r="2008" spans="1:8" x14ac:dyDescent="0.35">
      <c r="A2008" t="s">
        <v>39</v>
      </c>
      <c r="B2008">
        <v>2014</v>
      </c>
      <c r="C2008">
        <v>6</v>
      </c>
      <c r="D2008">
        <v>12184</v>
      </c>
      <c r="E2008">
        <v>107</v>
      </c>
      <c r="F2008">
        <v>14913.42</v>
      </c>
      <c r="G2008">
        <v>10220.01</v>
      </c>
      <c r="H2008" t="str">
        <f>VLOOKUP(myynnit[[#This Row],[TuoteID]],ohjaus!$A$4:$B$20,2,FALSE)</f>
        <v>Rahi</v>
      </c>
    </row>
    <row r="2009" spans="1:8" x14ac:dyDescent="0.35">
      <c r="A2009" t="s">
        <v>39</v>
      </c>
      <c r="B2009">
        <v>2014</v>
      </c>
      <c r="C2009">
        <v>6</v>
      </c>
      <c r="D2009">
        <v>12622</v>
      </c>
      <c r="E2009">
        <v>38</v>
      </c>
      <c r="F2009">
        <v>9157.15</v>
      </c>
      <c r="G2009">
        <v>5168.57</v>
      </c>
      <c r="H2009" t="str">
        <f>VLOOKUP(myynnit[[#This Row],[TuoteID]],ohjaus!$A$4:$B$20,2,FALSE)</f>
        <v>Pianotuoli</v>
      </c>
    </row>
    <row r="2010" spans="1:8" x14ac:dyDescent="0.35">
      <c r="A2010" t="s">
        <v>39</v>
      </c>
      <c r="B2010">
        <v>2014</v>
      </c>
      <c r="C2010">
        <v>6</v>
      </c>
      <c r="D2010">
        <v>13527</v>
      </c>
      <c r="E2010">
        <v>224</v>
      </c>
      <c r="F2010">
        <v>36124.78</v>
      </c>
      <c r="G2010">
        <v>9625.9500000000007</v>
      </c>
      <c r="H2010" t="str">
        <f>VLOOKUP(myynnit[[#This Row],[TuoteID]],ohjaus!$A$4:$B$20,2,FALSE)</f>
        <v>Pinnatuoli</v>
      </c>
    </row>
    <row r="2011" spans="1:8" x14ac:dyDescent="0.35">
      <c r="A2011" t="s">
        <v>39</v>
      </c>
      <c r="B2011">
        <v>2014</v>
      </c>
      <c r="C2011">
        <v>6</v>
      </c>
      <c r="D2011">
        <v>13618</v>
      </c>
      <c r="E2011">
        <v>20</v>
      </c>
      <c r="F2011">
        <v>7494.66</v>
      </c>
      <c r="G2011">
        <v>4334.01</v>
      </c>
      <c r="H2011" t="str">
        <f>VLOOKUP(myynnit[[#This Row],[TuoteID]],ohjaus!$A$4:$B$20,2,FALSE)</f>
        <v>Pianotuoli</v>
      </c>
    </row>
    <row r="2012" spans="1:8" x14ac:dyDescent="0.35">
      <c r="A2012" t="s">
        <v>39</v>
      </c>
      <c r="B2012">
        <v>2014</v>
      </c>
      <c r="C2012">
        <v>6</v>
      </c>
      <c r="D2012">
        <v>16024</v>
      </c>
      <c r="E2012">
        <v>340</v>
      </c>
      <c r="F2012">
        <v>149256.95999999999</v>
      </c>
      <c r="G2012">
        <v>51174.720000000001</v>
      </c>
      <c r="H2012" t="str">
        <f>VLOOKUP(myynnit[[#This Row],[TuoteID]],ohjaus!$A$4:$B$20,2,FALSE)</f>
        <v>Työtuoli</v>
      </c>
    </row>
    <row r="2013" spans="1:8" x14ac:dyDescent="0.35">
      <c r="A2013" t="s">
        <v>39</v>
      </c>
      <c r="B2013">
        <v>2014</v>
      </c>
      <c r="C2013">
        <v>6</v>
      </c>
      <c r="D2013">
        <v>16650</v>
      </c>
      <c r="E2013">
        <v>22</v>
      </c>
      <c r="F2013">
        <v>4084.83</v>
      </c>
      <c r="G2013">
        <v>2535.42</v>
      </c>
      <c r="H2013" t="str">
        <f>VLOOKUP(myynnit[[#This Row],[TuoteID]],ohjaus!$A$4:$B$20,2,FALSE)</f>
        <v>Rahi</v>
      </c>
    </row>
    <row r="2014" spans="1:8" x14ac:dyDescent="0.35">
      <c r="A2014" t="s">
        <v>39</v>
      </c>
      <c r="B2014">
        <v>2014</v>
      </c>
      <c r="C2014">
        <v>6</v>
      </c>
      <c r="D2014">
        <v>17892</v>
      </c>
      <c r="E2014">
        <v>95</v>
      </c>
      <c r="F2014">
        <v>14367.68</v>
      </c>
      <c r="G2014">
        <v>3857.52</v>
      </c>
      <c r="H2014" t="str">
        <f>VLOOKUP(myynnit[[#This Row],[TuoteID]],ohjaus!$A$4:$B$20,2,FALSE)</f>
        <v>Lepotuoli</v>
      </c>
    </row>
    <row r="2015" spans="1:8" x14ac:dyDescent="0.35">
      <c r="A2015" t="s">
        <v>39</v>
      </c>
      <c r="B2015">
        <v>2014</v>
      </c>
      <c r="C2015">
        <v>6</v>
      </c>
      <c r="D2015">
        <v>18342</v>
      </c>
      <c r="E2015">
        <v>92</v>
      </c>
      <c r="F2015">
        <v>78518.34</v>
      </c>
      <c r="G2015">
        <v>26045.759999999998</v>
      </c>
      <c r="H2015" t="str">
        <f>VLOOKUP(myynnit[[#This Row],[TuoteID]],ohjaus!$A$4:$B$20,2,FALSE)</f>
        <v>Työtuoli</v>
      </c>
    </row>
    <row r="2016" spans="1:8" x14ac:dyDescent="0.35">
      <c r="A2016" t="s">
        <v>39</v>
      </c>
      <c r="B2016">
        <v>2014</v>
      </c>
      <c r="C2016">
        <v>6</v>
      </c>
      <c r="D2016">
        <v>20177</v>
      </c>
      <c r="E2016">
        <v>35</v>
      </c>
      <c r="F2016">
        <v>3034.33</v>
      </c>
      <c r="G2016">
        <v>1457.17</v>
      </c>
      <c r="H2016" t="str">
        <f>VLOOKUP(myynnit[[#This Row],[TuoteID]],ohjaus!$A$4:$B$20,2,FALSE)</f>
        <v>Säkkituoli</v>
      </c>
    </row>
    <row r="2017" spans="1:8" x14ac:dyDescent="0.35">
      <c r="A2017" t="s">
        <v>39</v>
      </c>
      <c r="B2017">
        <v>2014</v>
      </c>
      <c r="C2017">
        <v>6</v>
      </c>
      <c r="D2017">
        <v>21179</v>
      </c>
      <c r="E2017">
        <v>39</v>
      </c>
      <c r="F2017">
        <v>6115.96</v>
      </c>
      <c r="G2017">
        <v>4740.3500000000004</v>
      </c>
      <c r="H2017" t="str">
        <f>VLOOKUP(myynnit[[#This Row],[TuoteID]],ohjaus!$A$4:$B$20,2,FALSE)</f>
        <v>Rahi</v>
      </c>
    </row>
    <row r="2018" spans="1:8" x14ac:dyDescent="0.35">
      <c r="A2018" t="s">
        <v>39</v>
      </c>
      <c r="B2018">
        <v>2014</v>
      </c>
      <c r="C2018">
        <v>6</v>
      </c>
      <c r="D2018">
        <v>21260</v>
      </c>
      <c r="E2018">
        <v>35</v>
      </c>
      <c r="F2018">
        <v>6778.83</v>
      </c>
      <c r="G2018">
        <v>2048.73</v>
      </c>
      <c r="H2018" t="str">
        <f>VLOOKUP(myynnit[[#This Row],[TuoteID]],ohjaus!$A$4:$B$20,2,FALSE)</f>
        <v>Lepotuoli</v>
      </c>
    </row>
    <row r="2019" spans="1:8" x14ac:dyDescent="0.35">
      <c r="A2019" t="s">
        <v>39</v>
      </c>
      <c r="B2019">
        <v>2014</v>
      </c>
      <c r="C2019">
        <v>6</v>
      </c>
      <c r="D2019">
        <v>22317</v>
      </c>
      <c r="E2019">
        <v>44</v>
      </c>
      <c r="F2019">
        <v>4458.8900000000003</v>
      </c>
      <c r="G2019">
        <v>1841.45</v>
      </c>
      <c r="H2019" t="str">
        <f>VLOOKUP(myynnit[[#This Row],[TuoteID]],ohjaus!$A$4:$B$20,2,FALSE)</f>
        <v>Säkkituoli</v>
      </c>
    </row>
    <row r="2020" spans="1:8" x14ac:dyDescent="0.35">
      <c r="A2020" t="s">
        <v>39</v>
      </c>
      <c r="B2020">
        <v>2014</v>
      </c>
      <c r="C2020">
        <v>6</v>
      </c>
      <c r="D2020">
        <v>22940</v>
      </c>
      <c r="E2020">
        <v>572</v>
      </c>
      <c r="F2020">
        <v>73795.62</v>
      </c>
      <c r="G2020">
        <v>16782.080000000002</v>
      </c>
      <c r="H2020" t="str">
        <f>VLOOKUP(myynnit[[#This Row],[TuoteID]],ohjaus!$A$4:$B$20,2,FALSE)</f>
        <v>Pinnatuoli</v>
      </c>
    </row>
    <row r="2021" spans="1:8" x14ac:dyDescent="0.35">
      <c r="A2021" t="s">
        <v>39</v>
      </c>
      <c r="B2021">
        <v>2014</v>
      </c>
      <c r="C2021">
        <v>6</v>
      </c>
      <c r="D2021">
        <v>23178</v>
      </c>
      <c r="E2021">
        <v>126</v>
      </c>
      <c r="F2021">
        <v>23691.07</v>
      </c>
      <c r="G2021">
        <v>6064.75</v>
      </c>
      <c r="H2021" t="str">
        <f>VLOOKUP(myynnit[[#This Row],[TuoteID]],ohjaus!$A$4:$B$20,2,FALSE)</f>
        <v>Pinnatuoli</v>
      </c>
    </row>
    <row r="2022" spans="1:8" x14ac:dyDescent="0.35">
      <c r="A2022" t="s">
        <v>39</v>
      </c>
      <c r="B2022">
        <v>2014</v>
      </c>
      <c r="C2022">
        <v>6</v>
      </c>
      <c r="D2022">
        <v>23600</v>
      </c>
      <c r="E2022">
        <v>1083</v>
      </c>
      <c r="F2022">
        <v>120409.51</v>
      </c>
      <c r="G2022">
        <v>32285.279999999999</v>
      </c>
      <c r="H2022" t="str">
        <f>VLOOKUP(myynnit[[#This Row],[TuoteID]],ohjaus!$A$4:$B$20,2,FALSE)</f>
        <v>Pinnatuoli</v>
      </c>
    </row>
    <row r="2023" spans="1:8" x14ac:dyDescent="0.35">
      <c r="A2023" t="s">
        <v>39</v>
      </c>
      <c r="B2023">
        <v>2014</v>
      </c>
      <c r="C2023">
        <v>6</v>
      </c>
      <c r="D2023">
        <v>23756</v>
      </c>
      <c r="E2023">
        <v>47</v>
      </c>
      <c r="F2023">
        <v>8853.27</v>
      </c>
      <c r="G2023">
        <v>4920.24</v>
      </c>
      <c r="H2023" t="str">
        <f>VLOOKUP(myynnit[[#This Row],[TuoteID]],ohjaus!$A$4:$B$20,2,FALSE)</f>
        <v>Pianotuoli</v>
      </c>
    </row>
    <row r="2024" spans="1:8" x14ac:dyDescent="0.35">
      <c r="A2024" t="s">
        <v>39</v>
      </c>
      <c r="B2024">
        <v>2014</v>
      </c>
      <c r="C2024">
        <v>6</v>
      </c>
      <c r="D2024">
        <v>24326</v>
      </c>
      <c r="E2024">
        <v>98</v>
      </c>
      <c r="F2024">
        <v>15615.25</v>
      </c>
      <c r="G2024">
        <v>4095.6</v>
      </c>
      <c r="H2024" t="str">
        <f>VLOOKUP(myynnit[[#This Row],[TuoteID]],ohjaus!$A$4:$B$20,2,FALSE)</f>
        <v>Lepotuoli</v>
      </c>
    </row>
    <row r="2025" spans="1:8" x14ac:dyDescent="0.35">
      <c r="A2025" t="s">
        <v>38</v>
      </c>
      <c r="B2025">
        <v>2014</v>
      </c>
      <c r="C2025">
        <v>6</v>
      </c>
      <c r="D2025">
        <v>12184</v>
      </c>
      <c r="E2025">
        <v>63</v>
      </c>
      <c r="F2025">
        <v>6628.49</v>
      </c>
      <c r="G2025">
        <v>3827.42</v>
      </c>
      <c r="H2025" t="str">
        <f>VLOOKUP(myynnit[[#This Row],[TuoteID]],ohjaus!$A$4:$B$20,2,FALSE)</f>
        <v>Rahi</v>
      </c>
    </row>
    <row r="2026" spans="1:8" x14ac:dyDescent="0.35">
      <c r="A2026" t="s">
        <v>38</v>
      </c>
      <c r="B2026">
        <v>2014</v>
      </c>
      <c r="C2026">
        <v>6</v>
      </c>
      <c r="D2026">
        <v>12622</v>
      </c>
      <c r="E2026">
        <v>37</v>
      </c>
      <c r="F2026">
        <v>8745.1</v>
      </c>
      <c r="G2026">
        <v>4295.25</v>
      </c>
      <c r="H2026" t="str">
        <f>VLOOKUP(myynnit[[#This Row],[TuoteID]],ohjaus!$A$4:$B$20,2,FALSE)</f>
        <v>Pianotuoli</v>
      </c>
    </row>
    <row r="2027" spans="1:8" x14ac:dyDescent="0.35">
      <c r="A2027" t="s">
        <v>38</v>
      </c>
      <c r="B2027">
        <v>2014</v>
      </c>
      <c r="C2027">
        <v>6</v>
      </c>
      <c r="D2027">
        <v>13527</v>
      </c>
      <c r="E2027">
        <v>394</v>
      </c>
      <c r="F2027">
        <v>59559.13</v>
      </c>
      <c r="G2027">
        <v>13332.84</v>
      </c>
      <c r="H2027" t="str">
        <f>VLOOKUP(myynnit[[#This Row],[TuoteID]],ohjaus!$A$4:$B$20,2,FALSE)</f>
        <v>Pinnatuoli</v>
      </c>
    </row>
    <row r="2028" spans="1:8" x14ac:dyDescent="0.35">
      <c r="A2028" t="s">
        <v>38</v>
      </c>
      <c r="B2028">
        <v>2014</v>
      </c>
      <c r="C2028">
        <v>6</v>
      </c>
      <c r="D2028">
        <v>13618</v>
      </c>
      <c r="E2028">
        <v>11</v>
      </c>
      <c r="F2028">
        <v>3843.61</v>
      </c>
      <c r="G2028">
        <v>1551.66</v>
      </c>
      <c r="H2028" t="str">
        <f>VLOOKUP(myynnit[[#This Row],[TuoteID]],ohjaus!$A$4:$B$20,2,FALSE)</f>
        <v>Pianotuoli</v>
      </c>
    </row>
    <row r="2029" spans="1:8" x14ac:dyDescent="0.35">
      <c r="A2029" t="s">
        <v>38</v>
      </c>
      <c r="B2029">
        <v>2014</v>
      </c>
      <c r="C2029">
        <v>6</v>
      </c>
      <c r="D2029">
        <v>16024</v>
      </c>
      <c r="E2029">
        <v>227</v>
      </c>
      <c r="F2029">
        <v>86759.44</v>
      </c>
      <c r="G2029">
        <v>23254.080000000002</v>
      </c>
      <c r="H2029" t="str">
        <f>VLOOKUP(myynnit[[#This Row],[TuoteID]],ohjaus!$A$4:$B$20,2,FALSE)</f>
        <v>Työtuoli</v>
      </c>
    </row>
    <row r="2030" spans="1:8" x14ac:dyDescent="0.35">
      <c r="A2030" t="s">
        <v>38</v>
      </c>
      <c r="B2030">
        <v>2014</v>
      </c>
      <c r="C2030">
        <v>6</v>
      </c>
      <c r="D2030">
        <v>16650</v>
      </c>
      <c r="E2030">
        <v>36</v>
      </c>
      <c r="F2030">
        <v>4630.0200000000004</v>
      </c>
      <c r="G2030">
        <v>2489.0300000000002</v>
      </c>
      <c r="H2030" t="str">
        <f>VLOOKUP(myynnit[[#This Row],[TuoteID]],ohjaus!$A$4:$B$20,2,FALSE)</f>
        <v>Rahi</v>
      </c>
    </row>
    <row r="2031" spans="1:8" x14ac:dyDescent="0.35">
      <c r="A2031" t="s">
        <v>38</v>
      </c>
      <c r="B2031">
        <v>2014</v>
      </c>
      <c r="C2031">
        <v>6</v>
      </c>
      <c r="D2031">
        <v>17892</v>
      </c>
      <c r="E2031">
        <v>94</v>
      </c>
      <c r="F2031">
        <v>14002.98</v>
      </c>
      <c r="G2031">
        <v>3353.33</v>
      </c>
      <c r="H2031" t="str">
        <f>VLOOKUP(myynnit[[#This Row],[TuoteID]],ohjaus!$A$4:$B$20,2,FALSE)</f>
        <v>Lepotuoli</v>
      </c>
    </row>
    <row r="2032" spans="1:8" x14ac:dyDescent="0.35">
      <c r="A2032" t="s">
        <v>38</v>
      </c>
      <c r="B2032">
        <v>2014</v>
      </c>
      <c r="C2032">
        <v>6</v>
      </c>
      <c r="D2032">
        <v>18342</v>
      </c>
      <c r="E2032">
        <v>194</v>
      </c>
      <c r="F2032">
        <v>153080.28</v>
      </c>
      <c r="G2032">
        <v>40961</v>
      </c>
      <c r="H2032" t="str">
        <f>VLOOKUP(myynnit[[#This Row],[TuoteID]],ohjaus!$A$4:$B$20,2,FALSE)</f>
        <v>Työtuoli</v>
      </c>
    </row>
    <row r="2033" spans="1:8" x14ac:dyDescent="0.35">
      <c r="A2033" t="s">
        <v>38</v>
      </c>
      <c r="B2033">
        <v>2014</v>
      </c>
      <c r="C2033">
        <v>6</v>
      </c>
      <c r="D2033">
        <v>20177</v>
      </c>
      <c r="E2033">
        <v>64</v>
      </c>
      <c r="F2033">
        <v>6129.89</v>
      </c>
      <c r="G2033">
        <v>2409.44</v>
      </c>
      <c r="H2033" t="str">
        <f>VLOOKUP(myynnit[[#This Row],[TuoteID]],ohjaus!$A$4:$B$20,2,FALSE)</f>
        <v>Säkkituoli</v>
      </c>
    </row>
    <row r="2034" spans="1:8" x14ac:dyDescent="0.35">
      <c r="A2034" t="s">
        <v>38</v>
      </c>
      <c r="B2034">
        <v>2014</v>
      </c>
      <c r="C2034">
        <v>6</v>
      </c>
      <c r="D2034">
        <v>21179</v>
      </c>
      <c r="E2034">
        <v>24</v>
      </c>
      <c r="F2034">
        <v>2791.68</v>
      </c>
      <c r="G2034">
        <v>1407.2</v>
      </c>
      <c r="H2034" t="str">
        <f>VLOOKUP(myynnit[[#This Row],[TuoteID]],ohjaus!$A$4:$B$20,2,FALSE)</f>
        <v>Rahi</v>
      </c>
    </row>
    <row r="2035" spans="1:8" x14ac:dyDescent="0.35">
      <c r="A2035" t="s">
        <v>38</v>
      </c>
      <c r="B2035">
        <v>2014</v>
      </c>
      <c r="C2035">
        <v>6</v>
      </c>
      <c r="D2035">
        <v>21260</v>
      </c>
      <c r="E2035">
        <v>41</v>
      </c>
      <c r="F2035">
        <v>8581.2999999999993</v>
      </c>
      <c r="G2035">
        <v>2146.81</v>
      </c>
      <c r="H2035" t="str">
        <f>VLOOKUP(myynnit[[#This Row],[TuoteID]],ohjaus!$A$4:$B$20,2,FALSE)</f>
        <v>Lepotuoli</v>
      </c>
    </row>
    <row r="2036" spans="1:8" x14ac:dyDescent="0.35">
      <c r="A2036" t="s">
        <v>38</v>
      </c>
      <c r="B2036">
        <v>2014</v>
      </c>
      <c r="C2036">
        <v>6</v>
      </c>
      <c r="D2036">
        <v>22317</v>
      </c>
      <c r="E2036">
        <v>83</v>
      </c>
      <c r="F2036">
        <v>7369.91</v>
      </c>
      <c r="G2036">
        <v>3072.42</v>
      </c>
      <c r="H2036" t="str">
        <f>VLOOKUP(myynnit[[#This Row],[TuoteID]],ohjaus!$A$4:$B$20,2,FALSE)</f>
        <v>Säkkituoli</v>
      </c>
    </row>
    <row r="2037" spans="1:8" x14ac:dyDescent="0.35">
      <c r="A2037" t="s">
        <v>38</v>
      </c>
      <c r="B2037">
        <v>2014</v>
      </c>
      <c r="C2037">
        <v>6</v>
      </c>
      <c r="D2037">
        <v>22940</v>
      </c>
      <c r="E2037">
        <v>511</v>
      </c>
      <c r="F2037">
        <v>63338.19</v>
      </c>
      <c r="G2037">
        <v>11441.33</v>
      </c>
      <c r="H2037" t="str">
        <f>VLOOKUP(myynnit[[#This Row],[TuoteID]],ohjaus!$A$4:$B$20,2,FALSE)</f>
        <v>Pinnatuoli</v>
      </c>
    </row>
    <row r="2038" spans="1:8" x14ac:dyDescent="0.35">
      <c r="A2038" t="s">
        <v>38</v>
      </c>
      <c r="B2038">
        <v>2014</v>
      </c>
      <c r="C2038">
        <v>6</v>
      </c>
      <c r="D2038">
        <v>23178</v>
      </c>
      <c r="E2038">
        <v>189</v>
      </c>
      <c r="F2038">
        <v>32776.58</v>
      </c>
      <c r="G2038">
        <v>6523.75</v>
      </c>
      <c r="H2038" t="str">
        <f>VLOOKUP(myynnit[[#This Row],[TuoteID]],ohjaus!$A$4:$B$20,2,FALSE)</f>
        <v>Pinnatuoli</v>
      </c>
    </row>
    <row r="2039" spans="1:8" x14ac:dyDescent="0.35">
      <c r="A2039" t="s">
        <v>38</v>
      </c>
      <c r="B2039">
        <v>2014</v>
      </c>
      <c r="C2039">
        <v>6</v>
      </c>
      <c r="D2039">
        <v>23600</v>
      </c>
      <c r="E2039">
        <v>1328</v>
      </c>
      <c r="F2039">
        <v>145453.48000000001</v>
      </c>
      <c r="G2039">
        <v>37534.69</v>
      </c>
      <c r="H2039" t="str">
        <f>VLOOKUP(myynnit[[#This Row],[TuoteID]],ohjaus!$A$4:$B$20,2,FALSE)</f>
        <v>Pinnatuoli</v>
      </c>
    </row>
    <row r="2040" spans="1:8" x14ac:dyDescent="0.35">
      <c r="A2040" t="s">
        <v>38</v>
      </c>
      <c r="B2040">
        <v>2014</v>
      </c>
      <c r="C2040">
        <v>6</v>
      </c>
      <c r="D2040">
        <v>23756</v>
      </c>
      <c r="E2040">
        <v>52</v>
      </c>
      <c r="F2040">
        <v>9044.52</v>
      </c>
      <c r="G2040">
        <v>4811.2299999999996</v>
      </c>
      <c r="H2040" t="str">
        <f>VLOOKUP(myynnit[[#This Row],[TuoteID]],ohjaus!$A$4:$B$20,2,FALSE)</f>
        <v>Pianotuoli</v>
      </c>
    </row>
    <row r="2041" spans="1:8" x14ac:dyDescent="0.35">
      <c r="A2041" t="s">
        <v>38</v>
      </c>
      <c r="B2041">
        <v>2014</v>
      </c>
      <c r="C2041">
        <v>6</v>
      </c>
      <c r="D2041">
        <v>24326</v>
      </c>
      <c r="E2041">
        <v>84</v>
      </c>
      <c r="F2041">
        <v>10961.94</v>
      </c>
      <c r="G2041">
        <v>3149.35</v>
      </c>
      <c r="H2041" t="str">
        <f>VLOOKUP(myynnit[[#This Row],[TuoteID]],ohjaus!$A$4:$B$20,2,FALSE)</f>
        <v>Lepotuoli</v>
      </c>
    </row>
    <row r="2042" spans="1:8" x14ac:dyDescent="0.35">
      <c r="A2042" t="s">
        <v>37</v>
      </c>
      <c r="B2042">
        <v>2014</v>
      </c>
      <c r="C2042">
        <v>7</v>
      </c>
      <c r="D2042">
        <v>12184</v>
      </c>
      <c r="E2042">
        <v>51</v>
      </c>
      <c r="F2042">
        <v>5406.12</v>
      </c>
      <c r="G2042">
        <v>2882.58</v>
      </c>
      <c r="H2042" t="str">
        <f>VLOOKUP(myynnit[[#This Row],[TuoteID]],ohjaus!$A$4:$B$20,2,FALSE)</f>
        <v>Rahi</v>
      </c>
    </row>
    <row r="2043" spans="1:8" x14ac:dyDescent="0.35">
      <c r="A2043" t="s">
        <v>37</v>
      </c>
      <c r="B2043">
        <v>2014</v>
      </c>
      <c r="C2043">
        <v>7</v>
      </c>
      <c r="D2043">
        <v>12622</v>
      </c>
      <c r="E2043">
        <v>36</v>
      </c>
      <c r="F2043">
        <v>10027.58</v>
      </c>
      <c r="G2043">
        <v>4654.57</v>
      </c>
      <c r="H2043" t="str">
        <f>VLOOKUP(myynnit[[#This Row],[TuoteID]],ohjaus!$A$4:$B$20,2,FALSE)</f>
        <v>Pianotuoli</v>
      </c>
    </row>
    <row r="2044" spans="1:8" x14ac:dyDescent="0.35">
      <c r="A2044" t="s">
        <v>37</v>
      </c>
      <c r="B2044">
        <v>2014</v>
      </c>
      <c r="C2044">
        <v>7</v>
      </c>
      <c r="D2044">
        <v>13527</v>
      </c>
      <c r="E2044">
        <v>440</v>
      </c>
      <c r="F2044">
        <v>68938.59</v>
      </c>
      <c r="G2044">
        <v>11332.73</v>
      </c>
      <c r="H2044" t="str">
        <f>VLOOKUP(myynnit[[#This Row],[TuoteID]],ohjaus!$A$4:$B$20,2,FALSE)</f>
        <v>Pinnatuoli</v>
      </c>
    </row>
    <row r="2045" spans="1:8" x14ac:dyDescent="0.35">
      <c r="A2045" t="s">
        <v>37</v>
      </c>
      <c r="B2045">
        <v>2014</v>
      </c>
      <c r="C2045">
        <v>7</v>
      </c>
      <c r="D2045">
        <v>13618</v>
      </c>
      <c r="E2045">
        <v>24</v>
      </c>
      <c r="F2045">
        <v>10181.49</v>
      </c>
      <c r="G2045">
        <v>4888.32</v>
      </c>
      <c r="H2045" t="str">
        <f>VLOOKUP(myynnit[[#This Row],[TuoteID]],ohjaus!$A$4:$B$20,2,FALSE)</f>
        <v>Pianotuoli</v>
      </c>
    </row>
    <row r="2046" spans="1:8" x14ac:dyDescent="0.35">
      <c r="A2046" t="s">
        <v>37</v>
      </c>
      <c r="B2046">
        <v>2014</v>
      </c>
      <c r="C2046">
        <v>7</v>
      </c>
      <c r="D2046">
        <v>16024</v>
      </c>
      <c r="E2046">
        <v>282</v>
      </c>
      <c r="F2046">
        <v>109744.46</v>
      </c>
      <c r="G2046">
        <v>34391.040000000001</v>
      </c>
      <c r="H2046" t="str">
        <f>VLOOKUP(myynnit[[#This Row],[TuoteID]],ohjaus!$A$4:$B$20,2,FALSE)</f>
        <v>Työtuoli</v>
      </c>
    </row>
    <row r="2047" spans="1:8" x14ac:dyDescent="0.35">
      <c r="A2047" t="s">
        <v>37</v>
      </c>
      <c r="B2047">
        <v>2014</v>
      </c>
      <c r="C2047">
        <v>7</v>
      </c>
      <c r="D2047">
        <v>16650</v>
      </c>
      <c r="E2047">
        <v>33</v>
      </c>
      <c r="F2047">
        <v>5664.74</v>
      </c>
      <c r="G2047">
        <v>2833.93</v>
      </c>
      <c r="H2047" t="str">
        <f>VLOOKUP(myynnit[[#This Row],[TuoteID]],ohjaus!$A$4:$B$20,2,FALSE)</f>
        <v>Rahi</v>
      </c>
    </row>
    <row r="2048" spans="1:8" x14ac:dyDescent="0.35">
      <c r="A2048" t="s">
        <v>37</v>
      </c>
      <c r="B2048">
        <v>2014</v>
      </c>
      <c r="C2048">
        <v>7</v>
      </c>
      <c r="D2048">
        <v>17892</v>
      </c>
      <c r="E2048">
        <v>137</v>
      </c>
      <c r="F2048">
        <v>19830.09</v>
      </c>
      <c r="G2048">
        <v>6504.11</v>
      </c>
      <c r="H2048" t="str">
        <f>VLOOKUP(myynnit[[#This Row],[TuoteID]],ohjaus!$A$4:$B$20,2,FALSE)</f>
        <v>Lepotuoli</v>
      </c>
    </row>
    <row r="2049" spans="1:8" x14ac:dyDescent="0.35">
      <c r="A2049" t="s">
        <v>37</v>
      </c>
      <c r="B2049">
        <v>2014</v>
      </c>
      <c r="C2049">
        <v>7</v>
      </c>
      <c r="D2049">
        <v>18342</v>
      </c>
      <c r="E2049">
        <v>123</v>
      </c>
      <c r="F2049">
        <v>112215.61</v>
      </c>
      <c r="G2049">
        <v>36863.199999999997</v>
      </c>
      <c r="H2049" t="str">
        <f>VLOOKUP(myynnit[[#This Row],[TuoteID]],ohjaus!$A$4:$B$20,2,FALSE)</f>
        <v>Työtuoli</v>
      </c>
    </row>
    <row r="2050" spans="1:8" x14ac:dyDescent="0.35">
      <c r="A2050" t="s">
        <v>37</v>
      </c>
      <c r="B2050">
        <v>2014</v>
      </c>
      <c r="C2050">
        <v>7</v>
      </c>
      <c r="D2050">
        <v>20177</v>
      </c>
      <c r="E2050">
        <v>159</v>
      </c>
      <c r="F2050">
        <v>14961.23</v>
      </c>
      <c r="G2050">
        <v>5635.43</v>
      </c>
      <c r="H2050" t="str">
        <f>VLOOKUP(myynnit[[#This Row],[TuoteID]],ohjaus!$A$4:$B$20,2,FALSE)</f>
        <v>Säkkituoli</v>
      </c>
    </row>
    <row r="2051" spans="1:8" x14ac:dyDescent="0.35">
      <c r="A2051" t="s">
        <v>37</v>
      </c>
      <c r="B2051">
        <v>2014</v>
      </c>
      <c r="C2051">
        <v>7</v>
      </c>
      <c r="D2051">
        <v>21179</v>
      </c>
      <c r="E2051">
        <v>70</v>
      </c>
      <c r="F2051">
        <v>9171.82</v>
      </c>
      <c r="G2051">
        <v>4253.63</v>
      </c>
      <c r="H2051" t="str">
        <f>VLOOKUP(myynnit[[#This Row],[TuoteID]],ohjaus!$A$4:$B$20,2,FALSE)</f>
        <v>Rahi</v>
      </c>
    </row>
    <row r="2052" spans="1:8" x14ac:dyDescent="0.35">
      <c r="A2052" t="s">
        <v>37</v>
      </c>
      <c r="B2052">
        <v>2014</v>
      </c>
      <c r="C2052">
        <v>7</v>
      </c>
      <c r="D2052">
        <v>21260</v>
      </c>
      <c r="E2052">
        <v>74</v>
      </c>
      <c r="F2052">
        <v>15800.06</v>
      </c>
      <c r="G2052">
        <v>5040.82</v>
      </c>
      <c r="H2052" t="str">
        <f>VLOOKUP(myynnit[[#This Row],[TuoteID]],ohjaus!$A$4:$B$20,2,FALSE)</f>
        <v>Lepotuoli</v>
      </c>
    </row>
    <row r="2053" spans="1:8" x14ac:dyDescent="0.35">
      <c r="A2053" t="s">
        <v>37</v>
      </c>
      <c r="B2053">
        <v>2014</v>
      </c>
      <c r="C2053">
        <v>7</v>
      </c>
      <c r="D2053">
        <v>22317</v>
      </c>
      <c r="E2053">
        <v>107</v>
      </c>
      <c r="F2053">
        <v>10745.93</v>
      </c>
      <c r="G2053">
        <v>3716.73</v>
      </c>
      <c r="H2053" t="str">
        <f>VLOOKUP(myynnit[[#This Row],[TuoteID]],ohjaus!$A$4:$B$20,2,FALSE)</f>
        <v>Säkkituoli</v>
      </c>
    </row>
    <row r="2054" spans="1:8" x14ac:dyDescent="0.35">
      <c r="A2054" t="s">
        <v>37</v>
      </c>
      <c r="B2054">
        <v>2014</v>
      </c>
      <c r="C2054">
        <v>7</v>
      </c>
      <c r="D2054">
        <v>22940</v>
      </c>
      <c r="E2054">
        <v>988</v>
      </c>
      <c r="F2054">
        <v>117840.24</v>
      </c>
      <c r="G2054">
        <v>18994.5</v>
      </c>
      <c r="H2054" t="str">
        <f>VLOOKUP(myynnit[[#This Row],[TuoteID]],ohjaus!$A$4:$B$20,2,FALSE)</f>
        <v>Pinnatuoli</v>
      </c>
    </row>
    <row r="2055" spans="1:8" x14ac:dyDescent="0.35">
      <c r="A2055" t="s">
        <v>37</v>
      </c>
      <c r="B2055">
        <v>2014</v>
      </c>
      <c r="C2055">
        <v>7</v>
      </c>
      <c r="D2055">
        <v>23178</v>
      </c>
      <c r="E2055">
        <v>324</v>
      </c>
      <c r="F2055">
        <v>59350.68</v>
      </c>
      <c r="G2055">
        <v>10419.719999999999</v>
      </c>
      <c r="H2055" t="str">
        <f>VLOOKUP(myynnit[[#This Row],[TuoteID]],ohjaus!$A$4:$B$20,2,FALSE)</f>
        <v>Pinnatuoli</v>
      </c>
    </row>
    <row r="2056" spans="1:8" x14ac:dyDescent="0.35">
      <c r="A2056" t="s">
        <v>37</v>
      </c>
      <c r="B2056">
        <v>2014</v>
      </c>
      <c r="C2056">
        <v>7</v>
      </c>
      <c r="D2056">
        <v>23600</v>
      </c>
      <c r="E2056">
        <v>538</v>
      </c>
      <c r="F2056">
        <v>54474.58</v>
      </c>
      <c r="G2056">
        <v>11696.32</v>
      </c>
      <c r="H2056" t="str">
        <f>VLOOKUP(myynnit[[#This Row],[TuoteID]],ohjaus!$A$4:$B$20,2,FALSE)</f>
        <v>Pinnatuoli</v>
      </c>
    </row>
    <row r="2057" spans="1:8" x14ac:dyDescent="0.35">
      <c r="A2057" t="s">
        <v>37</v>
      </c>
      <c r="B2057">
        <v>2014</v>
      </c>
      <c r="C2057">
        <v>7</v>
      </c>
      <c r="D2057">
        <v>23756</v>
      </c>
      <c r="E2057">
        <v>68</v>
      </c>
      <c r="F2057">
        <v>13142.6</v>
      </c>
      <c r="G2057">
        <v>6090.72</v>
      </c>
      <c r="H2057" t="str">
        <f>VLOOKUP(myynnit[[#This Row],[TuoteID]],ohjaus!$A$4:$B$20,2,FALSE)</f>
        <v>Pianotuoli</v>
      </c>
    </row>
    <row r="2058" spans="1:8" x14ac:dyDescent="0.35">
      <c r="A2058" t="s">
        <v>37</v>
      </c>
      <c r="B2058">
        <v>2014</v>
      </c>
      <c r="C2058">
        <v>7</v>
      </c>
      <c r="D2058">
        <v>24326</v>
      </c>
      <c r="E2058">
        <v>140</v>
      </c>
      <c r="F2058">
        <v>20969.05</v>
      </c>
      <c r="G2058">
        <v>5837.81</v>
      </c>
      <c r="H2058" t="str">
        <f>VLOOKUP(myynnit[[#This Row],[TuoteID]],ohjaus!$A$4:$B$20,2,FALSE)</f>
        <v>Lepotuoli</v>
      </c>
    </row>
    <row r="2059" spans="1:8" x14ac:dyDescent="0.35">
      <c r="A2059" t="s">
        <v>40</v>
      </c>
      <c r="B2059">
        <v>2014</v>
      </c>
      <c r="C2059">
        <v>7</v>
      </c>
      <c r="D2059">
        <v>12184</v>
      </c>
      <c r="E2059">
        <v>39</v>
      </c>
      <c r="F2059">
        <v>4334.1499999999996</v>
      </c>
      <c r="G2059">
        <v>1923.37</v>
      </c>
      <c r="H2059" t="str">
        <f>VLOOKUP(myynnit[[#This Row],[TuoteID]],ohjaus!$A$4:$B$20,2,FALSE)</f>
        <v>Rahi</v>
      </c>
    </row>
    <row r="2060" spans="1:8" x14ac:dyDescent="0.35">
      <c r="A2060" t="s">
        <v>40</v>
      </c>
      <c r="B2060">
        <v>2014</v>
      </c>
      <c r="C2060">
        <v>7</v>
      </c>
      <c r="D2060">
        <v>12622</v>
      </c>
      <c r="E2060">
        <v>12</v>
      </c>
      <c r="F2060">
        <v>3055.91</v>
      </c>
      <c r="G2060">
        <v>1222.8699999999999</v>
      </c>
      <c r="H2060" t="str">
        <f>VLOOKUP(myynnit[[#This Row],[TuoteID]],ohjaus!$A$4:$B$20,2,FALSE)</f>
        <v>Pianotuoli</v>
      </c>
    </row>
    <row r="2061" spans="1:8" x14ac:dyDescent="0.35">
      <c r="A2061" t="s">
        <v>40</v>
      </c>
      <c r="B2061">
        <v>2014</v>
      </c>
      <c r="C2061">
        <v>7</v>
      </c>
      <c r="D2061">
        <v>13527</v>
      </c>
      <c r="E2061">
        <v>364</v>
      </c>
      <c r="F2061">
        <v>55243.76</v>
      </c>
      <c r="G2061">
        <v>10957.44</v>
      </c>
      <c r="H2061" t="str">
        <f>VLOOKUP(myynnit[[#This Row],[TuoteID]],ohjaus!$A$4:$B$20,2,FALSE)</f>
        <v>Pinnatuoli</v>
      </c>
    </row>
    <row r="2062" spans="1:8" x14ac:dyDescent="0.35">
      <c r="A2062" t="s">
        <v>40</v>
      </c>
      <c r="B2062">
        <v>2014</v>
      </c>
      <c r="C2062">
        <v>7</v>
      </c>
      <c r="D2062">
        <v>13618</v>
      </c>
      <c r="E2062">
        <v>4</v>
      </c>
      <c r="F2062">
        <v>1400.53</v>
      </c>
      <c r="G2062">
        <v>597.24</v>
      </c>
      <c r="H2062" t="str">
        <f>VLOOKUP(myynnit[[#This Row],[TuoteID]],ohjaus!$A$4:$B$20,2,FALSE)</f>
        <v>Pianotuoli</v>
      </c>
    </row>
    <row r="2063" spans="1:8" x14ac:dyDescent="0.35">
      <c r="A2063" t="s">
        <v>40</v>
      </c>
      <c r="B2063">
        <v>2014</v>
      </c>
      <c r="C2063">
        <v>7</v>
      </c>
      <c r="D2063">
        <v>16024</v>
      </c>
      <c r="E2063">
        <v>197</v>
      </c>
      <c r="F2063">
        <v>95492.21</v>
      </c>
      <c r="G2063">
        <v>28069.26</v>
      </c>
      <c r="H2063" t="str">
        <f>VLOOKUP(myynnit[[#This Row],[TuoteID]],ohjaus!$A$4:$B$20,2,FALSE)</f>
        <v>Työtuoli</v>
      </c>
    </row>
    <row r="2064" spans="1:8" x14ac:dyDescent="0.35">
      <c r="A2064" t="s">
        <v>40</v>
      </c>
      <c r="B2064">
        <v>2014</v>
      </c>
      <c r="C2064">
        <v>7</v>
      </c>
      <c r="D2064">
        <v>16650</v>
      </c>
      <c r="E2064">
        <v>13</v>
      </c>
      <c r="F2064">
        <v>2416.0700000000002</v>
      </c>
      <c r="G2064">
        <v>1697.07</v>
      </c>
      <c r="H2064" t="str">
        <f>VLOOKUP(myynnit[[#This Row],[TuoteID]],ohjaus!$A$4:$B$20,2,FALSE)</f>
        <v>Rahi</v>
      </c>
    </row>
    <row r="2065" spans="1:8" x14ac:dyDescent="0.35">
      <c r="A2065" t="s">
        <v>40</v>
      </c>
      <c r="B2065">
        <v>2014</v>
      </c>
      <c r="C2065">
        <v>7</v>
      </c>
      <c r="D2065">
        <v>17892</v>
      </c>
      <c r="E2065">
        <v>51</v>
      </c>
      <c r="F2065">
        <v>7525.85</v>
      </c>
      <c r="G2065">
        <v>1748.49</v>
      </c>
      <c r="H2065" t="str">
        <f>VLOOKUP(myynnit[[#This Row],[TuoteID]],ohjaus!$A$4:$B$20,2,FALSE)</f>
        <v>Lepotuoli</v>
      </c>
    </row>
    <row r="2066" spans="1:8" x14ac:dyDescent="0.35">
      <c r="A2066" t="s">
        <v>40</v>
      </c>
      <c r="B2066">
        <v>2014</v>
      </c>
      <c r="C2066">
        <v>7</v>
      </c>
      <c r="D2066">
        <v>18342</v>
      </c>
      <c r="E2066">
        <v>11</v>
      </c>
      <c r="F2066">
        <v>8921.56</v>
      </c>
      <c r="G2066">
        <v>2424.9299999999998</v>
      </c>
      <c r="H2066" t="str">
        <f>VLOOKUP(myynnit[[#This Row],[TuoteID]],ohjaus!$A$4:$B$20,2,FALSE)</f>
        <v>Työtuoli</v>
      </c>
    </row>
    <row r="2067" spans="1:8" x14ac:dyDescent="0.35">
      <c r="A2067" t="s">
        <v>40</v>
      </c>
      <c r="B2067">
        <v>2014</v>
      </c>
      <c r="C2067">
        <v>7</v>
      </c>
      <c r="D2067">
        <v>20177</v>
      </c>
      <c r="E2067">
        <v>17</v>
      </c>
      <c r="F2067">
        <v>1610.43</v>
      </c>
      <c r="G2067">
        <v>718.01</v>
      </c>
      <c r="H2067" t="str">
        <f>VLOOKUP(myynnit[[#This Row],[TuoteID]],ohjaus!$A$4:$B$20,2,FALSE)</f>
        <v>Säkkituoli</v>
      </c>
    </row>
    <row r="2068" spans="1:8" x14ac:dyDescent="0.35">
      <c r="A2068" t="s">
        <v>40</v>
      </c>
      <c r="B2068">
        <v>2014</v>
      </c>
      <c r="C2068">
        <v>7</v>
      </c>
      <c r="D2068">
        <v>21179</v>
      </c>
      <c r="E2068">
        <v>42</v>
      </c>
      <c r="F2068">
        <v>6091.17</v>
      </c>
      <c r="G2068">
        <v>3611.26</v>
      </c>
      <c r="H2068" t="str">
        <f>VLOOKUP(myynnit[[#This Row],[TuoteID]],ohjaus!$A$4:$B$20,2,FALSE)</f>
        <v>Rahi</v>
      </c>
    </row>
    <row r="2069" spans="1:8" x14ac:dyDescent="0.35">
      <c r="A2069" t="s">
        <v>40</v>
      </c>
      <c r="B2069">
        <v>2014</v>
      </c>
      <c r="C2069">
        <v>7</v>
      </c>
      <c r="D2069">
        <v>21260</v>
      </c>
      <c r="E2069">
        <v>60</v>
      </c>
      <c r="F2069">
        <v>10963.57</v>
      </c>
      <c r="G2069">
        <v>2298.71</v>
      </c>
      <c r="H2069" t="str">
        <f>VLOOKUP(myynnit[[#This Row],[TuoteID]],ohjaus!$A$4:$B$20,2,FALSE)</f>
        <v>Lepotuoli</v>
      </c>
    </row>
    <row r="2070" spans="1:8" x14ac:dyDescent="0.35">
      <c r="A2070" t="s">
        <v>40</v>
      </c>
      <c r="B2070">
        <v>2014</v>
      </c>
      <c r="C2070">
        <v>7</v>
      </c>
      <c r="D2070">
        <v>22317</v>
      </c>
      <c r="E2070">
        <v>9</v>
      </c>
      <c r="F2070">
        <v>732.97</v>
      </c>
      <c r="G2070">
        <v>324.95</v>
      </c>
      <c r="H2070" t="str">
        <f>VLOOKUP(myynnit[[#This Row],[TuoteID]],ohjaus!$A$4:$B$20,2,FALSE)</f>
        <v>Säkkituoli</v>
      </c>
    </row>
    <row r="2071" spans="1:8" x14ac:dyDescent="0.35">
      <c r="A2071" t="s">
        <v>40</v>
      </c>
      <c r="B2071">
        <v>2014</v>
      </c>
      <c r="C2071">
        <v>7</v>
      </c>
      <c r="D2071">
        <v>22940</v>
      </c>
      <c r="E2071">
        <v>112</v>
      </c>
      <c r="F2071">
        <v>15166.51</v>
      </c>
      <c r="G2071">
        <v>3576.32</v>
      </c>
      <c r="H2071" t="str">
        <f>VLOOKUP(myynnit[[#This Row],[TuoteID]],ohjaus!$A$4:$B$20,2,FALSE)</f>
        <v>Pinnatuoli</v>
      </c>
    </row>
    <row r="2072" spans="1:8" x14ac:dyDescent="0.35">
      <c r="A2072" t="s">
        <v>40</v>
      </c>
      <c r="B2072">
        <v>2014</v>
      </c>
      <c r="C2072">
        <v>7</v>
      </c>
      <c r="D2072">
        <v>23178</v>
      </c>
      <c r="E2072">
        <v>214</v>
      </c>
      <c r="F2072">
        <v>41716.050000000003</v>
      </c>
      <c r="G2072">
        <v>9248.85</v>
      </c>
      <c r="H2072" t="str">
        <f>VLOOKUP(myynnit[[#This Row],[TuoteID]],ohjaus!$A$4:$B$20,2,FALSE)</f>
        <v>Pinnatuoli</v>
      </c>
    </row>
    <row r="2073" spans="1:8" x14ac:dyDescent="0.35">
      <c r="A2073" t="s">
        <v>40</v>
      </c>
      <c r="B2073">
        <v>2014</v>
      </c>
      <c r="C2073">
        <v>7</v>
      </c>
      <c r="D2073">
        <v>23600</v>
      </c>
      <c r="E2073">
        <v>655</v>
      </c>
      <c r="F2073">
        <v>73708</v>
      </c>
      <c r="G2073">
        <v>18500.16</v>
      </c>
      <c r="H2073" t="str">
        <f>VLOOKUP(myynnit[[#This Row],[TuoteID]],ohjaus!$A$4:$B$20,2,FALSE)</f>
        <v>Pinnatuoli</v>
      </c>
    </row>
    <row r="2074" spans="1:8" x14ac:dyDescent="0.35">
      <c r="A2074" t="s">
        <v>40</v>
      </c>
      <c r="B2074">
        <v>2014</v>
      </c>
      <c r="C2074">
        <v>7</v>
      </c>
      <c r="D2074">
        <v>23756</v>
      </c>
      <c r="E2074">
        <v>48</v>
      </c>
      <c r="F2074">
        <v>8558.35</v>
      </c>
      <c r="G2074">
        <v>3578.68</v>
      </c>
      <c r="H2074" t="str">
        <f>VLOOKUP(myynnit[[#This Row],[TuoteID]],ohjaus!$A$4:$B$20,2,FALSE)</f>
        <v>Pianotuoli</v>
      </c>
    </row>
    <row r="2075" spans="1:8" x14ac:dyDescent="0.35">
      <c r="A2075" t="s">
        <v>40</v>
      </c>
      <c r="B2075">
        <v>2014</v>
      </c>
      <c r="C2075">
        <v>7</v>
      </c>
      <c r="D2075">
        <v>24326</v>
      </c>
      <c r="E2075">
        <v>33</v>
      </c>
      <c r="F2075">
        <v>4726.33</v>
      </c>
      <c r="G2075">
        <v>1283.28</v>
      </c>
      <c r="H2075" t="str">
        <f>VLOOKUP(myynnit[[#This Row],[TuoteID]],ohjaus!$A$4:$B$20,2,FALSE)</f>
        <v>Lepotuoli</v>
      </c>
    </row>
    <row r="2076" spans="1:8" x14ac:dyDescent="0.35">
      <c r="A2076" t="s">
        <v>39</v>
      </c>
      <c r="B2076">
        <v>2014</v>
      </c>
      <c r="C2076">
        <v>7</v>
      </c>
      <c r="D2076">
        <v>12184</v>
      </c>
      <c r="E2076">
        <v>55</v>
      </c>
      <c r="F2076">
        <v>6617.89</v>
      </c>
      <c r="G2076">
        <v>4122.16</v>
      </c>
      <c r="H2076" t="str">
        <f>VLOOKUP(myynnit[[#This Row],[TuoteID]],ohjaus!$A$4:$B$20,2,FALSE)</f>
        <v>Rahi</v>
      </c>
    </row>
    <row r="2077" spans="1:8" x14ac:dyDescent="0.35">
      <c r="A2077" t="s">
        <v>39</v>
      </c>
      <c r="B2077">
        <v>2014</v>
      </c>
      <c r="C2077">
        <v>7</v>
      </c>
      <c r="D2077">
        <v>12622</v>
      </c>
      <c r="E2077">
        <v>26</v>
      </c>
      <c r="F2077">
        <v>7544.81</v>
      </c>
      <c r="G2077">
        <v>3730</v>
      </c>
      <c r="H2077" t="str">
        <f>VLOOKUP(myynnit[[#This Row],[TuoteID]],ohjaus!$A$4:$B$20,2,FALSE)</f>
        <v>Pianotuoli</v>
      </c>
    </row>
    <row r="2078" spans="1:8" x14ac:dyDescent="0.35">
      <c r="A2078" t="s">
        <v>39</v>
      </c>
      <c r="B2078">
        <v>2014</v>
      </c>
      <c r="C2078">
        <v>7</v>
      </c>
      <c r="D2078">
        <v>13527</v>
      </c>
      <c r="E2078">
        <v>335</v>
      </c>
      <c r="F2078">
        <v>57116.23</v>
      </c>
      <c r="G2078">
        <v>13709.32</v>
      </c>
      <c r="H2078" t="str">
        <f>VLOOKUP(myynnit[[#This Row],[TuoteID]],ohjaus!$A$4:$B$20,2,FALSE)</f>
        <v>Pinnatuoli</v>
      </c>
    </row>
    <row r="2079" spans="1:8" x14ac:dyDescent="0.35">
      <c r="A2079" t="s">
        <v>39</v>
      </c>
      <c r="B2079">
        <v>2014</v>
      </c>
      <c r="C2079">
        <v>7</v>
      </c>
      <c r="D2079">
        <v>13618</v>
      </c>
      <c r="E2079">
        <v>30</v>
      </c>
      <c r="F2079">
        <v>10930.61</v>
      </c>
      <c r="G2079">
        <v>5663.13</v>
      </c>
      <c r="H2079" t="str">
        <f>VLOOKUP(myynnit[[#This Row],[TuoteID]],ohjaus!$A$4:$B$20,2,FALSE)</f>
        <v>Pianotuoli</v>
      </c>
    </row>
    <row r="2080" spans="1:8" x14ac:dyDescent="0.35">
      <c r="A2080" t="s">
        <v>39</v>
      </c>
      <c r="B2080">
        <v>2014</v>
      </c>
      <c r="C2080">
        <v>7</v>
      </c>
      <c r="D2080">
        <v>16024</v>
      </c>
      <c r="E2080">
        <v>242</v>
      </c>
      <c r="F2080">
        <v>107424.92</v>
      </c>
      <c r="G2080">
        <v>32140.639999999999</v>
      </c>
      <c r="H2080" t="str">
        <f>VLOOKUP(myynnit[[#This Row],[TuoteID]],ohjaus!$A$4:$B$20,2,FALSE)</f>
        <v>Työtuoli</v>
      </c>
    </row>
    <row r="2081" spans="1:8" x14ac:dyDescent="0.35">
      <c r="A2081" t="s">
        <v>39</v>
      </c>
      <c r="B2081">
        <v>2014</v>
      </c>
      <c r="C2081">
        <v>7</v>
      </c>
      <c r="D2081">
        <v>16650</v>
      </c>
      <c r="E2081">
        <v>46</v>
      </c>
      <c r="F2081">
        <v>5764.15</v>
      </c>
      <c r="G2081">
        <v>4484.49</v>
      </c>
      <c r="H2081" t="str">
        <f>VLOOKUP(myynnit[[#This Row],[TuoteID]],ohjaus!$A$4:$B$20,2,FALSE)</f>
        <v>Rahi</v>
      </c>
    </row>
    <row r="2082" spans="1:8" x14ac:dyDescent="0.35">
      <c r="A2082" t="s">
        <v>39</v>
      </c>
      <c r="B2082">
        <v>2014</v>
      </c>
      <c r="C2082">
        <v>7</v>
      </c>
      <c r="D2082">
        <v>17892</v>
      </c>
      <c r="E2082">
        <v>123</v>
      </c>
      <c r="F2082">
        <v>15646.73</v>
      </c>
      <c r="G2082">
        <v>4134.1000000000004</v>
      </c>
      <c r="H2082" t="str">
        <f>VLOOKUP(myynnit[[#This Row],[TuoteID]],ohjaus!$A$4:$B$20,2,FALSE)</f>
        <v>Lepotuoli</v>
      </c>
    </row>
    <row r="2083" spans="1:8" x14ac:dyDescent="0.35">
      <c r="A2083" t="s">
        <v>39</v>
      </c>
      <c r="B2083">
        <v>2014</v>
      </c>
      <c r="C2083">
        <v>7</v>
      </c>
      <c r="D2083">
        <v>18342</v>
      </c>
      <c r="E2083">
        <v>121</v>
      </c>
      <c r="F2083">
        <v>110700.54</v>
      </c>
      <c r="G2083">
        <v>33114.800000000003</v>
      </c>
      <c r="H2083" t="str">
        <f>VLOOKUP(myynnit[[#This Row],[TuoteID]],ohjaus!$A$4:$B$20,2,FALSE)</f>
        <v>Työtuoli</v>
      </c>
    </row>
    <row r="2084" spans="1:8" x14ac:dyDescent="0.35">
      <c r="A2084" t="s">
        <v>39</v>
      </c>
      <c r="B2084">
        <v>2014</v>
      </c>
      <c r="C2084">
        <v>7</v>
      </c>
      <c r="D2084">
        <v>20177</v>
      </c>
      <c r="E2084">
        <v>42</v>
      </c>
      <c r="F2084">
        <v>3952.76</v>
      </c>
      <c r="G2084">
        <v>1653.79</v>
      </c>
      <c r="H2084" t="str">
        <f>VLOOKUP(myynnit[[#This Row],[TuoteID]],ohjaus!$A$4:$B$20,2,FALSE)</f>
        <v>Säkkituoli</v>
      </c>
    </row>
    <row r="2085" spans="1:8" x14ac:dyDescent="0.35">
      <c r="A2085" t="s">
        <v>39</v>
      </c>
      <c r="B2085">
        <v>2014</v>
      </c>
      <c r="C2085">
        <v>7</v>
      </c>
      <c r="D2085">
        <v>21179</v>
      </c>
      <c r="E2085">
        <v>43</v>
      </c>
      <c r="F2085">
        <v>4514.04</v>
      </c>
      <c r="G2085">
        <v>3299.95</v>
      </c>
      <c r="H2085" t="str">
        <f>VLOOKUP(myynnit[[#This Row],[TuoteID]],ohjaus!$A$4:$B$20,2,FALSE)</f>
        <v>Rahi</v>
      </c>
    </row>
    <row r="2086" spans="1:8" x14ac:dyDescent="0.35">
      <c r="A2086" t="s">
        <v>39</v>
      </c>
      <c r="B2086">
        <v>2014</v>
      </c>
      <c r="C2086">
        <v>7</v>
      </c>
      <c r="D2086">
        <v>21260</v>
      </c>
      <c r="E2086">
        <v>57</v>
      </c>
      <c r="F2086">
        <v>10383.56</v>
      </c>
      <c r="G2086">
        <v>2788.36</v>
      </c>
      <c r="H2086" t="str">
        <f>VLOOKUP(myynnit[[#This Row],[TuoteID]],ohjaus!$A$4:$B$20,2,FALSE)</f>
        <v>Lepotuoli</v>
      </c>
    </row>
    <row r="2087" spans="1:8" x14ac:dyDescent="0.35">
      <c r="A2087" t="s">
        <v>39</v>
      </c>
      <c r="B2087">
        <v>2014</v>
      </c>
      <c r="C2087">
        <v>7</v>
      </c>
      <c r="D2087">
        <v>22317</v>
      </c>
      <c r="E2087">
        <v>43</v>
      </c>
      <c r="F2087">
        <v>3253.37</v>
      </c>
      <c r="G2087">
        <v>1487.98</v>
      </c>
      <c r="H2087" t="str">
        <f>VLOOKUP(myynnit[[#This Row],[TuoteID]],ohjaus!$A$4:$B$20,2,FALSE)</f>
        <v>Säkkituoli</v>
      </c>
    </row>
    <row r="2088" spans="1:8" x14ac:dyDescent="0.35">
      <c r="A2088" t="s">
        <v>39</v>
      </c>
      <c r="B2088">
        <v>2014</v>
      </c>
      <c r="C2088">
        <v>7</v>
      </c>
      <c r="D2088">
        <v>22940</v>
      </c>
      <c r="E2088">
        <v>342</v>
      </c>
      <c r="F2088">
        <v>43653.77</v>
      </c>
      <c r="G2088">
        <v>10458.36</v>
      </c>
      <c r="H2088" t="str">
        <f>VLOOKUP(myynnit[[#This Row],[TuoteID]],ohjaus!$A$4:$B$20,2,FALSE)</f>
        <v>Pinnatuoli</v>
      </c>
    </row>
    <row r="2089" spans="1:8" x14ac:dyDescent="0.35">
      <c r="A2089" t="s">
        <v>39</v>
      </c>
      <c r="B2089">
        <v>2014</v>
      </c>
      <c r="C2089">
        <v>7</v>
      </c>
      <c r="D2089">
        <v>23178</v>
      </c>
      <c r="E2089">
        <v>248</v>
      </c>
      <c r="F2089">
        <v>48714.27</v>
      </c>
      <c r="G2089">
        <v>11025.4</v>
      </c>
      <c r="H2089" t="str">
        <f>VLOOKUP(myynnit[[#This Row],[TuoteID]],ohjaus!$A$4:$B$20,2,FALSE)</f>
        <v>Pinnatuoli</v>
      </c>
    </row>
    <row r="2090" spans="1:8" x14ac:dyDescent="0.35">
      <c r="A2090" t="s">
        <v>39</v>
      </c>
      <c r="B2090">
        <v>2014</v>
      </c>
      <c r="C2090">
        <v>7</v>
      </c>
      <c r="D2090">
        <v>23600</v>
      </c>
      <c r="E2090">
        <v>479</v>
      </c>
      <c r="F2090">
        <v>57680.83</v>
      </c>
      <c r="G2090">
        <v>18838.7</v>
      </c>
      <c r="H2090" t="str">
        <f>VLOOKUP(myynnit[[#This Row],[TuoteID]],ohjaus!$A$4:$B$20,2,FALSE)</f>
        <v>Pinnatuoli</v>
      </c>
    </row>
    <row r="2091" spans="1:8" x14ac:dyDescent="0.35">
      <c r="A2091" t="s">
        <v>39</v>
      </c>
      <c r="B2091">
        <v>2014</v>
      </c>
      <c r="C2091">
        <v>7</v>
      </c>
      <c r="D2091">
        <v>23756</v>
      </c>
      <c r="E2091">
        <v>90</v>
      </c>
      <c r="F2091">
        <v>18177.189999999999</v>
      </c>
      <c r="G2091">
        <v>11302.03</v>
      </c>
      <c r="H2091" t="str">
        <f>VLOOKUP(myynnit[[#This Row],[TuoteID]],ohjaus!$A$4:$B$20,2,FALSE)</f>
        <v>Pianotuoli</v>
      </c>
    </row>
    <row r="2092" spans="1:8" x14ac:dyDescent="0.35">
      <c r="A2092" t="s">
        <v>39</v>
      </c>
      <c r="B2092">
        <v>2014</v>
      </c>
      <c r="C2092">
        <v>7</v>
      </c>
      <c r="D2092">
        <v>24326</v>
      </c>
      <c r="E2092">
        <v>88</v>
      </c>
      <c r="F2092">
        <v>12753.62</v>
      </c>
      <c r="G2092">
        <v>3613.91</v>
      </c>
      <c r="H2092" t="str">
        <f>VLOOKUP(myynnit[[#This Row],[TuoteID]],ohjaus!$A$4:$B$20,2,FALSE)</f>
        <v>Lepotuoli</v>
      </c>
    </row>
    <row r="2093" spans="1:8" x14ac:dyDescent="0.35">
      <c r="A2093" t="s">
        <v>38</v>
      </c>
      <c r="B2093">
        <v>2014</v>
      </c>
      <c r="C2093">
        <v>7</v>
      </c>
      <c r="D2093">
        <v>12184</v>
      </c>
      <c r="E2093">
        <v>76</v>
      </c>
      <c r="F2093">
        <v>10047.629999999999</v>
      </c>
      <c r="G2093">
        <v>6147.52</v>
      </c>
      <c r="H2093" t="str">
        <f>VLOOKUP(myynnit[[#This Row],[TuoteID]],ohjaus!$A$4:$B$20,2,FALSE)</f>
        <v>Rahi</v>
      </c>
    </row>
    <row r="2094" spans="1:8" x14ac:dyDescent="0.35">
      <c r="A2094" t="s">
        <v>38</v>
      </c>
      <c r="B2094">
        <v>2014</v>
      </c>
      <c r="C2094">
        <v>7</v>
      </c>
      <c r="D2094">
        <v>12622</v>
      </c>
      <c r="E2094">
        <v>36</v>
      </c>
      <c r="F2094">
        <v>9484.82</v>
      </c>
      <c r="G2094">
        <v>5175.57</v>
      </c>
      <c r="H2094" t="str">
        <f>VLOOKUP(myynnit[[#This Row],[TuoteID]],ohjaus!$A$4:$B$20,2,FALSE)</f>
        <v>Pianotuoli</v>
      </c>
    </row>
    <row r="2095" spans="1:8" x14ac:dyDescent="0.35">
      <c r="A2095" t="s">
        <v>38</v>
      </c>
      <c r="B2095">
        <v>2014</v>
      </c>
      <c r="C2095">
        <v>7</v>
      </c>
      <c r="D2095">
        <v>13527</v>
      </c>
      <c r="E2095">
        <v>292</v>
      </c>
      <c r="F2095">
        <v>48530.19</v>
      </c>
      <c r="G2095">
        <v>8885.9</v>
      </c>
      <c r="H2095" t="str">
        <f>VLOOKUP(myynnit[[#This Row],[TuoteID]],ohjaus!$A$4:$B$20,2,FALSE)</f>
        <v>Pinnatuoli</v>
      </c>
    </row>
    <row r="2096" spans="1:8" x14ac:dyDescent="0.35">
      <c r="A2096" t="s">
        <v>38</v>
      </c>
      <c r="B2096">
        <v>2014</v>
      </c>
      <c r="C2096">
        <v>7</v>
      </c>
      <c r="D2096">
        <v>13618</v>
      </c>
      <c r="E2096">
        <v>15</v>
      </c>
      <c r="F2096">
        <v>5596.39</v>
      </c>
      <c r="G2096">
        <v>2276.8000000000002</v>
      </c>
      <c r="H2096" t="str">
        <f>VLOOKUP(myynnit[[#This Row],[TuoteID]],ohjaus!$A$4:$B$20,2,FALSE)</f>
        <v>Pianotuoli</v>
      </c>
    </row>
    <row r="2097" spans="1:8" x14ac:dyDescent="0.35">
      <c r="A2097" t="s">
        <v>38</v>
      </c>
      <c r="B2097">
        <v>2014</v>
      </c>
      <c r="C2097">
        <v>7</v>
      </c>
      <c r="D2097">
        <v>16024</v>
      </c>
      <c r="E2097">
        <v>223</v>
      </c>
      <c r="F2097">
        <v>99678.38</v>
      </c>
      <c r="G2097">
        <v>22686.54</v>
      </c>
      <c r="H2097" t="str">
        <f>VLOOKUP(myynnit[[#This Row],[TuoteID]],ohjaus!$A$4:$B$20,2,FALSE)</f>
        <v>Työtuoli</v>
      </c>
    </row>
    <row r="2098" spans="1:8" x14ac:dyDescent="0.35">
      <c r="A2098" t="s">
        <v>38</v>
      </c>
      <c r="B2098">
        <v>2014</v>
      </c>
      <c r="C2098">
        <v>7</v>
      </c>
      <c r="D2098">
        <v>16650</v>
      </c>
      <c r="E2098">
        <v>25</v>
      </c>
      <c r="F2098">
        <v>4432.7299999999996</v>
      </c>
      <c r="G2098">
        <v>2711.48</v>
      </c>
      <c r="H2098" t="str">
        <f>VLOOKUP(myynnit[[#This Row],[TuoteID]],ohjaus!$A$4:$B$20,2,FALSE)</f>
        <v>Rahi</v>
      </c>
    </row>
    <row r="2099" spans="1:8" x14ac:dyDescent="0.35">
      <c r="A2099" t="s">
        <v>38</v>
      </c>
      <c r="B2099">
        <v>2014</v>
      </c>
      <c r="C2099">
        <v>7</v>
      </c>
      <c r="D2099">
        <v>17892</v>
      </c>
      <c r="E2099">
        <v>94</v>
      </c>
      <c r="F2099">
        <v>13970.92</v>
      </c>
      <c r="G2099">
        <v>3078.94</v>
      </c>
      <c r="H2099" t="str">
        <f>VLOOKUP(myynnit[[#This Row],[TuoteID]],ohjaus!$A$4:$B$20,2,FALSE)</f>
        <v>Lepotuoli</v>
      </c>
    </row>
    <row r="2100" spans="1:8" x14ac:dyDescent="0.35">
      <c r="A2100" t="s">
        <v>38</v>
      </c>
      <c r="B2100">
        <v>2014</v>
      </c>
      <c r="C2100">
        <v>7</v>
      </c>
      <c r="D2100">
        <v>18342</v>
      </c>
      <c r="E2100">
        <v>134</v>
      </c>
      <c r="F2100">
        <v>121521.03</v>
      </c>
      <c r="G2100">
        <v>30728.55</v>
      </c>
      <c r="H2100" t="str">
        <f>VLOOKUP(myynnit[[#This Row],[TuoteID]],ohjaus!$A$4:$B$20,2,FALSE)</f>
        <v>Työtuoli</v>
      </c>
    </row>
    <row r="2101" spans="1:8" x14ac:dyDescent="0.35">
      <c r="A2101" t="s">
        <v>38</v>
      </c>
      <c r="B2101">
        <v>2014</v>
      </c>
      <c r="C2101">
        <v>7</v>
      </c>
      <c r="D2101">
        <v>20177</v>
      </c>
      <c r="E2101">
        <v>36</v>
      </c>
      <c r="F2101">
        <v>3818.01</v>
      </c>
      <c r="G2101">
        <v>1300.53</v>
      </c>
      <c r="H2101" t="str">
        <f>VLOOKUP(myynnit[[#This Row],[TuoteID]],ohjaus!$A$4:$B$20,2,FALSE)</f>
        <v>Säkkituoli</v>
      </c>
    </row>
    <row r="2102" spans="1:8" x14ac:dyDescent="0.35">
      <c r="A2102" t="s">
        <v>38</v>
      </c>
      <c r="B2102">
        <v>2014</v>
      </c>
      <c r="C2102">
        <v>7</v>
      </c>
      <c r="D2102">
        <v>21179</v>
      </c>
      <c r="E2102">
        <v>60</v>
      </c>
      <c r="F2102">
        <v>6239.09</v>
      </c>
      <c r="G2102">
        <v>3721.64</v>
      </c>
      <c r="H2102" t="str">
        <f>VLOOKUP(myynnit[[#This Row],[TuoteID]],ohjaus!$A$4:$B$20,2,FALSE)</f>
        <v>Rahi</v>
      </c>
    </row>
    <row r="2103" spans="1:8" x14ac:dyDescent="0.35">
      <c r="A2103" t="s">
        <v>38</v>
      </c>
      <c r="B2103">
        <v>2014</v>
      </c>
      <c r="C2103">
        <v>7</v>
      </c>
      <c r="D2103">
        <v>21260</v>
      </c>
      <c r="E2103">
        <v>50</v>
      </c>
      <c r="F2103">
        <v>9965.43</v>
      </c>
      <c r="G2103">
        <v>2760.6</v>
      </c>
      <c r="H2103" t="str">
        <f>VLOOKUP(myynnit[[#This Row],[TuoteID]],ohjaus!$A$4:$B$20,2,FALSE)</f>
        <v>Lepotuoli</v>
      </c>
    </row>
    <row r="2104" spans="1:8" x14ac:dyDescent="0.35">
      <c r="A2104" t="s">
        <v>38</v>
      </c>
      <c r="B2104">
        <v>2014</v>
      </c>
      <c r="C2104">
        <v>7</v>
      </c>
      <c r="D2104">
        <v>22317</v>
      </c>
      <c r="E2104">
        <v>69</v>
      </c>
      <c r="F2104">
        <v>5669.79</v>
      </c>
      <c r="G2104">
        <v>2157.33</v>
      </c>
      <c r="H2104" t="str">
        <f>VLOOKUP(myynnit[[#This Row],[TuoteID]],ohjaus!$A$4:$B$20,2,FALSE)</f>
        <v>Säkkituoli</v>
      </c>
    </row>
    <row r="2105" spans="1:8" x14ac:dyDescent="0.35">
      <c r="A2105" t="s">
        <v>38</v>
      </c>
      <c r="B2105">
        <v>2014</v>
      </c>
      <c r="C2105">
        <v>7</v>
      </c>
      <c r="D2105">
        <v>22940</v>
      </c>
      <c r="E2105">
        <v>668</v>
      </c>
      <c r="F2105">
        <v>84170.26</v>
      </c>
      <c r="G2105">
        <v>19824.099999999999</v>
      </c>
      <c r="H2105" t="str">
        <f>VLOOKUP(myynnit[[#This Row],[TuoteID]],ohjaus!$A$4:$B$20,2,FALSE)</f>
        <v>Pinnatuoli</v>
      </c>
    </row>
    <row r="2106" spans="1:8" x14ac:dyDescent="0.35">
      <c r="A2106" t="s">
        <v>38</v>
      </c>
      <c r="B2106">
        <v>2014</v>
      </c>
      <c r="C2106">
        <v>7</v>
      </c>
      <c r="D2106">
        <v>23178</v>
      </c>
      <c r="E2106">
        <v>189</v>
      </c>
      <c r="F2106">
        <v>33476.75</v>
      </c>
      <c r="G2106">
        <v>7470.87</v>
      </c>
      <c r="H2106" t="str">
        <f>VLOOKUP(myynnit[[#This Row],[TuoteID]],ohjaus!$A$4:$B$20,2,FALSE)</f>
        <v>Pinnatuoli</v>
      </c>
    </row>
    <row r="2107" spans="1:8" x14ac:dyDescent="0.35">
      <c r="A2107" t="s">
        <v>38</v>
      </c>
      <c r="B2107">
        <v>2014</v>
      </c>
      <c r="C2107">
        <v>7</v>
      </c>
      <c r="D2107">
        <v>23600</v>
      </c>
      <c r="E2107">
        <v>1379</v>
      </c>
      <c r="F2107">
        <v>145772.5</v>
      </c>
      <c r="G2107">
        <v>39329.660000000003</v>
      </c>
      <c r="H2107" t="str">
        <f>VLOOKUP(myynnit[[#This Row],[TuoteID]],ohjaus!$A$4:$B$20,2,FALSE)</f>
        <v>Pinnatuoli</v>
      </c>
    </row>
    <row r="2108" spans="1:8" x14ac:dyDescent="0.35">
      <c r="A2108" t="s">
        <v>38</v>
      </c>
      <c r="B2108">
        <v>2014</v>
      </c>
      <c r="C2108">
        <v>7</v>
      </c>
      <c r="D2108">
        <v>23756</v>
      </c>
      <c r="E2108">
        <v>58</v>
      </c>
      <c r="F2108">
        <v>10908.26</v>
      </c>
      <c r="G2108">
        <v>5313.25</v>
      </c>
      <c r="H2108" t="str">
        <f>VLOOKUP(myynnit[[#This Row],[TuoteID]],ohjaus!$A$4:$B$20,2,FALSE)</f>
        <v>Pianotuoli</v>
      </c>
    </row>
    <row r="2109" spans="1:8" x14ac:dyDescent="0.35">
      <c r="A2109" t="s">
        <v>38</v>
      </c>
      <c r="B2109">
        <v>2014</v>
      </c>
      <c r="C2109">
        <v>7</v>
      </c>
      <c r="D2109">
        <v>24326</v>
      </c>
      <c r="E2109">
        <v>98</v>
      </c>
      <c r="F2109">
        <v>13659.08</v>
      </c>
      <c r="G2109">
        <v>3333.38</v>
      </c>
      <c r="H2109" t="str">
        <f>VLOOKUP(myynnit[[#This Row],[TuoteID]],ohjaus!$A$4:$B$20,2,FALSE)</f>
        <v>Lepotuoli</v>
      </c>
    </row>
    <row r="2110" spans="1:8" x14ac:dyDescent="0.35">
      <c r="A2110" t="s">
        <v>37</v>
      </c>
      <c r="B2110">
        <v>2014</v>
      </c>
      <c r="C2110">
        <v>8</v>
      </c>
      <c r="D2110">
        <v>12184</v>
      </c>
      <c r="E2110">
        <v>92</v>
      </c>
      <c r="F2110">
        <v>9471.31</v>
      </c>
      <c r="G2110">
        <v>4097.41</v>
      </c>
      <c r="H2110" t="str">
        <f>VLOOKUP(myynnit[[#This Row],[TuoteID]],ohjaus!$A$4:$B$20,2,FALSE)</f>
        <v>Rahi</v>
      </c>
    </row>
    <row r="2111" spans="1:8" x14ac:dyDescent="0.35">
      <c r="A2111" t="s">
        <v>37</v>
      </c>
      <c r="B2111">
        <v>2014</v>
      </c>
      <c r="C2111">
        <v>8</v>
      </c>
      <c r="D2111">
        <v>12622</v>
      </c>
      <c r="E2111">
        <v>62</v>
      </c>
      <c r="F2111">
        <v>17965.79</v>
      </c>
      <c r="G2111">
        <v>8180.14</v>
      </c>
      <c r="H2111" t="str">
        <f>VLOOKUP(myynnit[[#This Row],[TuoteID]],ohjaus!$A$4:$B$20,2,FALSE)</f>
        <v>Pianotuoli</v>
      </c>
    </row>
    <row r="2112" spans="1:8" x14ac:dyDescent="0.35">
      <c r="A2112" t="s">
        <v>37</v>
      </c>
      <c r="B2112">
        <v>2014</v>
      </c>
      <c r="C2112">
        <v>8</v>
      </c>
      <c r="D2112">
        <v>13527</v>
      </c>
      <c r="E2112">
        <v>778</v>
      </c>
      <c r="F2112">
        <v>116404.09</v>
      </c>
      <c r="G2112">
        <v>19208.18</v>
      </c>
      <c r="H2112" t="str">
        <f>VLOOKUP(myynnit[[#This Row],[TuoteID]],ohjaus!$A$4:$B$20,2,FALSE)</f>
        <v>Pinnatuoli</v>
      </c>
    </row>
    <row r="2113" spans="1:8" x14ac:dyDescent="0.35">
      <c r="A2113" t="s">
        <v>37</v>
      </c>
      <c r="B2113">
        <v>2014</v>
      </c>
      <c r="C2113">
        <v>8</v>
      </c>
      <c r="D2113">
        <v>13618</v>
      </c>
      <c r="E2113">
        <v>17</v>
      </c>
      <c r="F2113">
        <v>7553.55</v>
      </c>
      <c r="G2113">
        <v>4091.31</v>
      </c>
      <c r="H2113" t="str">
        <f>VLOOKUP(myynnit[[#This Row],[TuoteID]],ohjaus!$A$4:$B$20,2,FALSE)</f>
        <v>Pianotuoli</v>
      </c>
    </row>
    <row r="2114" spans="1:8" x14ac:dyDescent="0.35">
      <c r="A2114" t="s">
        <v>37</v>
      </c>
      <c r="B2114">
        <v>2014</v>
      </c>
      <c r="C2114">
        <v>8</v>
      </c>
      <c r="D2114">
        <v>16024</v>
      </c>
      <c r="E2114">
        <v>224</v>
      </c>
      <c r="F2114">
        <v>102645.37</v>
      </c>
      <c r="G2114">
        <v>25712.04</v>
      </c>
      <c r="H2114" t="str">
        <f>VLOOKUP(myynnit[[#This Row],[TuoteID]],ohjaus!$A$4:$B$20,2,FALSE)</f>
        <v>Työtuoli</v>
      </c>
    </row>
    <row r="2115" spans="1:8" x14ac:dyDescent="0.35">
      <c r="A2115" t="s">
        <v>37</v>
      </c>
      <c r="B2115">
        <v>2014</v>
      </c>
      <c r="C2115">
        <v>8</v>
      </c>
      <c r="D2115">
        <v>16650</v>
      </c>
      <c r="E2115">
        <v>44</v>
      </c>
      <c r="F2115">
        <v>6386.01</v>
      </c>
      <c r="G2115">
        <v>2843.64</v>
      </c>
      <c r="H2115" t="str">
        <f>VLOOKUP(myynnit[[#This Row],[TuoteID]],ohjaus!$A$4:$B$20,2,FALSE)</f>
        <v>Rahi</v>
      </c>
    </row>
    <row r="2116" spans="1:8" x14ac:dyDescent="0.35">
      <c r="A2116" t="s">
        <v>37</v>
      </c>
      <c r="B2116">
        <v>2014</v>
      </c>
      <c r="C2116">
        <v>8</v>
      </c>
      <c r="D2116">
        <v>17892</v>
      </c>
      <c r="E2116">
        <v>70</v>
      </c>
      <c r="F2116">
        <v>9805.69</v>
      </c>
      <c r="G2116">
        <v>2633.65</v>
      </c>
      <c r="H2116" t="str">
        <f>VLOOKUP(myynnit[[#This Row],[TuoteID]],ohjaus!$A$4:$B$20,2,FALSE)</f>
        <v>Lepotuoli</v>
      </c>
    </row>
    <row r="2117" spans="1:8" x14ac:dyDescent="0.35">
      <c r="A2117" t="s">
        <v>37</v>
      </c>
      <c r="B2117">
        <v>2014</v>
      </c>
      <c r="C2117">
        <v>8</v>
      </c>
      <c r="D2117">
        <v>18342</v>
      </c>
      <c r="E2117">
        <v>199</v>
      </c>
      <c r="F2117">
        <v>180896.49</v>
      </c>
      <c r="G2117">
        <v>57870.31</v>
      </c>
      <c r="H2117" t="str">
        <f>VLOOKUP(myynnit[[#This Row],[TuoteID]],ohjaus!$A$4:$B$20,2,FALSE)</f>
        <v>Työtuoli</v>
      </c>
    </row>
    <row r="2118" spans="1:8" x14ac:dyDescent="0.35">
      <c r="A2118" t="s">
        <v>37</v>
      </c>
      <c r="B2118">
        <v>2014</v>
      </c>
      <c r="C2118">
        <v>8</v>
      </c>
      <c r="D2118">
        <v>20177</v>
      </c>
      <c r="E2118">
        <v>58</v>
      </c>
      <c r="F2118">
        <v>6683.49</v>
      </c>
      <c r="G2118">
        <v>2678.43</v>
      </c>
      <c r="H2118" t="str">
        <f>VLOOKUP(myynnit[[#This Row],[TuoteID]],ohjaus!$A$4:$B$20,2,FALSE)</f>
        <v>Säkkituoli</v>
      </c>
    </row>
    <row r="2119" spans="1:8" x14ac:dyDescent="0.35">
      <c r="A2119" t="s">
        <v>37</v>
      </c>
      <c r="B2119">
        <v>2014</v>
      </c>
      <c r="C2119">
        <v>8</v>
      </c>
      <c r="D2119">
        <v>21179</v>
      </c>
      <c r="E2119">
        <v>31</v>
      </c>
      <c r="F2119">
        <v>3868.77</v>
      </c>
      <c r="G2119">
        <v>1947.62</v>
      </c>
      <c r="H2119" t="str">
        <f>VLOOKUP(myynnit[[#This Row],[TuoteID]],ohjaus!$A$4:$B$20,2,FALSE)</f>
        <v>Rahi</v>
      </c>
    </row>
    <row r="2120" spans="1:8" x14ac:dyDescent="0.35">
      <c r="A2120" t="s">
        <v>37</v>
      </c>
      <c r="B2120">
        <v>2014</v>
      </c>
      <c r="C2120">
        <v>8</v>
      </c>
      <c r="D2120">
        <v>21260</v>
      </c>
      <c r="E2120">
        <v>63</v>
      </c>
      <c r="F2120">
        <v>12843.49</v>
      </c>
      <c r="G2120">
        <v>3873.79</v>
      </c>
      <c r="H2120" t="str">
        <f>VLOOKUP(myynnit[[#This Row],[TuoteID]],ohjaus!$A$4:$B$20,2,FALSE)</f>
        <v>Lepotuoli</v>
      </c>
    </row>
    <row r="2121" spans="1:8" x14ac:dyDescent="0.35">
      <c r="A2121" t="s">
        <v>37</v>
      </c>
      <c r="B2121">
        <v>2014</v>
      </c>
      <c r="C2121">
        <v>8</v>
      </c>
      <c r="D2121">
        <v>22317</v>
      </c>
      <c r="E2121">
        <v>112</v>
      </c>
      <c r="F2121">
        <v>9958.4699999999993</v>
      </c>
      <c r="G2121">
        <v>4269.3999999999996</v>
      </c>
      <c r="H2121" t="str">
        <f>VLOOKUP(myynnit[[#This Row],[TuoteID]],ohjaus!$A$4:$B$20,2,FALSE)</f>
        <v>Säkkituoli</v>
      </c>
    </row>
    <row r="2122" spans="1:8" x14ac:dyDescent="0.35">
      <c r="A2122" t="s">
        <v>37</v>
      </c>
      <c r="B2122">
        <v>2014</v>
      </c>
      <c r="C2122">
        <v>8</v>
      </c>
      <c r="D2122">
        <v>22940</v>
      </c>
      <c r="E2122">
        <v>453</v>
      </c>
      <c r="F2122">
        <v>56443.83</v>
      </c>
      <c r="G2122">
        <v>11164.01</v>
      </c>
      <c r="H2122" t="str">
        <f>VLOOKUP(myynnit[[#This Row],[TuoteID]],ohjaus!$A$4:$B$20,2,FALSE)</f>
        <v>Pinnatuoli</v>
      </c>
    </row>
    <row r="2123" spans="1:8" x14ac:dyDescent="0.35">
      <c r="A2123" t="s">
        <v>37</v>
      </c>
      <c r="B2123">
        <v>2014</v>
      </c>
      <c r="C2123">
        <v>8</v>
      </c>
      <c r="D2123">
        <v>23178</v>
      </c>
      <c r="E2123">
        <v>329</v>
      </c>
      <c r="F2123">
        <v>53029.56</v>
      </c>
      <c r="G2123">
        <v>8718.42</v>
      </c>
      <c r="H2123" t="str">
        <f>VLOOKUP(myynnit[[#This Row],[TuoteID]],ohjaus!$A$4:$B$20,2,FALSE)</f>
        <v>Pinnatuoli</v>
      </c>
    </row>
    <row r="2124" spans="1:8" x14ac:dyDescent="0.35">
      <c r="A2124" t="s">
        <v>37</v>
      </c>
      <c r="B2124">
        <v>2014</v>
      </c>
      <c r="C2124">
        <v>8</v>
      </c>
      <c r="D2124">
        <v>23600</v>
      </c>
      <c r="E2124">
        <v>1252</v>
      </c>
      <c r="F2124">
        <v>126460.1</v>
      </c>
      <c r="G2124">
        <v>29354.720000000001</v>
      </c>
      <c r="H2124" t="str">
        <f>VLOOKUP(myynnit[[#This Row],[TuoteID]],ohjaus!$A$4:$B$20,2,FALSE)</f>
        <v>Pinnatuoli</v>
      </c>
    </row>
    <row r="2125" spans="1:8" x14ac:dyDescent="0.35">
      <c r="A2125" t="s">
        <v>37</v>
      </c>
      <c r="B2125">
        <v>2014</v>
      </c>
      <c r="C2125">
        <v>8</v>
      </c>
      <c r="D2125">
        <v>23756</v>
      </c>
      <c r="E2125">
        <v>125</v>
      </c>
      <c r="F2125">
        <v>26518.37</v>
      </c>
      <c r="G2125">
        <v>11648.13</v>
      </c>
      <c r="H2125" t="str">
        <f>VLOOKUP(myynnit[[#This Row],[TuoteID]],ohjaus!$A$4:$B$20,2,FALSE)</f>
        <v>Pianotuoli</v>
      </c>
    </row>
    <row r="2126" spans="1:8" x14ac:dyDescent="0.35">
      <c r="A2126" t="s">
        <v>37</v>
      </c>
      <c r="B2126">
        <v>2014</v>
      </c>
      <c r="C2126">
        <v>8</v>
      </c>
      <c r="D2126">
        <v>24326</v>
      </c>
      <c r="E2126">
        <v>110</v>
      </c>
      <c r="F2126">
        <v>17383.45</v>
      </c>
      <c r="G2126">
        <v>5315.27</v>
      </c>
      <c r="H2126" t="str">
        <f>VLOOKUP(myynnit[[#This Row],[TuoteID]],ohjaus!$A$4:$B$20,2,FALSE)</f>
        <v>Lepotuoli</v>
      </c>
    </row>
    <row r="2127" spans="1:8" x14ac:dyDescent="0.35">
      <c r="A2127" t="s">
        <v>40</v>
      </c>
      <c r="B2127">
        <v>2014</v>
      </c>
      <c r="C2127">
        <v>8</v>
      </c>
      <c r="D2127">
        <v>12184</v>
      </c>
      <c r="E2127">
        <v>22</v>
      </c>
      <c r="F2127">
        <v>2624.41</v>
      </c>
      <c r="G2127">
        <v>1176.22</v>
      </c>
      <c r="H2127" t="str">
        <f>VLOOKUP(myynnit[[#This Row],[TuoteID]],ohjaus!$A$4:$B$20,2,FALSE)</f>
        <v>Rahi</v>
      </c>
    </row>
    <row r="2128" spans="1:8" x14ac:dyDescent="0.35">
      <c r="A2128" t="s">
        <v>40</v>
      </c>
      <c r="B2128">
        <v>2014</v>
      </c>
      <c r="C2128">
        <v>8</v>
      </c>
      <c r="D2128">
        <v>12622</v>
      </c>
      <c r="E2128">
        <v>12</v>
      </c>
      <c r="F2128">
        <v>2924.97</v>
      </c>
      <c r="G2128">
        <v>1224.69</v>
      </c>
      <c r="H2128" t="str">
        <f>VLOOKUP(myynnit[[#This Row],[TuoteID]],ohjaus!$A$4:$B$20,2,FALSE)</f>
        <v>Pianotuoli</v>
      </c>
    </row>
    <row r="2129" spans="1:8" x14ac:dyDescent="0.35">
      <c r="A2129" t="s">
        <v>40</v>
      </c>
      <c r="B2129">
        <v>2014</v>
      </c>
      <c r="C2129">
        <v>8</v>
      </c>
      <c r="D2129">
        <v>13527</v>
      </c>
      <c r="E2129">
        <v>179</v>
      </c>
      <c r="F2129">
        <v>28581.56</v>
      </c>
      <c r="G2129">
        <v>4935.09</v>
      </c>
      <c r="H2129" t="str">
        <f>VLOOKUP(myynnit[[#This Row],[TuoteID]],ohjaus!$A$4:$B$20,2,FALSE)</f>
        <v>Pinnatuoli</v>
      </c>
    </row>
    <row r="2130" spans="1:8" x14ac:dyDescent="0.35">
      <c r="A2130" t="s">
        <v>40</v>
      </c>
      <c r="B2130">
        <v>2014</v>
      </c>
      <c r="C2130">
        <v>8</v>
      </c>
      <c r="D2130">
        <v>13618</v>
      </c>
      <c r="E2130">
        <v>10</v>
      </c>
      <c r="F2130">
        <v>3568.35</v>
      </c>
      <c r="G2130">
        <v>1392.75</v>
      </c>
      <c r="H2130" t="str">
        <f>VLOOKUP(myynnit[[#This Row],[TuoteID]],ohjaus!$A$4:$B$20,2,FALSE)</f>
        <v>Pianotuoli</v>
      </c>
    </row>
    <row r="2131" spans="1:8" x14ac:dyDescent="0.35">
      <c r="A2131" t="s">
        <v>40</v>
      </c>
      <c r="B2131">
        <v>2014</v>
      </c>
      <c r="C2131">
        <v>8</v>
      </c>
      <c r="D2131">
        <v>16024</v>
      </c>
      <c r="E2131">
        <v>192</v>
      </c>
      <c r="F2131">
        <v>80214.78</v>
      </c>
      <c r="G2131">
        <v>26302.5</v>
      </c>
      <c r="H2131" t="str">
        <f>VLOOKUP(myynnit[[#This Row],[TuoteID]],ohjaus!$A$4:$B$20,2,FALSE)</f>
        <v>Työtuoli</v>
      </c>
    </row>
    <row r="2132" spans="1:8" x14ac:dyDescent="0.35">
      <c r="A2132" t="s">
        <v>40</v>
      </c>
      <c r="B2132">
        <v>2014</v>
      </c>
      <c r="C2132">
        <v>8</v>
      </c>
      <c r="D2132">
        <v>16650</v>
      </c>
      <c r="E2132">
        <v>29</v>
      </c>
      <c r="F2132">
        <v>5318.14</v>
      </c>
      <c r="G2132">
        <v>3472.85</v>
      </c>
      <c r="H2132" t="str">
        <f>VLOOKUP(myynnit[[#This Row],[TuoteID]],ohjaus!$A$4:$B$20,2,FALSE)</f>
        <v>Rahi</v>
      </c>
    </row>
    <row r="2133" spans="1:8" x14ac:dyDescent="0.35">
      <c r="A2133" t="s">
        <v>40</v>
      </c>
      <c r="B2133">
        <v>2014</v>
      </c>
      <c r="C2133">
        <v>8</v>
      </c>
      <c r="D2133">
        <v>17892</v>
      </c>
      <c r="E2133">
        <v>42</v>
      </c>
      <c r="F2133">
        <v>5695.39</v>
      </c>
      <c r="G2133">
        <v>1195.06</v>
      </c>
      <c r="H2133" t="str">
        <f>VLOOKUP(myynnit[[#This Row],[TuoteID]],ohjaus!$A$4:$B$20,2,FALSE)</f>
        <v>Lepotuoli</v>
      </c>
    </row>
    <row r="2134" spans="1:8" x14ac:dyDescent="0.35">
      <c r="A2134" t="s">
        <v>40</v>
      </c>
      <c r="B2134">
        <v>2014</v>
      </c>
      <c r="C2134">
        <v>8</v>
      </c>
      <c r="D2134">
        <v>18342</v>
      </c>
      <c r="E2134">
        <v>13</v>
      </c>
      <c r="F2134">
        <v>9823.41</v>
      </c>
      <c r="G2134">
        <v>2567.88</v>
      </c>
      <c r="H2134" t="str">
        <f>VLOOKUP(myynnit[[#This Row],[TuoteID]],ohjaus!$A$4:$B$20,2,FALSE)</f>
        <v>Työtuoli</v>
      </c>
    </row>
    <row r="2135" spans="1:8" x14ac:dyDescent="0.35">
      <c r="A2135" t="s">
        <v>40</v>
      </c>
      <c r="B2135">
        <v>2014</v>
      </c>
      <c r="C2135">
        <v>8</v>
      </c>
      <c r="D2135">
        <v>20177</v>
      </c>
      <c r="E2135">
        <v>20</v>
      </c>
      <c r="F2135">
        <v>1947.14</v>
      </c>
      <c r="G2135">
        <v>675.47</v>
      </c>
      <c r="H2135" t="str">
        <f>VLOOKUP(myynnit[[#This Row],[TuoteID]],ohjaus!$A$4:$B$20,2,FALSE)</f>
        <v>Säkkituoli</v>
      </c>
    </row>
    <row r="2136" spans="1:8" x14ac:dyDescent="0.35">
      <c r="A2136" t="s">
        <v>40</v>
      </c>
      <c r="B2136">
        <v>2014</v>
      </c>
      <c r="C2136">
        <v>8</v>
      </c>
      <c r="D2136">
        <v>21179</v>
      </c>
      <c r="E2136">
        <v>37</v>
      </c>
      <c r="F2136">
        <v>4355.16</v>
      </c>
      <c r="G2136">
        <v>2287.2600000000002</v>
      </c>
      <c r="H2136" t="str">
        <f>VLOOKUP(myynnit[[#This Row],[TuoteID]],ohjaus!$A$4:$B$20,2,FALSE)</f>
        <v>Rahi</v>
      </c>
    </row>
    <row r="2137" spans="1:8" x14ac:dyDescent="0.35">
      <c r="A2137" t="s">
        <v>40</v>
      </c>
      <c r="B2137">
        <v>2014</v>
      </c>
      <c r="C2137">
        <v>8</v>
      </c>
      <c r="D2137">
        <v>21260</v>
      </c>
      <c r="E2137">
        <v>21</v>
      </c>
      <c r="F2137">
        <v>4229.1000000000004</v>
      </c>
      <c r="G2137">
        <v>934.32</v>
      </c>
      <c r="H2137" t="str">
        <f>VLOOKUP(myynnit[[#This Row],[TuoteID]],ohjaus!$A$4:$B$20,2,FALSE)</f>
        <v>Lepotuoli</v>
      </c>
    </row>
    <row r="2138" spans="1:8" x14ac:dyDescent="0.35">
      <c r="A2138" t="s">
        <v>40</v>
      </c>
      <c r="B2138">
        <v>2014</v>
      </c>
      <c r="C2138">
        <v>8</v>
      </c>
      <c r="D2138">
        <v>22317</v>
      </c>
      <c r="E2138">
        <v>10</v>
      </c>
      <c r="F2138">
        <v>926.96</v>
      </c>
      <c r="G2138">
        <v>485.86</v>
      </c>
      <c r="H2138" t="str">
        <f>VLOOKUP(myynnit[[#This Row],[TuoteID]],ohjaus!$A$4:$B$20,2,FALSE)</f>
        <v>Säkkituoli</v>
      </c>
    </row>
    <row r="2139" spans="1:8" x14ac:dyDescent="0.35">
      <c r="A2139" t="s">
        <v>40</v>
      </c>
      <c r="B2139">
        <v>2014</v>
      </c>
      <c r="C2139">
        <v>8</v>
      </c>
      <c r="D2139">
        <v>22940</v>
      </c>
      <c r="E2139">
        <v>204</v>
      </c>
      <c r="F2139">
        <v>26214.27</v>
      </c>
      <c r="G2139">
        <v>6310.88</v>
      </c>
      <c r="H2139" t="str">
        <f>VLOOKUP(myynnit[[#This Row],[TuoteID]],ohjaus!$A$4:$B$20,2,FALSE)</f>
        <v>Pinnatuoli</v>
      </c>
    </row>
    <row r="2140" spans="1:8" x14ac:dyDescent="0.35">
      <c r="A2140" t="s">
        <v>40</v>
      </c>
      <c r="B2140">
        <v>2014</v>
      </c>
      <c r="C2140">
        <v>8</v>
      </c>
      <c r="D2140">
        <v>23178</v>
      </c>
      <c r="E2140">
        <v>136</v>
      </c>
      <c r="F2140">
        <v>24699.16</v>
      </c>
      <c r="G2140">
        <v>7011.4</v>
      </c>
      <c r="H2140" t="str">
        <f>VLOOKUP(myynnit[[#This Row],[TuoteID]],ohjaus!$A$4:$B$20,2,FALSE)</f>
        <v>Pinnatuoli</v>
      </c>
    </row>
    <row r="2141" spans="1:8" x14ac:dyDescent="0.35">
      <c r="A2141" t="s">
        <v>40</v>
      </c>
      <c r="B2141">
        <v>2014</v>
      </c>
      <c r="C2141">
        <v>8</v>
      </c>
      <c r="D2141">
        <v>23600</v>
      </c>
      <c r="E2141">
        <v>546</v>
      </c>
      <c r="F2141">
        <v>55052.57</v>
      </c>
      <c r="G2141">
        <v>16505.490000000002</v>
      </c>
      <c r="H2141" t="str">
        <f>VLOOKUP(myynnit[[#This Row],[TuoteID]],ohjaus!$A$4:$B$20,2,FALSE)</f>
        <v>Pinnatuoli</v>
      </c>
    </row>
    <row r="2142" spans="1:8" x14ac:dyDescent="0.35">
      <c r="A2142" t="s">
        <v>40</v>
      </c>
      <c r="B2142">
        <v>2014</v>
      </c>
      <c r="C2142">
        <v>8</v>
      </c>
      <c r="D2142">
        <v>23756</v>
      </c>
      <c r="E2142">
        <v>44</v>
      </c>
      <c r="F2142">
        <v>6507.26</v>
      </c>
      <c r="G2142">
        <v>3167.42</v>
      </c>
      <c r="H2142" t="str">
        <f>VLOOKUP(myynnit[[#This Row],[TuoteID]],ohjaus!$A$4:$B$20,2,FALSE)</f>
        <v>Pianotuoli</v>
      </c>
    </row>
    <row r="2143" spans="1:8" x14ac:dyDescent="0.35">
      <c r="A2143" t="s">
        <v>40</v>
      </c>
      <c r="B2143">
        <v>2014</v>
      </c>
      <c r="C2143">
        <v>8</v>
      </c>
      <c r="D2143">
        <v>24326</v>
      </c>
      <c r="E2143">
        <v>25</v>
      </c>
      <c r="F2143">
        <v>3506.71</v>
      </c>
      <c r="G2143">
        <v>1089.9100000000001</v>
      </c>
      <c r="H2143" t="str">
        <f>VLOOKUP(myynnit[[#This Row],[TuoteID]],ohjaus!$A$4:$B$20,2,FALSE)</f>
        <v>Lepotuoli</v>
      </c>
    </row>
    <row r="2144" spans="1:8" x14ac:dyDescent="0.35">
      <c r="A2144" t="s">
        <v>39</v>
      </c>
      <c r="B2144">
        <v>2014</v>
      </c>
      <c r="C2144">
        <v>8</v>
      </c>
      <c r="D2144">
        <v>12184</v>
      </c>
      <c r="E2144">
        <v>114</v>
      </c>
      <c r="F2144">
        <v>16532.98</v>
      </c>
      <c r="G2144">
        <v>11900.84</v>
      </c>
      <c r="H2144" t="str">
        <f>VLOOKUP(myynnit[[#This Row],[TuoteID]],ohjaus!$A$4:$B$20,2,FALSE)</f>
        <v>Rahi</v>
      </c>
    </row>
    <row r="2145" spans="1:8" x14ac:dyDescent="0.35">
      <c r="A2145" t="s">
        <v>39</v>
      </c>
      <c r="B2145">
        <v>2014</v>
      </c>
      <c r="C2145">
        <v>8</v>
      </c>
      <c r="D2145">
        <v>12622</v>
      </c>
      <c r="E2145">
        <v>57</v>
      </c>
      <c r="F2145">
        <v>13264.5</v>
      </c>
      <c r="G2145">
        <v>8657.8799999999992</v>
      </c>
      <c r="H2145" t="str">
        <f>VLOOKUP(myynnit[[#This Row],[TuoteID]],ohjaus!$A$4:$B$20,2,FALSE)</f>
        <v>Pianotuoli</v>
      </c>
    </row>
    <row r="2146" spans="1:8" x14ac:dyDescent="0.35">
      <c r="A2146" t="s">
        <v>39</v>
      </c>
      <c r="B2146">
        <v>2014</v>
      </c>
      <c r="C2146">
        <v>8</v>
      </c>
      <c r="D2146">
        <v>13527</v>
      </c>
      <c r="E2146">
        <v>406</v>
      </c>
      <c r="F2146">
        <v>72162.95</v>
      </c>
      <c r="G2146">
        <v>15278.16</v>
      </c>
      <c r="H2146" t="str">
        <f>VLOOKUP(myynnit[[#This Row],[TuoteID]],ohjaus!$A$4:$B$20,2,FALSE)</f>
        <v>Pinnatuoli</v>
      </c>
    </row>
    <row r="2147" spans="1:8" x14ac:dyDescent="0.35">
      <c r="A2147" t="s">
        <v>39</v>
      </c>
      <c r="B2147">
        <v>2014</v>
      </c>
      <c r="C2147">
        <v>8</v>
      </c>
      <c r="D2147">
        <v>13618</v>
      </c>
      <c r="E2147">
        <v>11</v>
      </c>
      <c r="F2147">
        <v>3689.99</v>
      </c>
      <c r="G2147">
        <v>1994.14</v>
      </c>
      <c r="H2147" t="str">
        <f>VLOOKUP(myynnit[[#This Row],[TuoteID]],ohjaus!$A$4:$B$20,2,FALSE)</f>
        <v>Pianotuoli</v>
      </c>
    </row>
    <row r="2148" spans="1:8" x14ac:dyDescent="0.35">
      <c r="A2148" t="s">
        <v>39</v>
      </c>
      <c r="B2148">
        <v>2014</v>
      </c>
      <c r="C2148">
        <v>8</v>
      </c>
      <c r="D2148">
        <v>16024</v>
      </c>
      <c r="E2148">
        <v>328</v>
      </c>
      <c r="F2148">
        <v>131185.88</v>
      </c>
      <c r="G2148">
        <v>38160.14</v>
      </c>
      <c r="H2148" t="str">
        <f>VLOOKUP(myynnit[[#This Row],[TuoteID]],ohjaus!$A$4:$B$20,2,FALSE)</f>
        <v>Työtuoli</v>
      </c>
    </row>
    <row r="2149" spans="1:8" x14ac:dyDescent="0.35">
      <c r="A2149" t="s">
        <v>39</v>
      </c>
      <c r="B2149">
        <v>2014</v>
      </c>
      <c r="C2149">
        <v>8</v>
      </c>
      <c r="D2149">
        <v>16650</v>
      </c>
      <c r="E2149">
        <v>49</v>
      </c>
      <c r="F2149">
        <v>6808.95</v>
      </c>
      <c r="G2149">
        <v>5269.26</v>
      </c>
      <c r="H2149" t="str">
        <f>VLOOKUP(myynnit[[#This Row],[TuoteID]],ohjaus!$A$4:$B$20,2,FALSE)</f>
        <v>Rahi</v>
      </c>
    </row>
    <row r="2150" spans="1:8" x14ac:dyDescent="0.35">
      <c r="A2150" t="s">
        <v>39</v>
      </c>
      <c r="B2150">
        <v>2014</v>
      </c>
      <c r="C2150">
        <v>8</v>
      </c>
      <c r="D2150">
        <v>17892</v>
      </c>
      <c r="E2150">
        <v>57</v>
      </c>
      <c r="F2150">
        <v>8603.44</v>
      </c>
      <c r="G2150">
        <v>2453.9</v>
      </c>
      <c r="H2150" t="str">
        <f>VLOOKUP(myynnit[[#This Row],[TuoteID]],ohjaus!$A$4:$B$20,2,FALSE)</f>
        <v>Lepotuoli</v>
      </c>
    </row>
    <row r="2151" spans="1:8" x14ac:dyDescent="0.35">
      <c r="A2151" t="s">
        <v>39</v>
      </c>
      <c r="B2151">
        <v>2014</v>
      </c>
      <c r="C2151">
        <v>8</v>
      </c>
      <c r="D2151">
        <v>18342</v>
      </c>
      <c r="E2151">
        <v>119</v>
      </c>
      <c r="F2151">
        <v>96129.06</v>
      </c>
      <c r="G2151">
        <v>25003.86</v>
      </c>
      <c r="H2151" t="str">
        <f>VLOOKUP(myynnit[[#This Row],[TuoteID]],ohjaus!$A$4:$B$20,2,FALSE)</f>
        <v>Työtuoli</v>
      </c>
    </row>
    <row r="2152" spans="1:8" x14ac:dyDescent="0.35">
      <c r="A2152" t="s">
        <v>39</v>
      </c>
      <c r="B2152">
        <v>2014</v>
      </c>
      <c r="C2152">
        <v>8</v>
      </c>
      <c r="D2152">
        <v>20177</v>
      </c>
      <c r="E2152">
        <v>45</v>
      </c>
      <c r="F2152">
        <v>5301.18</v>
      </c>
      <c r="G2152">
        <v>2434.4</v>
      </c>
      <c r="H2152" t="str">
        <f>VLOOKUP(myynnit[[#This Row],[TuoteID]],ohjaus!$A$4:$B$20,2,FALSE)</f>
        <v>Säkkituoli</v>
      </c>
    </row>
    <row r="2153" spans="1:8" x14ac:dyDescent="0.35">
      <c r="A2153" t="s">
        <v>39</v>
      </c>
      <c r="B2153">
        <v>2014</v>
      </c>
      <c r="C2153">
        <v>8</v>
      </c>
      <c r="D2153">
        <v>21179</v>
      </c>
      <c r="E2153">
        <v>25</v>
      </c>
      <c r="F2153">
        <v>3448</v>
      </c>
      <c r="G2153">
        <v>2015.25</v>
      </c>
      <c r="H2153" t="str">
        <f>VLOOKUP(myynnit[[#This Row],[TuoteID]],ohjaus!$A$4:$B$20,2,FALSE)</f>
        <v>Rahi</v>
      </c>
    </row>
    <row r="2154" spans="1:8" x14ac:dyDescent="0.35">
      <c r="A2154" t="s">
        <v>39</v>
      </c>
      <c r="B2154">
        <v>2014</v>
      </c>
      <c r="C2154">
        <v>8</v>
      </c>
      <c r="D2154">
        <v>21260</v>
      </c>
      <c r="E2154">
        <v>71</v>
      </c>
      <c r="F2154">
        <v>12220.46</v>
      </c>
      <c r="G2154">
        <v>4324.53</v>
      </c>
      <c r="H2154" t="str">
        <f>VLOOKUP(myynnit[[#This Row],[TuoteID]],ohjaus!$A$4:$B$20,2,FALSE)</f>
        <v>Lepotuoli</v>
      </c>
    </row>
    <row r="2155" spans="1:8" x14ac:dyDescent="0.35">
      <c r="A2155" t="s">
        <v>39</v>
      </c>
      <c r="B2155">
        <v>2014</v>
      </c>
      <c r="C2155">
        <v>8</v>
      </c>
      <c r="D2155">
        <v>22317</v>
      </c>
      <c r="E2155">
        <v>49</v>
      </c>
      <c r="F2155">
        <v>5073.32</v>
      </c>
      <c r="G2155">
        <v>2163.29</v>
      </c>
      <c r="H2155" t="str">
        <f>VLOOKUP(myynnit[[#This Row],[TuoteID]],ohjaus!$A$4:$B$20,2,FALSE)</f>
        <v>Säkkituoli</v>
      </c>
    </row>
    <row r="2156" spans="1:8" x14ac:dyDescent="0.35">
      <c r="A2156" t="s">
        <v>39</v>
      </c>
      <c r="B2156">
        <v>2014</v>
      </c>
      <c r="C2156">
        <v>8</v>
      </c>
      <c r="D2156">
        <v>22940</v>
      </c>
      <c r="E2156">
        <v>418</v>
      </c>
      <c r="F2156">
        <v>53486.04</v>
      </c>
      <c r="G2156">
        <v>12320.08</v>
      </c>
      <c r="H2156" t="str">
        <f>VLOOKUP(myynnit[[#This Row],[TuoteID]],ohjaus!$A$4:$B$20,2,FALSE)</f>
        <v>Pinnatuoli</v>
      </c>
    </row>
    <row r="2157" spans="1:8" x14ac:dyDescent="0.35">
      <c r="A2157" t="s">
        <v>39</v>
      </c>
      <c r="B2157">
        <v>2014</v>
      </c>
      <c r="C2157">
        <v>8</v>
      </c>
      <c r="D2157">
        <v>23178</v>
      </c>
      <c r="E2157">
        <v>238</v>
      </c>
      <c r="F2157">
        <v>46029.78</v>
      </c>
      <c r="G2157">
        <v>10726.17</v>
      </c>
      <c r="H2157" t="str">
        <f>VLOOKUP(myynnit[[#This Row],[TuoteID]],ohjaus!$A$4:$B$20,2,FALSE)</f>
        <v>Pinnatuoli</v>
      </c>
    </row>
    <row r="2158" spans="1:8" x14ac:dyDescent="0.35">
      <c r="A2158" t="s">
        <v>39</v>
      </c>
      <c r="B2158">
        <v>2014</v>
      </c>
      <c r="C2158">
        <v>8</v>
      </c>
      <c r="D2158">
        <v>23600</v>
      </c>
      <c r="E2158">
        <v>1199</v>
      </c>
      <c r="F2158">
        <v>131591.75</v>
      </c>
      <c r="G2158">
        <v>43054.239999999998</v>
      </c>
      <c r="H2158" t="str">
        <f>VLOOKUP(myynnit[[#This Row],[TuoteID]],ohjaus!$A$4:$B$20,2,FALSE)</f>
        <v>Pinnatuoli</v>
      </c>
    </row>
    <row r="2159" spans="1:8" x14ac:dyDescent="0.35">
      <c r="A2159" t="s">
        <v>39</v>
      </c>
      <c r="B2159">
        <v>2014</v>
      </c>
      <c r="C2159">
        <v>8</v>
      </c>
      <c r="D2159">
        <v>23756</v>
      </c>
      <c r="E2159">
        <v>105</v>
      </c>
      <c r="F2159">
        <v>20390.39</v>
      </c>
      <c r="G2159">
        <v>12603.68</v>
      </c>
      <c r="H2159" t="str">
        <f>VLOOKUP(myynnit[[#This Row],[TuoteID]],ohjaus!$A$4:$B$20,2,FALSE)</f>
        <v>Pianotuoli</v>
      </c>
    </row>
    <row r="2160" spans="1:8" x14ac:dyDescent="0.35">
      <c r="A2160" t="s">
        <v>39</v>
      </c>
      <c r="B2160">
        <v>2014</v>
      </c>
      <c r="C2160">
        <v>8</v>
      </c>
      <c r="D2160">
        <v>24326</v>
      </c>
      <c r="E2160">
        <v>99</v>
      </c>
      <c r="F2160">
        <v>12723.37</v>
      </c>
      <c r="G2160">
        <v>4470.21</v>
      </c>
      <c r="H2160" t="str">
        <f>VLOOKUP(myynnit[[#This Row],[TuoteID]],ohjaus!$A$4:$B$20,2,FALSE)</f>
        <v>Lepotuoli</v>
      </c>
    </row>
    <row r="2161" spans="1:8" x14ac:dyDescent="0.35">
      <c r="A2161" t="s">
        <v>38</v>
      </c>
      <c r="B2161">
        <v>2014</v>
      </c>
      <c r="C2161">
        <v>8</v>
      </c>
      <c r="D2161">
        <v>12184</v>
      </c>
      <c r="E2161">
        <v>44</v>
      </c>
      <c r="F2161">
        <v>6280.94</v>
      </c>
      <c r="G2161">
        <v>3144</v>
      </c>
      <c r="H2161" t="str">
        <f>VLOOKUP(myynnit[[#This Row],[TuoteID]],ohjaus!$A$4:$B$20,2,FALSE)</f>
        <v>Rahi</v>
      </c>
    </row>
    <row r="2162" spans="1:8" x14ac:dyDescent="0.35">
      <c r="A2162" t="s">
        <v>38</v>
      </c>
      <c r="B2162">
        <v>2014</v>
      </c>
      <c r="C2162">
        <v>8</v>
      </c>
      <c r="D2162">
        <v>12622</v>
      </c>
      <c r="E2162">
        <v>54</v>
      </c>
      <c r="F2162">
        <v>12759.19</v>
      </c>
      <c r="G2162">
        <v>5819.93</v>
      </c>
      <c r="H2162" t="str">
        <f>VLOOKUP(myynnit[[#This Row],[TuoteID]],ohjaus!$A$4:$B$20,2,FALSE)</f>
        <v>Pianotuoli</v>
      </c>
    </row>
    <row r="2163" spans="1:8" x14ac:dyDescent="0.35">
      <c r="A2163" t="s">
        <v>38</v>
      </c>
      <c r="B2163">
        <v>2014</v>
      </c>
      <c r="C2163">
        <v>8</v>
      </c>
      <c r="D2163">
        <v>13527</v>
      </c>
      <c r="E2163">
        <v>310</v>
      </c>
      <c r="F2163">
        <v>51899.32</v>
      </c>
      <c r="G2163">
        <v>9763.5300000000007</v>
      </c>
      <c r="H2163" t="str">
        <f>VLOOKUP(myynnit[[#This Row],[TuoteID]],ohjaus!$A$4:$B$20,2,FALSE)</f>
        <v>Pinnatuoli</v>
      </c>
    </row>
    <row r="2164" spans="1:8" x14ac:dyDescent="0.35">
      <c r="A2164" t="s">
        <v>38</v>
      </c>
      <c r="B2164">
        <v>2014</v>
      </c>
      <c r="C2164">
        <v>8</v>
      </c>
      <c r="D2164">
        <v>13618</v>
      </c>
      <c r="E2164">
        <v>18</v>
      </c>
      <c r="F2164">
        <v>6291.8</v>
      </c>
      <c r="G2164">
        <v>2982.07</v>
      </c>
      <c r="H2164" t="str">
        <f>VLOOKUP(myynnit[[#This Row],[TuoteID]],ohjaus!$A$4:$B$20,2,FALSE)</f>
        <v>Pianotuoli</v>
      </c>
    </row>
    <row r="2165" spans="1:8" x14ac:dyDescent="0.35">
      <c r="A2165" t="s">
        <v>38</v>
      </c>
      <c r="B2165">
        <v>2014</v>
      </c>
      <c r="C2165">
        <v>8</v>
      </c>
      <c r="D2165">
        <v>16024</v>
      </c>
      <c r="E2165">
        <v>169</v>
      </c>
      <c r="F2165">
        <v>78781.67</v>
      </c>
      <c r="G2165">
        <v>19717</v>
      </c>
      <c r="H2165" t="str">
        <f>VLOOKUP(myynnit[[#This Row],[TuoteID]],ohjaus!$A$4:$B$20,2,FALSE)</f>
        <v>Työtuoli</v>
      </c>
    </row>
    <row r="2166" spans="1:8" x14ac:dyDescent="0.35">
      <c r="A2166" t="s">
        <v>38</v>
      </c>
      <c r="B2166">
        <v>2014</v>
      </c>
      <c r="C2166">
        <v>8</v>
      </c>
      <c r="D2166">
        <v>16650</v>
      </c>
      <c r="E2166">
        <v>45</v>
      </c>
      <c r="F2166">
        <v>5632.41</v>
      </c>
      <c r="G2166">
        <v>3003.17</v>
      </c>
      <c r="H2166" t="str">
        <f>VLOOKUP(myynnit[[#This Row],[TuoteID]],ohjaus!$A$4:$B$20,2,FALSE)</f>
        <v>Rahi</v>
      </c>
    </row>
    <row r="2167" spans="1:8" x14ac:dyDescent="0.35">
      <c r="A2167" t="s">
        <v>38</v>
      </c>
      <c r="B2167">
        <v>2014</v>
      </c>
      <c r="C2167">
        <v>8</v>
      </c>
      <c r="D2167">
        <v>17892</v>
      </c>
      <c r="E2167">
        <v>41</v>
      </c>
      <c r="F2167">
        <v>5524.49</v>
      </c>
      <c r="G2167">
        <v>1235.21</v>
      </c>
      <c r="H2167" t="str">
        <f>VLOOKUP(myynnit[[#This Row],[TuoteID]],ohjaus!$A$4:$B$20,2,FALSE)</f>
        <v>Lepotuoli</v>
      </c>
    </row>
    <row r="2168" spans="1:8" x14ac:dyDescent="0.35">
      <c r="A2168" t="s">
        <v>38</v>
      </c>
      <c r="B2168">
        <v>2014</v>
      </c>
      <c r="C2168">
        <v>8</v>
      </c>
      <c r="D2168">
        <v>18342</v>
      </c>
      <c r="E2168">
        <v>193</v>
      </c>
      <c r="F2168">
        <v>175581.92</v>
      </c>
      <c r="G2168">
        <v>42136.86</v>
      </c>
      <c r="H2168" t="str">
        <f>VLOOKUP(myynnit[[#This Row],[TuoteID]],ohjaus!$A$4:$B$20,2,FALSE)</f>
        <v>Työtuoli</v>
      </c>
    </row>
    <row r="2169" spans="1:8" x14ac:dyDescent="0.35">
      <c r="A2169" t="s">
        <v>38</v>
      </c>
      <c r="B2169">
        <v>2014</v>
      </c>
      <c r="C2169">
        <v>8</v>
      </c>
      <c r="D2169">
        <v>20177</v>
      </c>
      <c r="E2169">
        <v>95</v>
      </c>
      <c r="F2169">
        <v>8594.18</v>
      </c>
      <c r="G2169">
        <v>3543.9</v>
      </c>
      <c r="H2169" t="str">
        <f>VLOOKUP(myynnit[[#This Row],[TuoteID]],ohjaus!$A$4:$B$20,2,FALSE)</f>
        <v>Säkkituoli</v>
      </c>
    </row>
    <row r="2170" spans="1:8" x14ac:dyDescent="0.35">
      <c r="A2170" t="s">
        <v>38</v>
      </c>
      <c r="B2170">
        <v>2014</v>
      </c>
      <c r="C2170">
        <v>8</v>
      </c>
      <c r="D2170">
        <v>21179</v>
      </c>
      <c r="E2170">
        <v>55</v>
      </c>
      <c r="F2170">
        <v>7486.95</v>
      </c>
      <c r="G2170">
        <v>4618.92</v>
      </c>
      <c r="H2170" t="str">
        <f>VLOOKUP(myynnit[[#This Row],[TuoteID]],ohjaus!$A$4:$B$20,2,FALSE)</f>
        <v>Rahi</v>
      </c>
    </row>
    <row r="2171" spans="1:8" x14ac:dyDescent="0.35">
      <c r="A2171" t="s">
        <v>38</v>
      </c>
      <c r="B2171">
        <v>2014</v>
      </c>
      <c r="C2171">
        <v>8</v>
      </c>
      <c r="D2171">
        <v>21260</v>
      </c>
      <c r="E2171">
        <v>51</v>
      </c>
      <c r="F2171">
        <v>10398.66</v>
      </c>
      <c r="G2171">
        <v>2570.66</v>
      </c>
      <c r="H2171" t="str">
        <f>VLOOKUP(myynnit[[#This Row],[TuoteID]],ohjaus!$A$4:$B$20,2,FALSE)</f>
        <v>Lepotuoli</v>
      </c>
    </row>
    <row r="2172" spans="1:8" x14ac:dyDescent="0.35">
      <c r="A2172" t="s">
        <v>38</v>
      </c>
      <c r="B2172">
        <v>2014</v>
      </c>
      <c r="C2172">
        <v>8</v>
      </c>
      <c r="D2172">
        <v>22317</v>
      </c>
      <c r="E2172">
        <v>45</v>
      </c>
      <c r="F2172">
        <v>3869.72</v>
      </c>
      <c r="G2172">
        <v>1634.62</v>
      </c>
      <c r="H2172" t="str">
        <f>VLOOKUP(myynnit[[#This Row],[TuoteID]],ohjaus!$A$4:$B$20,2,FALSE)</f>
        <v>Säkkituoli</v>
      </c>
    </row>
    <row r="2173" spans="1:8" x14ac:dyDescent="0.35">
      <c r="A2173" t="s">
        <v>38</v>
      </c>
      <c r="B2173">
        <v>2014</v>
      </c>
      <c r="C2173">
        <v>8</v>
      </c>
      <c r="D2173">
        <v>22940</v>
      </c>
      <c r="E2173">
        <v>555</v>
      </c>
      <c r="F2173">
        <v>71805.62</v>
      </c>
      <c r="G2173">
        <v>15971.5</v>
      </c>
      <c r="H2173" t="str">
        <f>VLOOKUP(myynnit[[#This Row],[TuoteID]],ohjaus!$A$4:$B$20,2,FALSE)</f>
        <v>Pinnatuoli</v>
      </c>
    </row>
    <row r="2174" spans="1:8" x14ac:dyDescent="0.35">
      <c r="A2174" t="s">
        <v>38</v>
      </c>
      <c r="B2174">
        <v>2014</v>
      </c>
      <c r="C2174">
        <v>8</v>
      </c>
      <c r="D2174">
        <v>23178</v>
      </c>
      <c r="E2174">
        <v>218</v>
      </c>
      <c r="F2174">
        <v>36757.21</v>
      </c>
      <c r="G2174">
        <v>7766.67</v>
      </c>
      <c r="H2174" t="str">
        <f>VLOOKUP(myynnit[[#This Row],[TuoteID]],ohjaus!$A$4:$B$20,2,FALSE)</f>
        <v>Pinnatuoli</v>
      </c>
    </row>
    <row r="2175" spans="1:8" x14ac:dyDescent="0.35">
      <c r="A2175" t="s">
        <v>38</v>
      </c>
      <c r="B2175">
        <v>2014</v>
      </c>
      <c r="C2175">
        <v>8</v>
      </c>
      <c r="D2175">
        <v>23600</v>
      </c>
      <c r="E2175">
        <v>602</v>
      </c>
      <c r="F2175">
        <v>62812.21</v>
      </c>
      <c r="G2175">
        <v>15068.57</v>
      </c>
      <c r="H2175" t="str">
        <f>VLOOKUP(myynnit[[#This Row],[TuoteID]],ohjaus!$A$4:$B$20,2,FALSE)</f>
        <v>Pinnatuoli</v>
      </c>
    </row>
    <row r="2176" spans="1:8" x14ac:dyDescent="0.35">
      <c r="A2176" t="s">
        <v>38</v>
      </c>
      <c r="B2176">
        <v>2014</v>
      </c>
      <c r="C2176">
        <v>8</v>
      </c>
      <c r="D2176">
        <v>23756</v>
      </c>
      <c r="E2176">
        <v>109</v>
      </c>
      <c r="F2176">
        <v>21002.04</v>
      </c>
      <c r="G2176">
        <v>9821.61</v>
      </c>
      <c r="H2176" t="str">
        <f>VLOOKUP(myynnit[[#This Row],[TuoteID]],ohjaus!$A$4:$B$20,2,FALSE)</f>
        <v>Pianotuoli</v>
      </c>
    </row>
    <row r="2177" spans="1:8" x14ac:dyDescent="0.35">
      <c r="A2177" t="s">
        <v>38</v>
      </c>
      <c r="B2177">
        <v>2014</v>
      </c>
      <c r="C2177">
        <v>8</v>
      </c>
      <c r="D2177">
        <v>24326</v>
      </c>
      <c r="E2177">
        <v>83</v>
      </c>
      <c r="F2177">
        <v>12634.38</v>
      </c>
      <c r="G2177">
        <v>3104.08</v>
      </c>
      <c r="H2177" t="str">
        <f>VLOOKUP(myynnit[[#This Row],[TuoteID]],ohjaus!$A$4:$B$20,2,FALSE)</f>
        <v>Lepotuoli</v>
      </c>
    </row>
    <row r="2178" spans="1:8" x14ac:dyDescent="0.35">
      <c r="A2178" t="s">
        <v>37</v>
      </c>
      <c r="B2178">
        <v>2014</v>
      </c>
      <c r="C2178">
        <v>9</v>
      </c>
      <c r="D2178">
        <v>12184</v>
      </c>
      <c r="E2178">
        <v>52</v>
      </c>
      <c r="F2178">
        <v>5384.34</v>
      </c>
      <c r="G2178">
        <v>2821.64</v>
      </c>
      <c r="H2178" t="str">
        <f>VLOOKUP(myynnit[[#This Row],[TuoteID]],ohjaus!$A$4:$B$20,2,FALSE)</f>
        <v>Rahi</v>
      </c>
    </row>
    <row r="2179" spans="1:8" x14ac:dyDescent="0.35">
      <c r="A2179" t="s">
        <v>37</v>
      </c>
      <c r="B2179">
        <v>2014</v>
      </c>
      <c r="C2179">
        <v>9</v>
      </c>
      <c r="D2179">
        <v>12622</v>
      </c>
      <c r="E2179">
        <v>64</v>
      </c>
      <c r="F2179">
        <v>15004.75</v>
      </c>
      <c r="G2179">
        <v>6522.7</v>
      </c>
      <c r="H2179" t="str">
        <f>VLOOKUP(myynnit[[#This Row],[TuoteID]],ohjaus!$A$4:$B$20,2,FALSE)</f>
        <v>Pianotuoli</v>
      </c>
    </row>
    <row r="2180" spans="1:8" x14ac:dyDescent="0.35">
      <c r="A2180" t="s">
        <v>37</v>
      </c>
      <c r="B2180">
        <v>2014</v>
      </c>
      <c r="C2180">
        <v>9</v>
      </c>
      <c r="D2180">
        <v>13527</v>
      </c>
      <c r="E2180">
        <v>694</v>
      </c>
      <c r="F2180">
        <v>109778.11</v>
      </c>
      <c r="G2180">
        <v>22733.78</v>
      </c>
      <c r="H2180" t="str">
        <f>VLOOKUP(myynnit[[#This Row],[TuoteID]],ohjaus!$A$4:$B$20,2,FALSE)</f>
        <v>Pinnatuoli</v>
      </c>
    </row>
    <row r="2181" spans="1:8" x14ac:dyDescent="0.35">
      <c r="A2181" t="s">
        <v>37</v>
      </c>
      <c r="B2181">
        <v>2014</v>
      </c>
      <c r="C2181">
        <v>9</v>
      </c>
      <c r="D2181">
        <v>13618</v>
      </c>
      <c r="E2181">
        <v>25</v>
      </c>
      <c r="F2181">
        <v>8284.58</v>
      </c>
      <c r="G2181">
        <v>3701.22</v>
      </c>
      <c r="H2181" t="str">
        <f>VLOOKUP(myynnit[[#This Row],[TuoteID]],ohjaus!$A$4:$B$20,2,FALSE)</f>
        <v>Pianotuoli</v>
      </c>
    </row>
    <row r="2182" spans="1:8" x14ac:dyDescent="0.35">
      <c r="A2182" t="s">
        <v>37</v>
      </c>
      <c r="B2182">
        <v>2014</v>
      </c>
      <c r="C2182">
        <v>9</v>
      </c>
      <c r="D2182">
        <v>16024</v>
      </c>
      <c r="E2182">
        <v>197</v>
      </c>
      <c r="F2182">
        <v>90835.12</v>
      </c>
      <c r="G2182">
        <v>28481.35</v>
      </c>
      <c r="H2182" t="str">
        <f>VLOOKUP(myynnit[[#This Row],[TuoteID]],ohjaus!$A$4:$B$20,2,FALSE)</f>
        <v>Työtuoli</v>
      </c>
    </row>
    <row r="2183" spans="1:8" x14ac:dyDescent="0.35">
      <c r="A2183" t="s">
        <v>37</v>
      </c>
      <c r="B2183">
        <v>2014</v>
      </c>
      <c r="C2183">
        <v>9</v>
      </c>
      <c r="D2183">
        <v>16650</v>
      </c>
      <c r="E2183">
        <v>72</v>
      </c>
      <c r="F2183">
        <v>11795.61</v>
      </c>
      <c r="G2183">
        <v>6248.67</v>
      </c>
      <c r="H2183" t="str">
        <f>VLOOKUP(myynnit[[#This Row],[TuoteID]],ohjaus!$A$4:$B$20,2,FALSE)</f>
        <v>Rahi</v>
      </c>
    </row>
    <row r="2184" spans="1:8" x14ac:dyDescent="0.35">
      <c r="A2184" t="s">
        <v>37</v>
      </c>
      <c r="B2184">
        <v>2014</v>
      </c>
      <c r="C2184">
        <v>9</v>
      </c>
      <c r="D2184">
        <v>17892</v>
      </c>
      <c r="E2184">
        <v>128</v>
      </c>
      <c r="F2184">
        <v>17463.060000000001</v>
      </c>
      <c r="G2184">
        <v>4581.41</v>
      </c>
      <c r="H2184" t="str">
        <f>VLOOKUP(myynnit[[#This Row],[TuoteID]],ohjaus!$A$4:$B$20,2,FALSE)</f>
        <v>Lepotuoli</v>
      </c>
    </row>
    <row r="2185" spans="1:8" x14ac:dyDescent="0.35">
      <c r="A2185" t="s">
        <v>37</v>
      </c>
      <c r="B2185">
        <v>2014</v>
      </c>
      <c r="C2185">
        <v>9</v>
      </c>
      <c r="D2185">
        <v>18342</v>
      </c>
      <c r="E2185">
        <v>111</v>
      </c>
      <c r="F2185">
        <v>82133.789999999994</v>
      </c>
      <c r="G2185">
        <v>20718.509999999998</v>
      </c>
      <c r="H2185" t="str">
        <f>VLOOKUP(myynnit[[#This Row],[TuoteID]],ohjaus!$A$4:$B$20,2,FALSE)</f>
        <v>Työtuoli</v>
      </c>
    </row>
    <row r="2186" spans="1:8" x14ac:dyDescent="0.35">
      <c r="A2186" t="s">
        <v>37</v>
      </c>
      <c r="B2186">
        <v>2014</v>
      </c>
      <c r="C2186">
        <v>9</v>
      </c>
      <c r="D2186">
        <v>20177</v>
      </c>
      <c r="E2186">
        <v>119</v>
      </c>
      <c r="F2186">
        <v>13441.11</v>
      </c>
      <c r="G2186">
        <v>5355.54</v>
      </c>
      <c r="H2186" t="str">
        <f>VLOOKUP(myynnit[[#This Row],[TuoteID]],ohjaus!$A$4:$B$20,2,FALSE)</f>
        <v>Säkkituoli</v>
      </c>
    </row>
    <row r="2187" spans="1:8" x14ac:dyDescent="0.35">
      <c r="A2187" t="s">
        <v>37</v>
      </c>
      <c r="B2187">
        <v>2014</v>
      </c>
      <c r="C2187">
        <v>9</v>
      </c>
      <c r="D2187">
        <v>21179</v>
      </c>
      <c r="E2187">
        <v>35</v>
      </c>
      <c r="F2187">
        <v>3857.95</v>
      </c>
      <c r="G2187">
        <v>1661.24</v>
      </c>
      <c r="H2187" t="str">
        <f>VLOOKUP(myynnit[[#This Row],[TuoteID]],ohjaus!$A$4:$B$20,2,FALSE)</f>
        <v>Rahi</v>
      </c>
    </row>
    <row r="2188" spans="1:8" x14ac:dyDescent="0.35">
      <c r="A2188" t="s">
        <v>37</v>
      </c>
      <c r="B2188">
        <v>2014</v>
      </c>
      <c r="C2188">
        <v>9</v>
      </c>
      <c r="D2188">
        <v>21260</v>
      </c>
      <c r="E2188">
        <v>51</v>
      </c>
      <c r="F2188">
        <v>9120.39</v>
      </c>
      <c r="G2188">
        <v>2225.1</v>
      </c>
      <c r="H2188" t="str">
        <f>VLOOKUP(myynnit[[#This Row],[TuoteID]],ohjaus!$A$4:$B$20,2,FALSE)</f>
        <v>Lepotuoli</v>
      </c>
    </row>
    <row r="2189" spans="1:8" x14ac:dyDescent="0.35">
      <c r="A2189" t="s">
        <v>37</v>
      </c>
      <c r="B2189">
        <v>2014</v>
      </c>
      <c r="C2189">
        <v>9</v>
      </c>
      <c r="D2189">
        <v>22317</v>
      </c>
      <c r="E2189">
        <v>101</v>
      </c>
      <c r="F2189">
        <v>7546.84</v>
      </c>
      <c r="G2189">
        <v>3073.87</v>
      </c>
      <c r="H2189" t="str">
        <f>VLOOKUP(myynnit[[#This Row],[TuoteID]],ohjaus!$A$4:$B$20,2,FALSE)</f>
        <v>Säkkituoli</v>
      </c>
    </row>
    <row r="2190" spans="1:8" x14ac:dyDescent="0.35">
      <c r="A2190" t="s">
        <v>37</v>
      </c>
      <c r="B2190">
        <v>2014</v>
      </c>
      <c r="C2190">
        <v>9</v>
      </c>
      <c r="D2190">
        <v>22940</v>
      </c>
      <c r="E2190">
        <v>673</v>
      </c>
      <c r="F2190">
        <v>82883.67</v>
      </c>
      <c r="G2190">
        <v>13723.52</v>
      </c>
      <c r="H2190" t="str">
        <f>VLOOKUP(myynnit[[#This Row],[TuoteID]],ohjaus!$A$4:$B$20,2,FALSE)</f>
        <v>Pinnatuoli</v>
      </c>
    </row>
    <row r="2191" spans="1:8" x14ac:dyDescent="0.35">
      <c r="A2191" t="s">
        <v>37</v>
      </c>
      <c r="B2191">
        <v>2014</v>
      </c>
      <c r="C2191">
        <v>9</v>
      </c>
      <c r="D2191">
        <v>23178</v>
      </c>
      <c r="E2191">
        <v>216</v>
      </c>
      <c r="F2191">
        <v>37937.22</v>
      </c>
      <c r="G2191">
        <v>6539.78</v>
      </c>
      <c r="H2191" t="str">
        <f>VLOOKUP(myynnit[[#This Row],[TuoteID]],ohjaus!$A$4:$B$20,2,FALSE)</f>
        <v>Pinnatuoli</v>
      </c>
    </row>
    <row r="2192" spans="1:8" x14ac:dyDescent="0.35">
      <c r="A2192" t="s">
        <v>37</v>
      </c>
      <c r="B2192">
        <v>2014</v>
      </c>
      <c r="C2192">
        <v>9</v>
      </c>
      <c r="D2192">
        <v>23600</v>
      </c>
      <c r="E2192">
        <v>514</v>
      </c>
      <c r="F2192">
        <v>57109.79</v>
      </c>
      <c r="G2192">
        <v>11553.63</v>
      </c>
      <c r="H2192" t="str">
        <f>VLOOKUP(myynnit[[#This Row],[TuoteID]],ohjaus!$A$4:$B$20,2,FALSE)</f>
        <v>Pinnatuoli</v>
      </c>
    </row>
    <row r="2193" spans="1:8" x14ac:dyDescent="0.35">
      <c r="A2193" t="s">
        <v>37</v>
      </c>
      <c r="B2193">
        <v>2014</v>
      </c>
      <c r="C2193">
        <v>9</v>
      </c>
      <c r="D2193">
        <v>23756</v>
      </c>
      <c r="E2193">
        <v>108</v>
      </c>
      <c r="F2193">
        <v>19528.97</v>
      </c>
      <c r="G2193">
        <v>9170.18</v>
      </c>
      <c r="H2193" t="str">
        <f>VLOOKUP(myynnit[[#This Row],[TuoteID]],ohjaus!$A$4:$B$20,2,FALSE)</f>
        <v>Pianotuoli</v>
      </c>
    </row>
    <row r="2194" spans="1:8" x14ac:dyDescent="0.35">
      <c r="A2194" t="s">
        <v>37</v>
      </c>
      <c r="B2194">
        <v>2014</v>
      </c>
      <c r="C2194">
        <v>9</v>
      </c>
      <c r="D2194">
        <v>24326</v>
      </c>
      <c r="E2194">
        <v>121</v>
      </c>
      <c r="F2194">
        <v>18329.759999999998</v>
      </c>
      <c r="G2194">
        <v>5267.82</v>
      </c>
      <c r="H2194" t="str">
        <f>VLOOKUP(myynnit[[#This Row],[TuoteID]],ohjaus!$A$4:$B$20,2,FALSE)</f>
        <v>Lepotuoli</v>
      </c>
    </row>
    <row r="2195" spans="1:8" x14ac:dyDescent="0.35">
      <c r="A2195" t="s">
        <v>40</v>
      </c>
      <c r="B2195">
        <v>2014</v>
      </c>
      <c r="C2195">
        <v>9</v>
      </c>
      <c r="D2195">
        <v>12184</v>
      </c>
      <c r="E2195">
        <v>15</v>
      </c>
      <c r="F2195">
        <v>1523.68</v>
      </c>
      <c r="G2195">
        <v>782.79</v>
      </c>
      <c r="H2195" t="str">
        <f>VLOOKUP(myynnit[[#This Row],[TuoteID]],ohjaus!$A$4:$B$20,2,FALSE)</f>
        <v>Rahi</v>
      </c>
    </row>
    <row r="2196" spans="1:8" x14ac:dyDescent="0.35">
      <c r="A2196" t="s">
        <v>40</v>
      </c>
      <c r="B2196">
        <v>2014</v>
      </c>
      <c r="C2196">
        <v>9</v>
      </c>
      <c r="D2196">
        <v>12622</v>
      </c>
      <c r="E2196">
        <v>10</v>
      </c>
      <c r="F2196">
        <v>2434.92</v>
      </c>
      <c r="G2196">
        <v>993.28</v>
      </c>
      <c r="H2196" t="str">
        <f>VLOOKUP(myynnit[[#This Row],[TuoteID]],ohjaus!$A$4:$B$20,2,FALSE)</f>
        <v>Pianotuoli</v>
      </c>
    </row>
    <row r="2197" spans="1:8" x14ac:dyDescent="0.35">
      <c r="A2197" t="s">
        <v>40</v>
      </c>
      <c r="B2197">
        <v>2014</v>
      </c>
      <c r="C2197">
        <v>9</v>
      </c>
      <c r="D2197">
        <v>13527</v>
      </c>
      <c r="E2197">
        <v>273</v>
      </c>
      <c r="F2197">
        <v>43161.99</v>
      </c>
      <c r="G2197">
        <v>8526.24</v>
      </c>
      <c r="H2197" t="str">
        <f>VLOOKUP(myynnit[[#This Row],[TuoteID]],ohjaus!$A$4:$B$20,2,FALSE)</f>
        <v>Pinnatuoli</v>
      </c>
    </row>
    <row r="2198" spans="1:8" x14ac:dyDescent="0.35">
      <c r="A2198" t="s">
        <v>40</v>
      </c>
      <c r="B2198">
        <v>2014</v>
      </c>
      <c r="C2198">
        <v>9</v>
      </c>
      <c r="D2198">
        <v>13618</v>
      </c>
      <c r="E2198">
        <v>6</v>
      </c>
      <c r="F2198">
        <v>2259.08</v>
      </c>
      <c r="G2198">
        <v>883.45</v>
      </c>
      <c r="H2198" t="str">
        <f>VLOOKUP(myynnit[[#This Row],[TuoteID]],ohjaus!$A$4:$B$20,2,FALSE)</f>
        <v>Pianotuoli</v>
      </c>
    </row>
    <row r="2199" spans="1:8" x14ac:dyDescent="0.35">
      <c r="A2199" t="s">
        <v>40</v>
      </c>
      <c r="B2199">
        <v>2014</v>
      </c>
      <c r="C2199">
        <v>9</v>
      </c>
      <c r="D2199">
        <v>16024</v>
      </c>
      <c r="E2199">
        <v>88</v>
      </c>
      <c r="F2199">
        <v>34337.64</v>
      </c>
      <c r="G2199">
        <v>9718.69</v>
      </c>
      <c r="H2199" t="str">
        <f>VLOOKUP(myynnit[[#This Row],[TuoteID]],ohjaus!$A$4:$B$20,2,FALSE)</f>
        <v>Työtuoli</v>
      </c>
    </row>
    <row r="2200" spans="1:8" x14ac:dyDescent="0.35">
      <c r="A2200" t="s">
        <v>40</v>
      </c>
      <c r="B2200">
        <v>2014</v>
      </c>
      <c r="C2200">
        <v>9</v>
      </c>
      <c r="D2200">
        <v>16650</v>
      </c>
      <c r="E2200">
        <v>33</v>
      </c>
      <c r="F2200">
        <v>4341.75</v>
      </c>
      <c r="G2200">
        <v>2291.25</v>
      </c>
      <c r="H2200" t="str">
        <f>VLOOKUP(myynnit[[#This Row],[TuoteID]],ohjaus!$A$4:$B$20,2,FALSE)</f>
        <v>Rahi</v>
      </c>
    </row>
    <row r="2201" spans="1:8" x14ac:dyDescent="0.35">
      <c r="A2201" t="s">
        <v>40</v>
      </c>
      <c r="B2201">
        <v>2014</v>
      </c>
      <c r="C2201">
        <v>9</v>
      </c>
      <c r="D2201">
        <v>17892</v>
      </c>
      <c r="E2201">
        <v>74</v>
      </c>
      <c r="F2201">
        <v>11155.48</v>
      </c>
      <c r="G2201">
        <v>2329.4499999999998</v>
      </c>
      <c r="H2201" t="str">
        <f>VLOOKUP(myynnit[[#This Row],[TuoteID]],ohjaus!$A$4:$B$20,2,FALSE)</f>
        <v>Lepotuoli</v>
      </c>
    </row>
    <row r="2202" spans="1:8" x14ac:dyDescent="0.35">
      <c r="A2202" t="s">
        <v>40</v>
      </c>
      <c r="B2202">
        <v>2014</v>
      </c>
      <c r="C2202">
        <v>9</v>
      </c>
      <c r="D2202">
        <v>18342</v>
      </c>
      <c r="E2202">
        <v>31</v>
      </c>
      <c r="F2202">
        <v>27796.48</v>
      </c>
      <c r="G2202">
        <v>7957.2</v>
      </c>
      <c r="H2202" t="str">
        <f>VLOOKUP(myynnit[[#This Row],[TuoteID]],ohjaus!$A$4:$B$20,2,FALSE)</f>
        <v>Työtuoli</v>
      </c>
    </row>
    <row r="2203" spans="1:8" x14ac:dyDescent="0.35">
      <c r="A2203" t="s">
        <v>40</v>
      </c>
      <c r="B2203">
        <v>2014</v>
      </c>
      <c r="C2203">
        <v>9</v>
      </c>
      <c r="D2203">
        <v>20177</v>
      </c>
      <c r="E2203">
        <v>22</v>
      </c>
      <c r="F2203">
        <v>2423.67</v>
      </c>
      <c r="G2203">
        <v>943.5</v>
      </c>
      <c r="H2203" t="str">
        <f>VLOOKUP(myynnit[[#This Row],[TuoteID]],ohjaus!$A$4:$B$20,2,FALSE)</f>
        <v>Säkkituoli</v>
      </c>
    </row>
    <row r="2204" spans="1:8" x14ac:dyDescent="0.35">
      <c r="A2204" t="s">
        <v>40</v>
      </c>
      <c r="B2204">
        <v>2014</v>
      </c>
      <c r="C2204">
        <v>9</v>
      </c>
      <c r="D2204">
        <v>21179</v>
      </c>
      <c r="E2204">
        <v>36</v>
      </c>
      <c r="F2204">
        <v>3933.14</v>
      </c>
      <c r="G2204">
        <v>2408.7399999999998</v>
      </c>
      <c r="H2204" t="str">
        <f>VLOOKUP(myynnit[[#This Row],[TuoteID]],ohjaus!$A$4:$B$20,2,FALSE)</f>
        <v>Rahi</v>
      </c>
    </row>
    <row r="2205" spans="1:8" x14ac:dyDescent="0.35">
      <c r="A2205" t="s">
        <v>40</v>
      </c>
      <c r="B2205">
        <v>2014</v>
      </c>
      <c r="C2205">
        <v>9</v>
      </c>
      <c r="D2205">
        <v>21260</v>
      </c>
      <c r="E2205">
        <v>42</v>
      </c>
      <c r="F2205">
        <v>7909.03</v>
      </c>
      <c r="G2205">
        <v>2095.2199999999998</v>
      </c>
      <c r="H2205" t="str">
        <f>VLOOKUP(myynnit[[#This Row],[TuoteID]],ohjaus!$A$4:$B$20,2,FALSE)</f>
        <v>Lepotuoli</v>
      </c>
    </row>
    <row r="2206" spans="1:8" x14ac:dyDescent="0.35">
      <c r="A2206" t="s">
        <v>40</v>
      </c>
      <c r="B2206">
        <v>2014</v>
      </c>
      <c r="C2206">
        <v>9</v>
      </c>
      <c r="D2206">
        <v>22317</v>
      </c>
      <c r="E2206">
        <v>18</v>
      </c>
      <c r="F2206">
        <v>1653.71</v>
      </c>
      <c r="G2206">
        <v>817.6</v>
      </c>
      <c r="H2206" t="str">
        <f>VLOOKUP(myynnit[[#This Row],[TuoteID]],ohjaus!$A$4:$B$20,2,FALSE)</f>
        <v>Säkkituoli</v>
      </c>
    </row>
    <row r="2207" spans="1:8" x14ac:dyDescent="0.35">
      <c r="A2207" t="s">
        <v>40</v>
      </c>
      <c r="B2207">
        <v>2014</v>
      </c>
      <c r="C2207">
        <v>9</v>
      </c>
      <c r="D2207">
        <v>22940</v>
      </c>
      <c r="E2207">
        <v>139</v>
      </c>
      <c r="F2207">
        <v>18266.310000000001</v>
      </c>
      <c r="G2207">
        <v>5513.91</v>
      </c>
      <c r="H2207" t="str">
        <f>VLOOKUP(myynnit[[#This Row],[TuoteID]],ohjaus!$A$4:$B$20,2,FALSE)</f>
        <v>Pinnatuoli</v>
      </c>
    </row>
    <row r="2208" spans="1:8" x14ac:dyDescent="0.35">
      <c r="A2208" t="s">
        <v>40</v>
      </c>
      <c r="B2208">
        <v>2014</v>
      </c>
      <c r="C2208">
        <v>9</v>
      </c>
      <c r="D2208">
        <v>23178</v>
      </c>
      <c r="E2208">
        <v>235</v>
      </c>
      <c r="F2208">
        <v>37729.89</v>
      </c>
      <c r="G2208">
        <v>8840.48</v>
      </c>
      <c r="H2208" t="str">
        <f>VLOOKUP(myynnit[[#This Row],[TuoteID]],ohjaus!$A$4:$B$20,2,FALSE)</f>
        <v>Pinnatuoli</v>
      </c>
    </row>
    <row r="2209" spans="1:8" x14ac:dyDescent="0.35">
      <c r="A2209" t="s">
        <v>40</v>
      </c>
      <c r="B2209">
        <v>2014</v>
      </c>
      <c r="C2209">
        <v>9</v>
      </c>
      <c r="D2209">
        <v>23600</v>
      </c>
      <c r="E2209">
        <v>269</v>
      </c>
      <c r="F2209">
        <v>33064.49</v>
      </c>
      <c r="G2209">
        <v>8192.9500000000007</v>
      </c>
      <c r="H2209" t="str">
        <f>VLOOKUP(myynnit[[#This Row],[TuoteID]],ohjaus!$A$4:$B$20,2,FALSE)</f>
        <v>Pinnatuoli</v>
      </c>
    </row>
    <row r="2210" spans="1:8" x14ac:dyDescent="0.35">
      <c r="A2210" t="s">
        <v>40</v>
      </c>
      <c r="B2210">
        <v>2014</v>
      </c>
      <c r="C2210">
        <v>9</v>
      </c>
      <c r="D2210">
        <v>23756</v>
      </c>
      <c r="E2210">
        <v>34</v>
      </c>
      <c r="F2210">
        <v>5789.21</v>
      </c>
      <c r="G2210">
        <v>2838.97</v>
      </c>
      <c r="H2210" t="str">
        <f>VLOOKUP(myynnit[[#This Row],[TuoteID]],ohjaus!$A$4:$B$20,2,FALSE)</f>
        <v>Pianotuoli</v>
      </c>
    </row>
    <row r="2211" spans="1:8" x14ac:dyDescent="0.35">
      <c r="A2211" t="s">
        <v>40</v>
      </c>
      <c r="B2211">
        <v>2014</v>
      </c>
      <c r="C2211">
        <v>9</v>
      </c>
      <c r="D2211">
        <v>24326</v>
      </c>
      <c r="E2211">
        <v>32</v>
      </c>
      <c r="F2211">
        <v>4088.04</v>
      </c>
      <c r="G2211">
        <v>1157.05</v>
      </c>
      <c r="H2211" t="str">
        <f>VLOOKUP(myynnit[[#This Row],[TuoteID]],ohjaus!$A$4:$B$20,2,FALSE)</f>
        <v>Lepotuoli</v>
      </c>
    </row>
    <row r="2212" spans="1:8" x14ac:dyDescent="0.35">
      <c r="A2212" t="s">
        <v>39</v>
      </c>
      <c r="B2212">
        <v>2014</v>
      </c>
      <c r="C2212">
        <v>9</v>
      </c>
      <c r="D2212">
        <v>12184</v>
      </c>
      <c r="E2212">
        <v>89</v>
      </c>
      <c r="F2212">
        <v>12358.11</v>
      </c>
      <c r="G2212">
        <v>9066.49</v>
      </c>
      <c r="H2212" t="str">
        <f>VLOOKUP(myynnit[[#This Row],[TuoteID]],ohjaus!$A$4:$B$20,2,FALSE)</f>
        <v>Rahi</v>
      </c>
    </row>
    <row r="2213" spans="1:8" x14ac:dyDescent="0.35">
      <c r="A2213" t="s">
        <v>39</v>
      </c>
      <c r="B2213">
        <v>2014</v>
      </c>
      <c r="C2213">
        <v>9</v>
      </c>
      <c r="D2213">
        <v>12622</v>
      </c>
      <c r="E2213">
        <v>39</v>
      </c>
      <c r="F2213">
        <v>9640.44</v>
      </c>
      <c r="G2213">
        <v>5743.56</v>
      </c>
      <c r="H2213" t="str">
        <f>VLOOKUP(myynnit[[#This Row],[TuoteID]],ohjaus!$A$4:$B$20,2,FALSE)</f>
        <v>Pianotuoli</v>
      </c>
    </row>
    <row r="2214" spans="1:8" x14ac:dyDescent="0.35">
      <c r="A2214" t="s">
        <v>39</v>
      </c>
      <c r="B2214">
        <v>2014</v>
      </c>
      <c r="C2214">
        <v>9</v>
      </c>
      <c r="D2214">
        <v>13527</v>
      </c>
      <c r="E2214">
        <v>474</v>
      </c>
      <c r="F2214">
        <v>73080.86</v>
      </c>
      <c r="G2214">
        <v>16722.02</v>
      </c>
      <c r="H2214" t="str">
        <f>VLOOKUP(myynnit[[#This Row],[TuoteID]],ohjaus!$A$4:$B$20,2,FALSE)</f>
        <v>Pinnatuoli</v>
      </c>
    </row>
    <row r="2215" spans="1:8" x14ac:dyDescent="0.35">
      <c r="A2215" t="s">
        <v>39</v>
      </c>
      <c r="B2215">
        <v>2014</v>
      </c>
      <c r="C2215">
        <v>9</v>
      </c>
      <c r="D2215">
        <v>13618</v>
      </c>
      <c r="E2215">
        <v>10</v>
      </c>
      <c r="F2215">
        <v>3930.47</v>
      </c>
      <c r="G2215">
        <v>2437.3000000000002</v>
      </c>
      <c r="H2215" t="str">
        <f>VLOOKUP(myynnit[[#This Row],[TuoteID]],ohjaus!$A$4:$B$20,2,FALSE)</f>
        <v>Pianotuoli</v>
      </c>
    </row>
    <row r="2216" spans="1:8" x14ac:dyDescent="0.35">
      <c r="A2216" t="s">
        <v>39</v>
      </c>
      <c r="B2216">
        <v>2014</v>
      </c>
      <c r="C2216">
        <v>9</v>
      </c>
      <c r="D2216">
        <v>16024</v>
      </c>
      <c r="E2216">
        <v>353</v>
      </c>
      <c r="F2216">
        <v>150277.87</v>
      </c>
      <c r="G2216">
        <v>41128.129999999997</v>
      </c>
      <c r="H2216" t="str">
        <f>VLOOKUP(myynnit[[#This Row],[TuoteID]],ohjaus!$A$4:$B$20,2,FALSE)</f>
        <v>Työtuoli</v>
      </c>
    </row>
    <row r="2217" spans="1:8" x14ac:dyDescent="0.35">
      <c r="A2217" t="s">
        <v>39</v>
      </c>
      <c r="B2217">
        <v>2014</v>
      </c>
      <c r="C2217">
        <v>9</v>
      </c>
      <c r="D2217">
        <v>16650</v>
      </c>
      <c r="E2217">
        <v>20</v>
      </c>
      <c r="F2217">
        <v>2763.03</v>
      </c>
      <c r="G2217">
        <v>1930.74</v>
      </c>
      <c r="H2217" t="str">
        <f>VLOOKUP(myynnit[[#This Row],[TuoteID]],ohjaus!$A$4:$B$20,2,FALSE)</f>
        <v>Rahi</v>
      </c>
    </row>
    <row r="2218" spans="1:8" x14ac:dyDescent="0.35">
      <c r="A2218" t="s">
        <v>39</v>
      </c>
      <c r="B2218">
        <v>2014</v>
      </c>
      <c r="C2218">
        <v>9</v>
      </c>
      <c r="D2218">
        <v>17892</v>
      </c>
      <c r="E2218">
        <v>72</v>
      </c>
      <c r="F2218">
        <v>11112.12</v>
      </c>
      <c r="G2218">
        <v>3862.56</v>
      </c>
      <c r="H2218" t="str">
        <f>VLOOKUP(myynnit[[#This Row],[TuoteID]],ohjaus!$A$4:$B$20,2,FALSE)</f>
        <v>Lepotuoli</v>
      </c>
    </row>
    <row r="2219" spans="1:8" x14ac:dyDescent="0.35">
      <c r="A2219" t="s">
        <v>39</v>
      </c>
      <c r="B2219">
        <v>2014</v>
      </c>
      <c r="C2219">
        <v>9</v>
      </c>
      <c r="D2219">
        <v>18342</v>
      </c>
      <c r="E2219">
        <v>140</v>
      </c>
      <c r="F2219">
        <v>130358.41</v>
      </c>
      <c r="G2219">
        <v>34075.18</v>
      </c>
      <c r="H2219" t="str">
        <f>VLOOKUP(myynnit[[#This Row],[TuoteID]],ohjaus!$A$4:$B$20,2,FALSE)</f>
        <v>Työtuoli</v>
      </c>
    </row>
    <row r="2220" spans="1:8" x14ac:dyDescent="0.35">
      <c r="A2220" t="s">
        <v>39</v>
      </c>
      <c r="B2220">
        <v>2014</v>
      </c>
      <c r="C2220">
        <v>9</v>
      </c>
      <c r="D2220">
        <v>20177</v>
      </c>
      <c r="E2220">
        <v>86</v>
      </c>
      <c r="F2220">
        <v>7747.34</v>
      </c>
      <c r="G2220">
        <v>3396.64</v>
      </c>
      <c r="H2220" t="str">
        <f>VLOOKUP(myynnit[[#This Row],[TuoteID]],ohjaus!$A$4:$B$20,2,FALSE)</f>
        <v>Säkkituoli</v>
      </c>
    </row>
    <row r="2221" spans="1:8" x14ac:dyDescent="0.35">
      <c r="A2221" t="s">
        <v>39</v>
      </c>
      <c r="B2221">
        <v>2014</v>
      </c>
      <c r="C2221">
        <v>9</v>
      </c>
      <c r="D2221">
        <v>21179</v>
      </c>
      <c r="E2221">
        <v>28</v>
      </c>
      <c r="F2221">
        <v>2927.1</v>
      </c>
      <c r="G2221">
        <v>1803.35</v>
      </c>
      <c r="H2221" t="str">
        <f>VLOOKUP(myynnit[[#This Row],[TuoteID]],ohjaus!$A$4:$B$20,2,FALSE)</f>
        <v>Rahi</v>
      </c>
    </row>
    <row r="2222" spans="1:8" x14ac:dyDescent="0.35">
      <c r="A2222" t="s">
        <v>39</v>
      </c>
      <c r="B2222">
        <v>2014</v>
      </c>
      <c r="C2222">
        <v>9</v>
      </c>
      <c r="D2222">
        <v>21260</v>
      </c>
      <c r="E2222">
        <v>66</v>
      </c>
      <c r="F2222">
        <v>12150.69</v>
      </c>
      <c r="G2222">
        <v>3381.68</v>
      </c>
      <c r="H2222" t="str">
        <f>VLOOKUP(myynnit[[#This Row],[TuoteID]],ohjaus!$A$4:$B$20,2,FALSE)</f>
        <v>Lepotuoli</v>
      </c>
    </row>
    <row r="2223" spans="1:8" x14ac:dyDescent="0.35">
      <c r="A2223" t="s">
        <v>39</v>
      </c>
      <c r="B2223">
        <v>2014</v>
      </c>
      <c r="C2223">
        <v>9</v>
      </c>
      <c r="D2223">
        <v>22317</v>
      </c>
      <c r="E2223">
        <v>44</v>
      </c>
      <c r="F2223">
        <v>4346.1000000000004</v>
      </c>
      <c r="G2223">
        <v>2099.06</v>
      </c>
      <c r="H2223" t="str">
        <f>VLOOKUP(myynnit[[#This Row],[TuoteID]],ohjaus!$A$4:$B$20,2,FALSE)</f>
        <v>Säkkituoli</v>
      </c>
    </row>
    <row r="2224" spans="1:8" x14ac:dyDescent="0.35">
      <c r="A2224" t="s">
        <v>39</v>
      </c>
      <c r="B2224">
        <v>2014</v>
      </c>
      <c r="C2224">
        <v>9</v>
      </c>
      <c r="D2224">
        <v>22940</v>
      </c>
      <c r="E2224">
        <v>358</v>
      </c>
      <c r="F2224">
        <v>46353.56</v>
      </c>
      <c r="G2224">
        <v>10416.469999999999</v>
      </c>
      <c r="H2224" t="str">
        <f>VLOOKUP(myynnit[[#This Row],[TuoteID]],ohjaus!$A$4:$B$20,2,FALSE)</f>
        <v>Pinnatuoli</v>
      </c>
    </row>
    <row r="2225" spans="1:8" x14ac:dyDescent="0.35">
      <c r="A2225" t="s">
        <v>39</v>
      </c>
      <c r="B2225">
        <v>2014</v>
      </c>
      <c r="C2225">
        <v>9</v>
      </c>
      <c r="D2225">
        <v>23178</v>
      </c>
      <c r="E2225">
        <v>93</v>
      </c>
      <c r="F2225">
        <v>16911.95</v>
      </c>
      <c r="G2225">
        <v>4863.2299999999996</v>
      </c>
      <c r="H2225" t="str">
        <f>VLOOKUP(myynnit[[#This Row],[TuoteID]],ohjaus!$A$4:$B$20,2,FALSE)</f>
        <v>Pinnatuoli</v>
      </c>
    </row>
    <row r="2226" spans="1:8" x14ac:dyDescent="0.35">
      <c r="A2226" t="s">
        <v>39</v>
      </c>
      <c r="B2226">
        <v>2014</v>
      </c>
      <c r="C2226">
        <v>9</v>
      </c>
      <c r="D2226">
        <v>23600</v>
      </c>
      <c r="E2226">
        <v>1082</v>
      </c>
      <c r="F2226">
        <v>109383.13</v>
      </c>
      <c r="G2226">
        <v>27387.14</v>
      </c>
      <c r="H2226" t="str">
        <f>VLOOKUP(myynnit[[#This Row],[TuoteID]],ohjaus!$A$4:$B$20,2,FALSE)</f>
        <v>Pinnatuoli</v>
      </c>
    </row>
    <row r="2227" spans="1:8" x14ac:dyDescent="0.35">
      <c r="A2227" t="s">
        <v>39</v>
      </c>
      <c r="B2227">
        <v>2014</v>
      </c>
      <c r="C2227">
        <v>9</v>
      </c>
      <c r="D2227">
        <v>23756</v>
      </c>
      <c r="E2227">
        <v>54</v>
      </c>
      <c r="F2227">
        <v>8421.49</v>
      </c>
      <c r="G2227">
        <v>4429.03</v>
      </c>
      <c r="H2227" t="str">
        <f>VLOOKUP(myynnit[[#This Row],[TuoteID]],ohjaus!$A$4:$B$20,2,FALSE)</f>
        <v>Pianotuoli</v>
      </c>
    </row>
    <row r="2228" spans="1:8" x14ac:dyDescent="0.35">
      <c r="A2228" t="s">
        <v>39</v>
      </c>
      <c r="B2228">
        <v>2014</v>
      </c>
      <c r="C2228">
        <v>9</v>
      </c>
      <c r="D2228">
        <v>24326</v>
      </c>
      <c r="E2228">
        <v>71</v>
      </c>
      <c r="F2228">
        <v>10980.08</v>
      </c>
      <c r="G2228">
        <v>3266.19</v>
      </c>
      <c r="H2228" t="str">
        <f>VLOOKUP(myynnit[[#This Row],[TuoteID]],ohjaus!$A$4:$B$20,2,FALSE)</f>
        <v>Lepotuoli</v>
      </c>
    </row>
    <row r="2229" spans="1:8" x14ac:dyDescent="0.35">
      <c r="A2229" t="s">
        <v>38</v>
      </c>
      <c r="B2229">
        <v>2014</v>
      </c>
      <c r="C2229">
        <v>9</v>
      </c>
      <c r="D2229">
        <v>12184</v>
      </c>
      <c r="E2229">
        <v>72</v>
      </c>
      <c r="F2229">
        <v>9781.59</v>
      </c>
      <c r="G2229">
        <v>5261.54</v>
      </c>
      <c r="H2229" t="str">
        <f>VLOOKUP(myynnit[[#This Row],[TuoteID]],ohjaus!$A$4:$B$20,2,FALSE)</f>
        <v>Rahi</v>
      </c>
    </row>
    <row r="2230" spans="1:8" x14ac:dyDescent="0.35">
      <c r="A2230" t="s">
        <v>38</v>
      </c>
      <c r="B2230">
        <v>2014</v>
      </c>
      <c r="C2230">
        <v>9</v>
      </c>
      <c r="D2230">
        <v>12622</v>
      </c>
      <c r="E2230">
        <v>57</v>
      </c>
      <c r="F2230">
        <v>16750.86</v>
      </c>
      <c r="G2230">
        <v>8054.59</v>
      </c>
      <c r="H2230" t="str">
        <f>VLOOKUP(myynnit[[#This Row],[TuoteID]],ohjaus!$A$4:$B$20,2,FALSE)</f>
        <v>Pianotuoli</v>
      </c>
    </row>
    <row r="2231" spans="1:8" x14ac:dyDescent="0.35">
      <c r="A2231" t="s">
        <v>38</v>
      </c>
      <c r="B2231">
        <v>2014</v>
      </c>
      <c r="C2231">
        <v>9</v>
      </c>
      <c r="D2231">
        <v>13527</v>
      </c>
      <c r="E2231">
        <v>299</v>
      </c>
      <c r="F2231">
        <v>47471.21</v>
      </c>
      <c r="G2231">
        <v>10695.5</v>
      </c>
      <c r="H2231" t="str">
        <f>VLOOKUP(myynnit[[#This Row],[TuoteID]],ohjaus!$A$4:$B$20,2,FALSE)</f>
        <v>Pinnatuoli</v>
      </c>
    </row>
    <row r="2232" spans="1:8" x14ac:dyDescent="0.35">
      <c r="A2232" t="s">
        <v>38</v>
      </c>
      <c r="B2232">
        <v>2014</v>
      </c>
      <c r="C2232">
        <v>9</v>
      </c>
      <c r="D2232">
        <v>13618</v>
      </c>
      <c r="E2232">
        <v>8</v>
      </c>
      <c r="F2232">
        <v>3626.7</v>
      </c>
      <c r="G2232">
        <v>1545.19</v>
      </c>
      <c r="H2232" t="str">
        <f>VLOOKUP(myynnit[[#This Row],[TuoteID]],ohjaus!$A$4:$B$20,2,FALSE)</f>
        <v>Pianotuoli</v>
      </c>
    </row>
    <row r="2233" spans="1:8" x14ac:dyDescent="0.35">
      <c r="A2233" t="s">
        <v>38</v>
      </c>
      <c r="B2233">
        <v>2014</v>
      </c>
      <c r="C2233">
        <v>9</v>
      </c>
      <c r="D2233">
        <v>16024</v>
      </c>
      <c r="E2233">
        <v>190</v>
      </c>
      <c r="F2233">
        <v>80860.820000000007</v>
      </c>
      <c r="G2233">
        <v>20519.34</v>
      </c>
      <c r="H2233" t="str">
        <f>VLOOKUP(myynnit[[#This Row],[TuoteID]],ohjaus!$A$4:$B$20,2,FALSE)</f>
        <v>Työtuoli</v>
      </c>
    </row>
    <row r="2234" spans="1:8" x14ac:dyDescent="0.35">
      <c r="A2234" t="s">
        <v>38</v>
      </c>
      <c r="B2234">
        <v>2014</v>
      </c>
      <c r="C2234">
        <v>9</v>
      </c>
      <c r="D2234">
        <v>16650</v>
      </c>
      <c r="E2234">
        <v>35</v>
      </c>
      <c r="F2234">
        <v>5808.56</v>
      </c>
      <c r="G2234">
        <v>3036.71</v>
      </c>
      <c r="H2234" t="str">
        <f>VLOOKUP(myynnit[[#This Row],[TuoteID]],ohjaus!$A$4:$B$20,2,FALSE)</f>
        <v>Rahi</v>
      </c>
    </row>
    <row r="2235" spans="1:8" x14ac:dyDescent="0.35">
      <c r="A2235" t="s">
        <v>38</v>
      </c>
      <c r="B2235">
        <v>2014</v>
      </c>
      <c r="C2235">
        <v>9</v>
      </c>
      <c r="D2235">
        <v>17892</v>
      </c>
      <c r="E2235">
        <v>88</v>
      </c>
      <c r="F2235">
        <v>12251.57</v>
      </c>
      <c r="G2235">
        <v>3275.87</v>
      </c>
      <c r="H2235" t="str">
        <f>VLOOKUP(myynnit[[#This Row],[TuoteID]],ohjaus!$A$4:$B$20,2,FALSE)</f>
        <v>Lepotuoli</v>
      </c>
    </row>
    <row r="2236" spans="1:8" x14ac:dyDescent="0.35">
      <c r="A2236" t="s">
        <v>38</v>
      </c>
      <c r="B2236">
        <v>2014</v>
      </c>
      <c r="C2236">
        <v>9</v>
      </c>
      <c r="D2236">
        <v>18342</v>
      </c>
      <c r="E2236">
        <v>114</v>
      </c>
      <c r="F2236">
        <v>97746.34</v>
      </c>
      <c r="G2236">
        <v>27840.79</v>
      </c>
      <c r="H2236" t="str">
        <f>VLOOKUP(myynnit[[#This Row],[TuoteID]],ohjaus!$A$4:$B$20,2,FALSE)</f>
        <v>Työtuoli</v>
      </c>
    </row>
    <row r="2237" spans="1:8" x14ac:dyDescent="0.35">
      <c r="A2237" t="s">
        <v>38</v>
      </c>
      <c r="B2237">
        <v>2014</v>
      </c>
      <c r="C2237">
        <v>9</v>
      </c>
      <c r="D2237">
        <v>20177</v>
      </c>
      <c r="E2237">
        <v>63</v>
      </c>
      <c r="F2237">
        <v>6176.75</v>
      </c>
      <c r="G2237">
        <v>2474.86</v>
      </c>
      <c r="H2237" t="str">
        <f>VLOOKUP(myynnit[[#This Row],[TuoteID]],ohjaus!$A$4:$B$20,2,FALSE)</f>
        <v>Säkkituoli</v>
      </c>
    </row>
    <row r="2238" spans="1:8" x14ac:dyDescent="0.35">
      <c r="A2238" t="s">
        <v>38</v>
      </c>
      <c r="B2238">
        <v>2014</v>
      </c>
      <c r="C2238">
        <v>9</v>
      </c>
      <c r="D2238">
        <v>21179</v>
      </c>
      <c r="E2238">
        <v>60</v>
      </c>
      <c r="F2238">
        <v>8636.77</v>
      </c>
      <c r="G2238">
        <v>5581.35</v>
      </c>
      <c r="H2238" t="str">
        <f>VLOOKUP(myynnit[[#This Row],[TuoteID]],ohjaus!$A$4:$B$20,2,FALSE)</f>
        <v>Rahi</v>
      </c>
    </row>
    <row r="2239" spans="1:8" x14ac:dyDescent="0.35">
      <c r="A2239" t="s">
        <v>38</v>
      </c>
      <c r="B2239">
        <v>2014</v>
      </c>
      <c r="C2239">
        <v>9</v>
      </c>
      <c r="D2239">
        <v>21260</v>
      </c>
      <c r="E2239">
        <v>53</v>
      </c>
      <c r="F2239">
        <v>10811.53</v>
      </c>
      <c r="G2239">
        <v>2732.42</v>
      </c>
      <c r="H2239" t="str">
        <f>VLOOKUP(myynnit[[#This Row],[TuoteID]],ohjaus!$A$4:$B$20,2,FALSE)</f>
        <v>Lepotuoli</v>
      </c>
    </row>
    <row r="2240" spans="1:8" x14ac:dyDescent="0.35">
      <c r="A2240" t="s">
        <v>38</v>
      </c>
      <c r="B2240">
        <v>2014</v>
      </c>
      <c r="C2240">
        <v>9</v>
      </c>
      <c r="D2240">
        <v>22317</v>
      </c>
      <c r="E2240">
        <v>56</v>
      </c>
      <c r="F2240">
        <v>4988.24</v>
      </c>
      <c r="G2240">
        <v>2133.0300000000002</v>
      </c>
      <c r="H2240" t="str">
        <f>VLOOKUP(myynnit[[#This Row],[TuoteID]],ohjaus!$A$4:$B$20,2,FALSE)</f>
        <v>Säkkituoli</v>
      </c>
    </row>
    <row r="2241" spans="1:8" x14ac:dyDescent="0.35">
      <c r="A2241" t="s">
        <v>38</v>
      </c>
      <c r="B2241">
        <v>2014</v>
      </c>
      <c r="C2241">
        <v>9</v>
      </c>
      <c r="D2241">
        <v>22940</v>
      </c>
      <c r="E2241">
        <v>509</v>
      </c>
      <c r="F2241">
        <v>66307.399999999994</v>
      </c>
      <c r="G2241">
        <v>12408.42</v>
      </c>
      <c r="H2241" t="str">
        <f>VLOOKUP(myynnit[[#This Row],[TuoteID]],ohjaus!$A$4:$B$20,2,FALSE)</f>
        <v>Pinnatuoli</v>
      </c>
    </row>
    <row r="2242" spans="1:8" x14ac:dyDescent="0.35">
      <c r="A2242" t="s">
        <v>38</v>
      </c>
      <c r="B2242">
        <v>2014</v>
      </c>
      <c r="C2242">
        <v>9</v>
      </c>
      <c r="D2242">
        <v>23178</v>
      </c>
      <c r="E2242">
        <v>142</v>
      </c>
      <c r="F2242">
        <v>25032.55</v>
      </c>
      <c r="G2242">
        <v>4593.42</v>
      </c>
      <c r="H2242" t="str">
        <f>VLOOKUP(myynnit[[#This Row],[TuoteID]],ohjaus!$A$4:$B$20,2,FALSE)</f>
        <v>Pinnatuoli</v>
      </c>
    </row>
    <row r="2243" spans="1:8" x14ac:dyDescent="0.35">
      <c r="A2243" t="s">
        <v>38</v>
      </c>
      <c r="B2243">
        <v>2014</v>
      </c>
      <c r="C2243">
        <v>9</v>
      </c>
      <c r="D2243">
        <v>23600</v>
      </c>
      <c r="E2243">
        <v>736</v>
      </c>
      <c r="F2243">
        <v>80119.09</v>
      </c>
      <c r="G2243">
        <v>19632.22</v>
      </c>
      <c r="H2243" t="str">
        <f>VLOOKUP(myynnit[[#This Row],[TuoteID]],ohjaus!$A$4:$B$20,2,FALSE)</f>
        <v>Pinnatuoli</v>
      </c>
    </row>
    <row r="2244" spans="1:8" x14ac:dyDescent="0.35">
      <c r="A2244" t="s">
        <v>38</v>
      </c>
      <c r="B2244">
        <v>2014</v>
      </c>
      <c r="C2244">
        <v>9</v>
      </c>
      <c r="D2244">
        <v>23756</v>
      </c>
      <c r="E2244">
        <v>92</v>
      </c>
      <c r="F2244">
        <v>13579.63</v>
      </c>
      <c r="G2244">
        <v>6508.57</v>
      </c>
      <c r="H2244" t="str">
        <f>VLOOKUP(myynnit[[#This Row],[TuoteID]],ohjaus!$A$4:$B$20,2,FALSE)</f>
        <v>Pianotuoli</v>
      </c>
    </row>
    <row r="2245" spans="1:8" x14ac:dyDescent="0.35">
      <c r="A2245" t="s">
        <v>38</v>
      </c>
      <c r="B2245">
        <v>2014</v>
      </c>
      <c r="C2245">
        <v>9</v>
      </c>
      <c r="D2245">
        <v>24326</v>
      </c>
      <c r="E2245">
        <v>146</v>
      </c>
      <c r="F2245">
        <v>18552.669999999998</v>
      </c>
      <c r="G2245">
        <v>4093.34</v>
      </c>
      <c r="H2245" t="str">
        <f>VLOOKUP(myynnit[[#This Row],[TuoteID]],ohjaus!$A$4:$B$20,2,FALSE)</f>
        <v>Lepotuoli</v>
      </c>
    </row>
    <row r="2246" spans="1:8" x14ac:dyDescent="0.35">
      <c r="A2246" t="s">
        <v>37</v>
      </c>
      <c r="B2246">
        <v>2014</v>
      </c>
      <c r="C2246">
        <v>10</v>
      </c>
      <c r="D2246">
        <v>12184</v>
      </c>
      <c r="E2246">
        <v>69</v>
      </c>
      <c r="F2246">
        <v>8296.89</v>
      </c>
      <c r="G2246">
        <v>3755.05</v>
      </c>
      <c r="H2246" t="str">
        <f>VLOOKUP(myynnit[[#This Row],[TuoteID]],ohjaus!$A$4:$B$20,2,FALSE)</f>
        <v>Rahi</v>
      </c>
    </row>
    <row r="2247" spans="1:8" x14ac:dyDescent="0.35">
      <c r="A2247" t="s">
        <v>37</v>
      </c>
      <c r="B2247">
        <v>2014</v>
      </c>
      <c r="C2247">
        <v>10</v>
      </c>
      <c r="D2247">
        <v>12622</v>
      </c>
      <c r="E2247">
        <v>67</v>
      </c>
      <c r="F2247">
        <v>15393.8</v>
      </c>
      <c r="G2247">
        <v>8240.7999999999993</v>
      </c>
      <c r="H2247" t="str">
        <f>VLOOKUP(myynnit[[#This Row],[TuoteID]],ohjaus!$A$4:$B$20,2,FALSE)</f>
        <v>Pianotuoli</v>
      </c>
    </row>
    <row r="2248" spans="1:8" x14ac:dyDescent="0.35">
      <c r="A2248" t="s">
        <v>37</v>
      </c>
      <c r="B2248">
        <v>2014</v>
      </c>
      <c r="C2248">
        <v>10</v>
      </c>
      <c r="D2248">
        <v>13527</v>
      </c>
      <c r="E2248">
        <v>846</v>
      </c>
      <c r="F2248">
        <v>131503.29999999999</v>
      </c>
      <c r="G2248">
        <v>24631.97</v>
      </c>
      <c r="H2248" t="str">
        <f>VLOOKUP(myynnit[[#This Row],[TuoteID]],ohjaus!$A$4:$B$20,2,FALSE)</f>
        <v>Pinnatuoli</v>
      </c>
    </row>
    <row r="2249" spans="1:8" x14ac:dyDescent="0.35">
      <c r="A2249" t="s">
        <v>37</v>
      </c>
      <c r="B2249">
        <v>2014</v>
      </c>
      <c r="C2249">
        <v>10</v>
      </c>
      <c r="D2249">
        <v>13618</v>
      </c>
      <c r="E2249">
        <v>32</v>
      </c>
      <c r="F2249">
        <v>12136.97</v>
      </c>
      <c r="G2249">
        <v>6405.25</v>
      </c>
      <c r="H2249" t="str">
        <f>VLOOKUP(myynnit[[#This Row],[TuoteID]],ohjaus!$A$4:$B$20,2,FALSE)</f>
        <v>Pianotuoli</v>
      </c>
    </row>
    <row r="2250" spans="1:8" x14ac:dyDescent="0.35">
      <c r="A2250" t="s">
        <v>37</v>
      </c>
      <c r="B2250">
        <v>2014</v>
      </c>
      <c r="C2250">
        <v>10</v>
      </c>
      <c r="D2250">
        <v>16024</v>
      </c>
      <c r="E2250">
        <v>309</v>
      </c>
      <c r="F2250">
        <v>146314.21</v>
      </c>
      <c r="G2250">
        <v>47232.42</v>
      </c>
      <c r="H2250" t="str">
        <f>VLOOKUP(myynnit[[#This Row],[TuoteID]],ohjaus!$A$4:$B$20,2,FALSE)</f>
        <v>Työtuoli</v>
      </c>
    </row>
    <row r="2251" spans="1:8" x14ac:dyDescent="0.35">
      <c r="A2251" t="s">
        <v>37</v>
      </c>
      <c r="B2251">
        <v>2014</v>
      </c>
      <c r="C2251">
        <v>10</v>
      </c>
      <c r="D2251">
        <v>16650</v>
      </c>
      <c r="E2251">
        <v>53</v>
      </c>
      <c r="F2251">
        <v>9137.56</v>
      </c>
      <c r="G2251">
        <v>4257.55</v>
      </c>
      <c r="H2251" t="str">
        <f>VLOOKUP(myynnit[[#This Row],[TuoteID]],ohjaus!$A$4:$B$20,2,FALSE)</f>
        <v>Rahi</v>
      </c>
    </row>
    <row r="2252" spans="1:8" x14ac:dyDescent="0.35">
      <c r="A2252" t="s">
        <v>37</v>
      </c>
      <c r="B2252">
        <v>2014</v>
      </c>
      <c r="C2252">
        <v>10</v>
      </c>
      <c r="D2252">
        <v>17892</v>
      </c>
      <c r="E2252">
        <v>73</v>
      </c>
      <c r="F2252">
        <v>11130.33</v>
      </c>
      <c r="G2252">
        <v>2843.27</v>
      </c>
      <c r="H2252" t="str">
        <f>VLOOKUP(myynnit[[#This Row],[TuoteID]],ohjaus!$A$4:$B$20,2,FALSE)</f>
        <v>Lepotuoli</v>
      </c>
    </row>
    <row r="2253" spans="1:8" x14ac:dyDescent="0.35">
      <c r="A2253" t="s">
        <v>37</v>
      </c>
      <c r="B2253">
        <v>2014</v>
      </c>
      <c r="C2253">
        <v>10</v>
      </c>
      <c r="D2253">
        <v>18342</v>
      </c>
      <c r="E2253">
        <v>110</v>
      </c>
      <c r="F2253">
        <v>86080.81</v>
      </c>
      <c r="G2253">
        <v>21054.02</v>
      </c>
      <c r="H2253" t="str">
        <f>VLOOKUP(myynnit[[#This Row],[TuoteID]],ohjaus!$A$4:$B$20,2,FALSE)</f>
        <v>Työtuoli</v>
      </c>
    </row>
    <row r="2254" spans="1:8" x14ac:dyDescent="0.35">
      <c r="A2254" t="s">
        <v>37</v>
      </c>
      <c r="B2254">
        <v>2014</v>
      </c>
      <c r="C2254">
        <v>10</v>
      </c>
      <c r="D2254">
        <v>20177</v>
      </c>
      <c r="E2254">
        <v>120</v>
      </c>
      <c r="F2254">
        <v>12444.24</v>
      </c>
      <c r="G2254">
        <v>4308.21</v>
      </c>
      <c r="H2254" t="str">
        <f>VLOOKUP(myynnit[[#This Row],[TuoteID]],ohjaus!$A$4:$B$20,2,FALSE)</f>
        <v>Säkkituoli</v>
      </c>
    </row>
    <row r="2255" spans="1:8" x14ac:dyDescent="0.35">
      <c r="A2255" t="s">
        <v>37</v>
      </c>
      <c r="B2255">
        <v>2014</v>
      </c>
      <c r="C2255">
        <v>10</v>
      </c>
      <c r="D2255">
        <v>21179</v>
      </c>
      <c r="E2255">
        <v>43</v>
      </c>
      <c r="F2255">
        <v>4969.0600000000004</v>
      </c>
      <c r="G2255">
        <v>2468.08</v>
      </c>
      <c r="H2255" t="str">
        <f>VLOOKUP(myynnit[[#This Row],[TuoteID]],ohjaus!$A$4:$B$20,2,FALSE)</f>
        <v>Rahi</v>
      </c>
    </row>
    <row r="2256" spans="1:8" x14ac:dyDescent="0.35">
      <c r="A2256" t="s">
        <v>37</v>
      </c>
      <c r="B2256">
        <v>2014</v>
      </c>
      <c r="C2256">
        <v>10</v>
      </c>
      <c r="D2256">
        <v>21260</v>
      </c>
      <c r="E2256">
        <v>56</v>
      </c>
      <c r="F2256">
        <v>11122.63</v>
      </c>
      <c r="G2256">
        <v>2911.15</v>
      </c>
      <c r="H2256" t="str">
        <f>VLOOKUP(myynnit[[#This Row],[TuoteID]],ohjaus!$A$4:$B$20,2,FALSE)</f>
        <v>Lepotuoli</v>
      </c>
    </row>
    <row r="2257" spans="1:8" x14ac:dyDescent="0.35">
      <c r="A2257" t="s">
        <v>37</v>
      </c>
      <c r="B2257">
        <v>2014</v>
      </c>
      <c r="C2257">
        <v>10</v>
      </c>
      <c r="D2257">
        <v>22317</v>
      </c>
      <c r="E2257">
        <v>85</v>
      </c>
      <c r="F2257">
        <v>6971.16</v>
      </c>
      <c r="G2257">
        <v>2994.88</v>
      </c>
      <c r="H2257" t="str">
        <f>VLOOKUP(myynnit[[#This Row],[TuoteID]],ohjaus!$A$4:$B$20,2,FALSE)</f>
        <v>Säkkituoli</v>
      </c>
    </row>
    <row r="2258" spans="1:8" x14ac:dyDescent="0.35">
      <c r="A2258" t="s">
        <v>37</v>
      </c>
      <c r="B2258">
        <v>2014</v>
      </c>
      <c r="C2258">
        <v>10</v>
      </c>
      <c r="D2258">
        <v>22940</v>
      </c>
      <c r="E2258">
        <v>699</v>
      </c>
      <c r="F2258">
        <v>94475.49</v>
      </c>
      <c r="G2258">
        <v>17212.740000000002</v>
      </c>
      <c r="H2258" t="str">
        <f>VLOOKUP(myynnit[[#This Row],[TuoteID]],ohjaus!$A$4:$B$20,2,FALSE)</f>
        <v>Pinnatuoli</v>
      </c>
    </row>
    <row r="2259" spans="1:8" x14ac:dyDescent="0.35">
      <c r="A2259" t="s">
        <v>37</v>
      </c>
      <c r="B2259">
        <v>2014</v>
      </c>
      <c r="C2259">
        <v>10</v>
      </c>
      <c r="D2259">
        <v>23178</v>
      </c>
      <c r="E2259">
        <v>415</v>
      </c>
      <c r="F2259">
        <v>74554.66</v>
      </c>
      <c r="G2259">
        <v>15586.04</v>
      </c>
      <c r="H2259" t="str">
        <f>VLOOKUP(myynnit[[#This Row],[TuoteID]],ohjaus!$A$4:$B$20,2,FALSE)</f>
        <v>Pinnatuoli</v>
      </c>
    </row>
    <row r="2260" spans="1:8" x14ac:dyDescent="0.35">
      <c r="A2260" t="s">
        <v>37</v>
      </c>
      <c r="B2260">
        <v>2014</v>
      </c>
      <c r="C2260">
        <v>10</v>
      </c>
      <c r="D2260">
        <v>23600</v>
      </c>
      <c r="E2260">
        <v>1331</v>
      </c>
      <c r="F2260">
        <v>152212.32999999999</v>
      </c>
      <c r="G2260">
        <v>31007.14</v>
      </c>
      <c r="H2260" t="str">
        <f>VLOOKUP(myynnit[[#This Row],[TuoteID]],ohjaus!$A$4:$B$20,2,FALSE)</f>
        <v>Pinnatuoli</v>
      </c>
    </row>
    <row r="2261" spans="1:8" x14ac:dyDescent="0.35">
      <c r="A2261" t="s">
        <v>37</v>
      </c>
      <c r="B2261">
        <v>2014</v>
      </c>
      <c r="C2261">
        <v>10</v>
      </c>
      <c r="D2261">
        <v>23756</v>
      </c>
      <c r="E2261">
        <v>112</v>
      </c>
      <c r="F2261">
        <v>16898.23</v>
      </c>
      <c r="G2261">
        <v>9054.73</v>
      </c>
      <c r="H2261" t="str">
        <f>VLOOKUP(myynnit[[#This Row],[TuoteID]],ohjaus!$A$4:$B$20,2,FALSE)</f>
        <v>Pianotuoli</v>
      </c>
    </row>
    <row r="2262" spans="1:8" x14ac:dyDescent="0.35">
      <c r="A2262" t="s">
        <v>37</v>
      </c>
      <c r="B2262">
        <v>2014</v>
      </c>
      <c r="C2262">
        <v>10</v>
      </c>
      <c r="D2262">
        <v>24326</v>
      </c>
      <c r="E2262">
        <v>102</v>
      </c>
      <c r="F2262">
        <v>15037.1</v>
      </c>
      <c r="G2262">
        <v>4702.58</v>
      </c>
      <c r="H2262" t="str">
        <f>VLOOKUP(myynnit[[#This Row],[TuoteID]],ohjaus!$A$4:$B$20,2,FALSE)</f>
        <v>Lepotuoli</v>
      </c>
    </row>
    <row r="2263" spans="1:8" x14ac:dyDescent="0.35">
      <c r="A2263" t="s">
        <v>40</v>
      </c>
      <c r="B2263">
        <v>2014</v>
      </c>
      <c r="C2263">
        <v>10</v>
      </c>
      <c r="D2263">
        <v>12184</v>
      </c>
      <c r="E2263">
        <v>40</v>
      </c>
      <c r="F2263">
        <v>4026.39</v>
      </c>
      <c r="G2263">
        <v>2270.38</v>
      </c>
      <c r="H2263" t="str">
        <f>VLOOKUP(myynnit[[#This Row],[TuoteID]],ohjaus!$A$4:$B$20,2,FALSE)</f>
        <v>Rahi</v>
      </c>
    </row>
    <row r="2264" spans="1:8" x14ac:dyDescent="0.35">
      <c r="A2264" t="s">
        <v>40</v>
      </c>
      <c r="B2264">
        <v>2014</v>
      </c>
      <c r="C2264">
        <v>10</v>
      </c>
      <c r="D2264">
        <v>12622</v>
      </c>
      <c r="E2264">
        <v>10</v>
      </c>
      <c r="F2264">
        <v>2693.82</v>
      </c>
      <c r="G2264">
        <v>1103.26</v>
      </c>
      <c r="H2264" t="str">
        <f>VLOOKUP(myynnit[[#This Row],[TuoteID]],ohjaus!$A$4:$B$20,2,FALSE)</f>
        <v>Pianotuoli</v>
      </c>
    </row>
    <row r="2265" spans="1:8" x14ac:dyDescent="0.35">
      <c r="A2265" t="s">
        <v>40</v>
      </c>
      <c r="B2265">
        <v>2014</v>
      </c>
      <c r="C2265">
        <v>10</v>
      </c>
      <c r="D2265">
        <v>13527</v>
      </c>
      <c r="E2265">
        <v>135</v>
      </c>
      <c r="F2265">
        <v>21076.11</v>
      </c>
      <c r="G2265">
        <v>3566.31</v>
      </c>
      <c r="H2265" t="str">
        <f>VLOOKUP(myynnit[[#This Row],[TuoteID]],ohjaus!$A$4:$B$20,2,FALSE)</f>
        <v>Pinnatuoli</v>
      </c>
    </row>
    <row r="2266" spans="1:8" x14ac:dyDescent="0.35">
      <c r="A2266" t="s">
        <v>40</v>
      </c>
      <c r="B2266">
        <v>2014</v>
      </c>
      <c r="C2266">
        <v>10</v>
      </c>
      <c r="D2266">
        <v>13618</v>
      </c>
      <c r="E2266">
        <v>6</v>
      </c>
      <c r="F2266">
        <v>2282.36</v>
      </c>
      <c r="G2266">
        <v>1055.1099999999999</v>
      </c>
      <c r="H2266" t="str">
        <f>VLOOKUP(myynnit[[#This Row],[TuoteID]],ohjaus!$A$4:$B$20,2,FALSE)</f>
        <v>Pianotuoli</v>
      </c>
    </row>
    <row r="2267" spans="1:8" x14ac:dyDescent="0.35">
      <c r="A2267" t="s">
        <v>40</v>
      </c>
      <c r="B2267">
        <v>2014</v>
      </c>
      <c r="C2267">
        <v>10</v>
      </c>
      <c r="D2267">
        <v>16024</v>
      </c>
      <c r="E2267">
        <v>89</v>
      </c>
      <c r="F2267">
        <v>43452.49</v>
      </c>
      <c r="G2267">
        <v>11813.46</v>
      </c>
      <c r="H2267" t="str">
        <f>VLOOKUP(myynnit[[#This Row],[TuoteID]],ohjaus!$A$4:$B$20,2,FALSE)</f>
        <v>Työtuoli</v>
      </c>
    </row>
    <row r="2268" spans="1:8" x14ac:dyDescent="0.35">
      <c r="A2268" t="s">
        <v>40</v>
      </c>
      <c r="B2268">
        <v>2014</v>
      </c>
      <c r="C2268">
        <v>10</v>
      </c>
      <c r="D2268">
        <v>16650</v>
      </c>
      <c r="E2268">
        <v>36</v>
      </c>
      <c r="F2268">
        <v>5456.75</v>
      </c>
      <c r="G2268">
        <v>3669.27</v>
      </c>
      <c r="H2268" t="str">
        <f>VLOOKUP(myynnit[[#This Row],[TuoteID]],ohjaus!$A$4:$B$20,2,FALSE)</f>
        <v>Rahi</v>
      </c>
    </row>
    <row r="2269" spans="1:8" x14ac:dyDescent="0.35">
      <c r="A2269" t="s">
        <v>40</v>
      </c>
      <c r="B2269">
        <v>2014</v>
      </c>
      <c r="C2269">
        <v>10</v>
      </c>
      <c r="D2269">
        <v>17892</v>
      </c>
      <c r="E2269">
        <v>70</v>
      </c>
      <c r="F2269">
        <v>10033.84</v>
      </c>
      <c r="G2269">
        <v>2355.4699999999998</v>
      </c>
      <c r="H2269" t="str">
        <f>VLOOKUP(myynnit[[#This Row],[TuoteID]],ohjaus!$A$4:$B$20,2,FALSE)</f>
        <v>Lepotuoli</v>
      </c>
    </row>
    <row r="2270" spans="1:8" x14ac:dyDescent="0.35">
      <c r="A2270" t="s">
        <v>40</v>
      </c>
      <c r="B2270">
        <v>2014</v>
      </c>
      <c r="C2270">
        <v>10</v>
      </c>
      <c r="D2270">
        <v>18342</v>
      </c>
      <c r="E2270">
        <v>14</v>
      </c>
      <c r="F2270">
        <v>11593.3</v>
      </c>
      <c r="G2270">
        <v>3152.58</v>
      </c>
      <c r="H2270" t="str">
        <f>VLOOKUP(myynnit[[#This Row],[TuoteID]],ohjaus!$A$4:$B$20,2,FALSE)</f>
        <v>Työtuoli</v>
      </c>
    </row>
    <row r="2271" spans="1:8" x14ac:dyDescent="0.35">
      <c r="A2271" t="s">
        <v>40</v>
      </c>
      <c r="B2271">
        <v>2014</v>
      </c>
      <c r="C2271">
        <v>10</v>
      </c>
      <c r="D2271">
        <v>20177</v>
      </c>
      <c r="E2271">
        <v>29</v>
      </c>
      <c r="F2271">
        <v>3353.02</v>
      </c>
      <c r="G2271">
        <v>1375.3</v>
      </c>
      <c r="H2271" t="str">
        <f>VLOOKUP(myynnit[[#This Row],[TuoteID]],ohjaus!$A$4:$B$20,2,FALSE)</f>
        <v>Säkkituoli</v>
      </c>
    </row>
    <row r="2272" spans="1:8" x14ac:dyDescent="0.35">
      <c r="A2272" t="s">
        <v>40</v>
      </c>
      <c r="B2272">
        <v>2014</v>
      </c>
      <c r="C2272">
        <v>10</v>
      </c>
      <c r="D2272">
        <v>21179</v>
      </c>
      <c r="E2272">
        <v>29</v>
      </c>
      <c r="F2272">
        <v>3292.38</v>
      </c>
      <c r="G2272">
        <v>1617.94</v>
      </c>
      <c r="H2272" t="str">
        <f>VLOOKUP(myynnit[[#This Row],[TuoteID]],ohjaus!$A$4:$B$20,2,FALSE)</f>
        <v>Rahi</v>
      </c>
    </row>
    <row r="2273" spans="1:8" x14ac:dyDescent="0.35">
      <c r="A2273" t="s">
        <v>40</v>
      </c>
      <c r="B2273">
        <v>2014</v>
      </c>
      <c r="C2273">
        <v>10</v>
      </c>
      <c r="D2273">
        <v>21260</v>
      </c>
      <c r="E2273">
        <v>45</v>
      </c>
      <c r="F2273">
        <v>8027.19</v>
      </c>
      <c r="G2273">
        <v>2030.66</v>
      </c>
      <c r="H2273" t="str">
        <f>VLOOKUP(myynnit[[#This Row],[TuoteID]],ohjaus!$A$4:$B$20,2,FALSE)</f>
        <v>Lepotuoli</v>
      </c>
    </row>
    <row r="2274" spans="1:8" x14ac:dyDescent="0.35">
      <c r="A2274" t="s">
        <v>40</v>
      </c>
      <c r="B2274">
        <v>2014</v>
      </c>
      <c r="C2274">
        <v>10</v>
      </c>
      <c r="D2274">
        <v>22317</v>
      </c>
      <c r="E2274">
        <v>12</v>
      </c>
      <c r="F2274">
        <v>1124.68</v>
      </c>
      <c r="G2274">
        <v>598.95000000000005</v>
      </c>
      <c r="H2274" t="str">
        <f>VLOOKUP(myynnit[[#This Row],[TuoteID]],ohjaus!$A$4:$B$20,2,FALSE)</f>
        <v>Säkkituoli</v>
      </c>
    </row>
    <row r="2275" spans="1:8" x14ac:dyDescent="0.35">
      <c r="A2275" t="s">
        <v>40</v>
      </c>
      <c r="B2275">
        <v>2014</v>
      </c>
      <c r="C2275">
        <v>10</v>
      </c>
      <c r="D2275">
        <v>22940</v>
      </c>
      <c r="E2275">
        <v>184</v>
      </c>
      <c r="F2275">
        <v>24231.34</v>
      </c>
      <c r="G2275">
        <v>7382.32</v>
      </c>
      <c r="H2275" t="str">
        <f>VLOOKUP(myynnit[[#This Row],[TuoteID]],ohjaus!$A$4:$B$20,2,FALSE)</f>
        <v>Pinnatuoli</v>
      </c>
    </row>
    <row r="2276" spans="1:8" x14ac:dyDescent="0.35">
      <c r="A2276" t="s">
        <v>40</v>
      </c>
      <c r="B2276">
        <v>2014</v>
      </c>
      <c r="C2276">
        <v>10</v>
      </c>
      <c r="D2276">
        <v>23178</v>
      </c>
      <c r="E2276">
        <v>219</v>
      </c>
      <c r="F2276">
        <v>40120.660000000003</v>
      </c>
      <c r="G2276">
        <v>10178.74</v>
      </c>
      <c r="H2276" t="str">
        <f>VLOOKUP(myynnit[[#This Row],[TuoteID]],ohjaus!$A$4:$B$20,2,FALSE)</f>
        <v>Pinnatuoli</v>
      </c>
    </row>
    <row r="2277" spans="1:8" x14ac:dyDescent="0.35">
      <c r="A2277" t="s">
        <v>40</v>
      </c>
      <c r="B2277">
        <v>2014</v>
      </c>
      <c r="C2277">
        <v>10</v>
      </c>
      <c r="D2277">
        <v>23600</v>
      </c>
      <c r="E2277">
        <v>414</v>
      </c>
      <c r="F2277">
        <v>47024.73</v>
      </c>
      <c r="G2277">
        <v>11144.77</v>
      </c>
      <c r="H2277" t="str">
        <f>VLOOKUP(myynnit[[#This Row],[TuoteID]],ohjaus!$A$4:$B$20,2,FALSE)</f>
        <v>Pinnatuoli</v>
      </c>
    </row>
    <row r="2278" spans="1:8" x14ac:dyDescent="0.35">
      <c r="A2278" t="s">
        <v>40</v>
      </c>
      <c r="B2278">
        <v>2014</v>
      </c>
      <c r="C2278">
        <v>10</v>
      </c>
      <c r="D2278">
        <v>23756</v>
      </c>
      <c r="E2278">
        <v>57</v>
      </c>
      <c r="F2278">
        <v>9013.61</v>
      </c>
      <c r="G2278">
        <v>3610.1</v>
      </c>
      <c r="H2278" t="str">
        <f>VLOOKUP(myynnit[[#This Row],[TuoteID]],ohjaus!$A$4:$B$20,2,FALSE)</f>
        <v>Pianotuoli</v>
      </c>
    </row>
    <row r="2279" spans="1:8" x14ac:dyDescent="0.35">
      <c r="A2279" t="s">
        <v>40</v>
      </c>
      <c r="B2279">
        <v>2014</v>
      </c>
      <c r="C2279">
        <v>10</v>
      </c>
      <c r="D2279">
        <v>24326</v>
      </c>
      <c r="E2279">
        <v>39</v>
      </c>
      <c r="F2279">
        <v>5180.01</v>
      </c>
      <c r="G2279">
        <v>1762.09</v>
      </c>
      <c r="H2279" t="str">
        <f>VLOOKUP(myynnit[[#This Row],[TuoteID]],ohjaus!$A$4:$B$20,2,FALSE)</f>
        <v>Lepotuoli</v>
      </c>
    </row>
    <row r="2280" spans="1:8" x14ac:dyDescent="0.35">
      <c r="A2280" t="s">
        <v>39</v>
      </c>
      <c r="B2280">
        <v>2014</v>
      </c>
      <c r="C2280">
        <v>10</v>
      </c>
      <c r="D2280">
        <v>12184</v>
      </c>
      <c r="E2280">
        <v>109</v>
      </c>
      <c r="F2280">
        <v>12698.84</v>
      </c>
      <c r="G2280">
        <v>8757.3700000000008</v>
      </c>
      <c r="H2280" t="str">
        <f>VLOOKUP(myynnit[[#This Row],[TuoteID]],ohjaus!$A$4:$B$20,2,FALSE)</f>
        <v>Rahi</v>
      </c>
    </row>
    <row r="2281" spans="1:8" x14ac:dyDescent="0.35">
      <c r="A2281" t="s">
        <v>39</v>
      </c>
      <c r="B2281">
        <v>2014</v>
      </c>
      <c r="C2281">
        <v>10</v>
      </c>
      <c r="D2281">
        <v>12622</v>
      </c>
      <c r="E2281">
        <v>56</v>
      </c>
      <c r="F2281">
        <v>16498.57</v>
      </c>
      <c r="G2281">
        <v>9988.81</v>
      </c>
      <c r="H2281" t="str">
        <f>VLOOKUP(myynnit[[#This Row],[TuoteID]],ohjaus!$A$4:$B$20,2,FALSE)</f>
        <v>Pianotuoli</v>
      </c>
    </row>
    <row r="2282" spans="1:8" x14ac:dyDescent="0.35">
      <c r="A2282" t="s">
        <v>39</v>
      </c>
      <c r="B2282">
        <v>2014</v>
      </c>
      <c r="C2282">
        <v>10</v>
      </c>
      <c r="D2282">
        <v>13527</v>
      </c>
      <c r="E2282">
        <v>391</v>
      </c>
      <c r="F2282">
        <v>65417.81</v>
      </c>
      <c r="G2282">
        <v>15923.44</v>
      </c>
      <c r="H2282" t="str">
        <f>VLOOKUP(myynnit[[#This Row],[TuoteID]],ohjaus!$A$4:$B$20,2,FALSE)</f>
        <v>Pinnatuoli</v>
      </c>
    </row>
    <row r="2283" spans="1:8" x14ac:dyDescent="0.35">
      <c r="A2283" t="s">
        <v>39</v>
      </c>
      <c r="B2283">
        <v>2014</v>
      </c>
      <c r="C2283">
        <v>10</v>
      </c>
      <c r="D2283">
        <v>13618</v>
      </c>
      <c r="E2283">
        <v>14</v>
      </c>
      <c r="F2283">
        <v>5813.19</v>
      </c>
      <c r="G2283">
        <v>3792.62</v>
      </c>
      <c r="H2283" t="str">
        <f>VLOOKUP(myynnit[[#This Row],[TuoteID]],ohjaus!$A$4:$B$20,2,FALSE)</f>
        <v>Pianotuoli</v>
      </c>
    </row>
    <row r="2284" spans="1:8" x14ac:dyDescent="0.35">
      <c r="A2284" t="s">
        <v>39</v>
      </c>
      <c r="B2284">
        <v>2014</v>
      </c>
      <c r="C2284">
        <v>10</v>
      </c>
      <c r="D2284">
        <v>16024</v>
      </c>
      <c r="E2284">
        <v>327</v>
      </c>
      <c r="F2284">
        <v>149798.20000000001</v>
      </c>
      <c r="G2284">
        <v>43131.18</v>
      </c>
      <c r="H2284" t="str">
        <f>VLOOKUP(myynnit[[#This Row],[TuoteID]],ohjaus!$A$4:$B$20,2,FALSE)</f>
        <v>Työtuoli</v>
      </c>
    </row>
    <row r="2285" spans="1:8" x14ac:dyDescent="0.35">
      <c r="A2285" t="s">
        <v>39</v>
      </c>
      <c r="B2285">
        <v>2014</v>
      </c>
      <c r="C2285">
        <v>10</v>
      </c>
      <c r="D2285">
        <v>16650</v>
      </c>
      <c r="E2285">
        <v>20</v>
      </c>
      <c r="F2285">
        <v>3036.11</v>
      </c>
      <c r="G2285">
        <v>1932.89</v>
      </c>
      <c r="H2285" t="str">
        <f>VLOOKUP(myynnit[[#This Row],[TuoteID]],ohjaus!$A$4:$B$20,2,FALSE)</f>
        <v>Rahi</v>
      </c>
    </row>
    <row r="2286" spans="1:8" x14ac:dyDescent="0.35">
      <c r="A2286" t="s">
        <v>39</v>
      </c>
      <c r="B2286">
        <v>2014</v>
      </c>
      <c r="C2286">
        <v>10</v>
      </c>
      <c r="D2286">
        <v>17892</v>
      </c>
      <c r="E2286">
        <v>137</v>
      </c>
      <c r="F2286">
        <v>20111.91</v>
      </c>
      <c r="G2286">
        <v>5513.98</v>
      </c>
      <c r="H2286" t="str">
        <f>VLOOKUP(myynnit[[#This Row],[TuoteID]],ohjaus!$A$4:$B$20,2,FALSE)</f>
        <v>Lepotuoli</v>
      </c>
    </row>
    <row r="2287" spans="1:8" x14ac:dyDescent="0.35">
      <c r="A2287" t="s">
        <v>39</v>
      </c>
      <c r="B2287">
        <v>2014</v>
      </c>
      <c r="C2287">
        <v>10</v>
      </c>
      <c r="D2287">
        <v>18342</v>
      </c>
      <c r="E2287">
        <v>124</v>
      </c>
      <c r="F2287">
        <v>99830.56</v>
      </c>
      <c r="G2287">
        <v>25880.89</v>
      </c>
      <c r="H2287" t="str">
        <f>VLOOKUP(myynnit[[#This Row],[TuoteID]],ohjaus!$A$4:$B$20,2,FALSE)</f>
        <v>Työtuoli</v>
      </c>
    </row>
    <row r="2288" spans="1:8" x14ac:dyDescent="0.35">
      <c r="A2288" t="s">
        <v>39</v>
      </c>
      <c r="B2288">
        <v>2014</v>
      </c>
      <c r="C2288">
        <v>10</v>
      </c>
      <c r="D2288">
        <v>20177</v>
      </c>
      <c r="E2288">
        <v>33</v>
      </c>
      <c r="F2288">
        <v>3814.75</v>
      </c>
      <c r="G2288">
        <v>1972.89</v>
      </c>
      <c r="H2288" t="str">
        <f>VLOOKUP(myynnit[[#This Row],[TuoteID]],ohjaus!$A$4:$B$20,2,FALSE)</f>
        <v>Säkkituoli</v>
      </c>
    </row>
    <row r="2289" spans="1:8" x14ac:dyDescent="0.35">
      <c r="A2289" t="s">
        <v>39</v>
      </c>
      <c r="B2289">
        <v>2014</v>
      </c>
      <c r="C2289">
        <v>10</v>
      </c>
      <c r="D2289">
        <v>21179</v>
      </c>
      <c r="E2289">
        <v>27</v>
      </c>
      <c r="F2289">
        <v>4244.33</v>
      </c>
      <c r="G2289">
        <v>2735.76</v>
      </c>
      <c r="H2289" t="str">
        <f>VLOOKUP(myynnit[[#This Row],[TuoteID]],ohjaus!$A$4:$B$20,2,FALSE)</f>
        <v>Rahi</v>
      </c>
    </row>
    <row r="2290" spans="1:8" x14ac:dyDescent="0.35">
      <c r="A2290" t="s">
        <v>39</v>
      </c>
      <c r="B2290">
        <v>2014</v>
      </c>
      <c r="C2290">
        <v>10</v>
      </c>
      <c r="D2290">
        <v>21260</v>
      </c>
      <c r="E2290">
        <v>37</v>
      </c>
      <c r="F2290">
        <v>6670.49</v>
      </c>
      <c r="G2290">
        <v>2358.35</v>
      </c>
      <c r="H2290" t="str">
        <f>VLOOKUP(myynnit[[#This Row],[TuoteID]],ohjaus!$A$4:$B$20,2,FALSE)</f>
        <v>Lepotuoli</v>
      </c>
    </row>
    <row r="2291" spans="1:8" x14ac:dyDescent="0.35">
      <c r="A2291" t="s">
        <v>39</v>
      </c>
      <c r="B2291">
        <v>2014</v>
      </c>
      <c r="C2291">
        <v>10</v>
      </c>
      <c r="D2291">
        <v>22317</v>
      </c>
      <c r="E2291">
        <v>20</v>
      </c>
      <c r="F2291">
        <v>1873.39</v>
      </c>
      <c r="G2291">
        <v>750.89</v>
      </c>
      <c r="H2291" t="str">
        <f>VLOOKUP(myynnit[[#This Row],[TuoteID]],ohjaus!$A$4:$B$20,2,FALSE)</f>
        <v>Säkkituoli</v>
      </c>
    </row>
    <row r="2292" spans="1:8" x14ac:dyDescent="0.35">
      <c r="A2292" t="s">
        <v>39</v>
      </c>
      <c r="B2292">
        <v>2014</v>
      </c>
      <c r="C2292">
        <v>10</v>
      </c>
      <c r="D2292">
        <v>22940</v>
      </c>
      <c r="E2292">
        <v>437</v>
      </c>
      <c r="F2292">
        <v>60853.94</v>
      </c>
      <c r="G2292">
        <v>15102.91</v>
      </c>
      <c r="H2292" t="str">
        <f>VLOOKUP(myynnit[[#This Row],[TuoteID]],ohjaus!$A$4:$B$20,2,FALSE)</f>
        <v>Pinnatuoli</v>
      </c>
    </row>
    <row r="2293" spans="1:8" x14ac:dyDescent="0.35">
      <c r="A2293" t="s">
        <v>39</v>
      </c>
      <c r="B2293">
        <v>2014</v>
      </c>
      <c r="C2293">
        <v>10</v>
      </c>
      <c r="D2293">
        <v>23178</v>
      </c>
      <c r="E2293">
        <v>129</v>
      </c>
      <c r="F2293">
        <v>20868.07</v>
      </c>
      <c r="G2293">
        <v>5896.22</v>
      </c>
      <c r="H2293" t="str">
        <f>VLOOKUP(myynnit[[#This Row],[TuoteID]],ohjaus!$A$4:$B$20,2,FALSE)</f>
        <v>Pinnatuoli</v>
      </c>
    </row>
    <row r="2294" spans="1:8" x14ac:dyDescent="0.35">
      <c r="A2294" t="s">
        <v>39</v>
      </c>
      <c r="B2294">
        <v>2014</v>
      </c>
      <c r="C2294">
        <v>10</v>
      </c>
      <c r="D2294">
        <v>23600</v>
      </c>
      <c r="E2294">
        <v>659</v>
      </c>
      <c r="F2294">
        <v>74625.039999999994</v>
      </c>
      <c r="G2294">
        <v>24579.83</v>
      </c>
      <c r="H2294" t="str">
        <f>VLOOKUP(myynnit[[#This Row],[TuoteID]],ohjaus!$A$4:$B$20,2,FALSE)</f>
        <v>Pinnatuoli</v>
      </c>
    </row>
    <row r="2295" spans="1:8" x14ac:dyDescent="0.35">
      <c r="A2295" t="s">
        <v>39</v>
      </c>
      <c r="B2295">
        <v>2014</v>
      </c>
      <c r="C2295">
        <v>10</v>
      </c>
      <c r="D2295">
        <v>23756</v>
      </c>
      <c r="E2295">
        <v>59</v>
      </c>
      <c r="F2295">
        <v>12205.24</v>
      </c>
      <c r="G2295">
        <v>6980.72</v>
      </c>
      <c r="H2295" t="str">
        <f>VLOOKUP(myynnit[[#This Row],[TuoteID]],ohjaus!$A$4:$B$20,2,FALSE)</f>
        <v>Pianotuoli</v>
      </c>
    </row>
    <row r="2296" spans="1:8" x14ac:dyDescent="0.35">
      <c r="A2296" t="s">
        <v>39</v>
      </c>
      <c r="B2296">
        <v>2014</v>
      </c>
      <c r="C2296">
        <v>10</v>
      </c>
      <c r="D2296">
        <v>24326</v>
      </c>
      <c r="E2296">
        <v>92</v>
      </c>
      <c r="F2296">
        <v>13600.93</v>
      </c>
      <c r="G2296">
        <v>4660.1400000000003</v>
      </c>
      <c r="H2296" t="str">
        <f>VLOOKUP(myynnit[[#This Row],[TuoteID]],ohjaus!$A$4:$B$20,2,FALSE)</f>
        <v>Lepotuoli</v>
      </c>
    </row>
    <row r="2297" spans="1:8" x14ac:dyDescent="0.35">
      <c r="A2297" t="s">
        <v>38</v>
      </c>
      <c r="B2297">
        <v>2014</v>
      </c>
      <c r="C2297">
        <v>10</v>
      </c>
      <c r="D2297">
        <v>12184</v>
      </c>
      <c r="E2297">
        <v>36</v>
      </c>
      <c r="F2297">
        <v>4842.2</v>
      </c>
      <c r="G2297">
        <v>2658.33</v>
      </c>
      <c r="H2297" t="str">
        <f>VLOOKUP(myynnit[[#This Row],[TuoteID]],ohjaus!$A$4:$B$20,2,FALSE)</f>
        <v>Rahi</v>
      </c>
    </row>
    <row r="2298" spans="1:8" x14ac:dyDescent="0.35">
      <c r="A2298" t="s">
        <v>38</v>
      </c>
      <c r="B2298">
        <v>2014</v>
      </c>
      <c r="C2298">
        <v>10</v>
      </c>
      <c r="D2298">
        <v>12622</v>
      </c>
      <c r="E2298">
        <v>67</v>
      </c>
      <c r="F2298">
        <v>15986.72</v>
      </c>
      <c r="G2298">
        <v>7712.01</v>
      </c>
      <c r="H2298" t="str">
        <f>VLOOKUP(myynnit[[#This Row],[TuoteID]],ohjaus!$A$4:$B$20,2,FALSE)</f>
        <v>Pianotuoli</v>
      </c>
    </row>
    <row r="2299" spans="1:8" x14ac:dyDescent="0.35">
      <c r="A2299" t="s">
        <v>38</v>
      </c>
      <c r="B2299">
        <v>2014</v>
      </c>
      <c r="C2299">
        <v>10</v>
      </c>
      <c r="D2299">
        <v>13527</v>
      </c>
      <c r="E2299">
        <v>513</v>
      </c>
      <c r="F2299">
        <v>87949.440000000002</v>
      </c>
      <c r="G2299">
        <v>16922.490000000002</v>
      </c>
      <c r="H2299" t="str">
        <f>VLOOKUP(myynnit[[#This Row],[TuoteID]],ohjaus!$A$4:$B$20,2,FALSE)</f>
        <v>Pinnatuoli</v>
      </c>
    </row>
    <row r="2300" spans="1:8" x14ac:dyDescent="0.35">
      <c r="A2300" t="s">
        <v>38</v>
      </c>
      <c r="B2300">
        <v>2014</v>
      </c>
      <c r="C2300">
        <v>10</v>
      </c>
      <c r="D2300">
        <v>13618</v>
      </c>
      <c r="E2300">
        <v>16</v>
      </c>
      <c r="F2300">
        <v>6622.27</v>
      </c>
      <c r="G2300">
        <v>2963.22</v>
      </c>
      <c r="H2300" t="str">
        <f>VLOOKUP(myynnit[[#This Row],[TuoteID]],ohjaus!$A$4:$B$20,2,FALSE)</f>
        <v>Pianotuoli</v>
      </c>
    </row>
    <row r="2301" spans="1:8" x14ac:dyDescent="0.35">
      <c r="A2301" t="s">
        <v>38</v>
      </c>
      <c r="B2301">
        <v>2014</v>
      </c>
      <c r="C2301">
        <v>10</v>
      </c>
      <c r="D2301">
        <v>16024</v>
      </c>
      <c r="E2301">
        <v>175</v>
      </c>
      <c r="F2301">
        <v>72598.55</v>
      </c>
      <c r="G2301">
        <v>20503.77</v>
      </c>
      <c r="H2301" t="str">
        <f>VLOOKUP(myynnit[[#This Row],[TuoteID]],ohjaus!$A$4:$B$20,2,FALSE)</f>
        <v>Työtuoli</v>
      </c>
    </row>
    <row r="2302" spans="1:8" x14ac:dyDescent="0.35">
      <c r="A2302" t="s">
        <v>38</v>
      </c>
      <c r="B2302">
        <v>2014</v>
      </c>
      <c r="C2302">
        <v>10</v>
      </c>
      <c r="D2302">
        <v>16650</v>
      </c>
      <c r="E2302">
        <v>47</v>
      </c>
      <c r="F2302">
        <v>6786.91</v>
      </c>
      <c r="G2302">
        <v>3930.43</v>
      </c>
      <c r="H2302" t="str">
        <f>VLOOKUP(myynnit[[#This Row],[TuoteID]],ohjaus!$A$4:$B$20,2,FALSE)</f>
        <v>Rahi</v>
      </c>
    </row>
    <row r="2303" spans="1:8" x14ac:dyDescent="0.35">
      <c r="A2303" t="s">
        <v>38</v>
      </c>
      <c r="B2303">
        <v>2014</v>
      </c>
      <c r="C2303">
        <v>10</v>
      </c>
      <c r="D2303">
        <v>17892</v>
      </c>
      <c r="E2303">
        <v>77</v>
      </c>
      <c r="F2303">
        <v>9729.4</v>
      </c>
      <c r="G2303">
        <v>2454.5100000000002</v>
      </c>
      <c r="H2303" t="str">
        <f>VLOOKUP(myynnit[[#This Row],[TuoteID]],ohjaus!$A$4:$B$20,2,FALSE)</f>
        <v>Lepotuoli</v>
      </c>
    </row>
    <row r="2304" spans="1:8" x14ac:dyDescent="0.35">
      <c r="A2304" t="s">
        <v>38</v>
      </c>
      <c r="B2304">
        <v>2014</v>
      </c>
      <c r="C2304">
        <v>10</v>
      </c>
      <c r="D2304">
        <v>18342</v>
      </c>
      <c r="E2304">
        <v>221</v>
      </c>
      <c r="F2304">
        <v>170840.24</v>
      </c>
      <c r="G2304">
        <v>41791.43</v>
      </c>
      <c r="H2304" t="str">
        <f>VLOOKUP(myynnit[[#This Row],[TuoteID]],ohjaus!$A$4:$B$20,2,FALSE)</f>
        <v>Työtuoli</v>
      </c>
    </row>
    <row r="2305" spans="1:8" x14ac:dyDescent="0.35">
      <c r="A2305" t="s">
        <v>38</v>
      </c>
      <c r="B2305">
        <v>2014</v>
      </c>
      <c r="C2305">
        <v>10</v>
      </c>
      <c r="D2305">
        <v>20177</v>
      </c>
      <c r="E2305">
        <v>75</v>
      </c>
      <c r="F2305">
        <v>7597.77</v>
      </c>
      <c r="G2305">
        <v>3084.77</v>
      </c>
      <c r="H2305" t="str">
        <f>VLOOKUP(myynnit[[#This Row],[TuoteID]],ohjaus!$A$4:$B$20,2,FALSE)</f>
        <v>Säkkituoli</v>
      </c>
    </row>
    <row r="2306" spans="1:8" x14ac:dyDescent="0.35">
      <c r="A2306" t="s">
        <v>38</v>
      </c>
      <c r="B2306">
        <v>2014</v>
      </c>
      <c r="C2306">
        <v>10</v>
      </c>
      <c r="D2306">
        <v>21179</v>
      </c>
      <c r="E2306">
        <v>32</v>
      </c>
      <c r="F2306">
        <v>3732.39</v>
      </c>
      <c r="G2306">
        <v>1960.02</v>
      </c>
      <c r="H2306" t="str">
        <f>VLOOKUP(myynnit[[#This Row],[TuoteID]],ohjaus!$A$4:$B$20,2,FALSE)</f>
        <v>Rahi</v>
      </c>
    </row>
    <row r="2307" spans="1:8" x14ac:dyDescent="0.35">
      <c r="A2307" t="s">
        <v>38</v>
      </c>
      <c r="B2307">
        <v>2014</v>
      </c>
      <c r="C2307">
        <v>10</v>
      </c>
      <c r="D2307">
        <v>21260</v>
      </c>
      <c r="E2307">
        <v>86</v>
      </c>
      <c r="F2307">
        <v>17486.72</v>
      </c>
      <c r="G2307">
        <v>3785.26</v>
      </c>
      <c r="H2307" t="str">
        <f>VLOOKUP(myynnit[[#This Row],[TuoteID]],ohjaus!$A$4:$B$20,2,FALSE)</f>
        <v>Lepotuoli</v>
      </c>
    </row>
    <row r="2308" spans="1:8" x14ac:dyDescent="0.35">
      <c r="A2308" t="s">
        <v>38</v>
      </c>
      <c r="B2308">
        <v>2014</v>
      </c>
      <c r="C2308">
        <v>10</v>
      </c>
      <c r="D2308">
        <v>22317</v>
      </c>
      <c r="E2308">
        <v>85</v>
      </c>
      <c r="F2308">
        <v>6779.9</v>
      </c>
      <c r="G2308">
        <v>2236.66</v>
      </c>
      <c r="H2308" t="str">
        <f>VLOOKUP(myynnit[[#This Row],[TuoteID]],ohjaus!$A$4:$B$20,2,FALSE)</f>
        <v>Säkkituoli</v>
      </c>
    </row>
    <row r="2309" spans="1:8" x14ac:dyDescent="0.35">
      <c r="A2309" t="s">
        <v>38</v>
      </c>
      <c r="B2309">
        <v>2014</v>
      </c>
      <c r="C2309">
        <v>10</v>
      </c>
      <c r="D2309">
        <v>22940</v>
      </c>
      <c r="E2309">
        <v>277</v>
      </c>
      <c r="F2309">
        <v>38316.080000000002</v>
      </c>
      <c r="G2309">
        <v>7361.06</v>
      </c>
      <c r="H2309" t="str">
        <f>VLOOKUP(myynnit[[#This Row],[TuoteID]],ohjaus!$A$4:$B$20,2,FALSE)</f>
        <v>Pinnatuoli</v>
      </c>
    </row>
    <row r="2310" spans="1:8" x14ac:dyDescent="0.35">
      <c r="A2310" t="s">
        <v>38</v>
      </c>
      <c r="B2310">
        <v>2014</v>
      </c>
      <c r="C2310">
        <v>10</v>
      </c>
      <c r="D2310">
        <v>23178</v>
      </c>
      <c r="E2310">
        <v>290</v>
      </c>
      <c r="F2310">
        <v>47606.06</v>
      </c>
      <c r="G2310">
        <v>11156.42</v>
      </c>
      <c r="H2310" t="str">
        <f>VLOOKUP(myynnit[[#This Row],[TuoteID]],ohjaus!$A$4:$B$20,2,FALSE)</f>
        <v>Pinnatuoli</v>
      </c>
    </row>
    <row r="2311" spans="1:8" x14ac:dyDescent="0.35">
      <c r="A2311" t="s">
        <v>38</v>
      </c>
      <c r="B2311">
        <v>2014</v>
      </c>
      <c r="C2311">
        <v>10</v>
      </c>
      <c r="D2311">
        <v>23600</v>
      </c>
      <c r="E2311">
        <v>676</v>
      </c>
      <c r="F2311">
        <v>79193.899999999994</v>
      </c>
      <c r="G2311">
        <v>16104.25</v>
      </c>
      <c r="H2311" t="str">
        <f>VLOOKUP(myynnit[[#This Row],[TuoteID]],ohjaus!$A$4:$B$20,2,FALSE)</f>
        <v>Pinnatuoli</v>
      </c>
    </row>
    <row r="2312" spans="1:8" x14ac:dyDescent="0.35">
      <c r="A2312" t="s">
        <v>38</v>
      </c>
      <c r="B2312">
        <v>2014</v>
      </c>
      <c r="C2312">
        <v>10</v>
      </c>
      <c r="D2312">
        <v>23756</v>
      </c>
      <c r="E2312">
        <v>122</v>
      </c>
      <c r="F2312">
        <v>24049.66</v>
      </c>
      <c r="G2312">
        <v>12206.35</v>
      </c>
      <c r="H2312" t="str">
        <f>VLOOKUP(myynnit[[#This Row],[TuoteID]],ohjaus!$A$4:$B$20,2,FALSE)</f>
        <v>Pianotuoli</v>
      </c>
    </row>
    <row r="2313" spans="1:8" x14ac:dyDescent="0.35">
      <c r="A2313" t="s">
        <v>38</v>
      </c>
      <c r="B2313">
        <v>2014</v>
      </c>
      <c r="C2313">
        <v>10</v>
      </c>
      <c r="D2313">
        <v>24326</v>
      </c>
      <c r="E2313">
        <v>131</v>
      </c>
      <c r="F2313">
        <v>19335.650000000001</v>
      </c>
      <c r="G2313">
        <v>4876.57</v>
      </c>
      <c r="H2313" t="str">
        <f>VLOOKUP(myynnit[[#This Row],[TuoteID]],ohjaus!$A$4:$B$20,2,FALSE)</f>
        <v>Lepotuoli</v>
      </c>
    </row>
    <row r="2314" spans="1:8" x14ac:dyDescent="0.35">
      <c r="A2314" t="s">
        <v>37</v>
      </c>
      <c r="B2314">
        <v>2014</v>
      </c>
      <c r="C2314">
        <v>11</v>
      </c>
      <c r="D2314">
        <v>12184</v>
      </c>
      <c r="E2314">
        <v>111</v>
      </c>
      <c r="F2314">
        <v>14344</v>
      </c>
      <c r="G2314">
        <v>5790.74</v>
      </c>
      <c r="H2314" t="str">
        <f>VLOOKUP(myynnit[[#This Row],[TuoteID]],ohjaus!$A$4:$B$20,2,FALSE)</f>
        <v>Rahi</v>
      </c>
    </row>
    <row r="2315" spans="1:8" x14ac:dyDescent="0.35">
      <c r="A2315" t="s">
        <v>37</v>
      </c>
      <c r="B2315">
        <v>2014</v>
      </c>
      <c r="C2315">
        <v>11</v>
      </c>
      <c r="D2315">
        <v>12622</v>
      </c>
      <c r="E2315">
        <v>60</v>
      </c>
      <c r="F2315">
        <v>13463.98</v>
      </c>
      <c r="G2315">
        <v>6105.5</v>
      </c>
      <c r="H2315" t="str">
        <f>VLOOKUP(myynnit[[#This Row],[TuoteID]],ohjaus!$A$4:$B$20,2,FALSE)</f>
        <v>Pianotuoli</v>
      </c>
    </row>
    <row r="2316" spans="1:8" x14ac:dyDescent="0.35">
      <c r="A2316" t="s">
        <v>37</v>
      </c>
      <c r="B2316">
        <v>2014</v>
      </c>
      <c r="C2316">
        <v>11</v>
      </c>
      <c r="D2316">
        <v>13527</v>
      </c>
      <c r="E2316">
        <v>528</v>
      </c>
      <c r="F2316">
        <v>80810.210000000006</v>
      </c>
      <c r="G2316">
        <v>16344.02</v>
      </c>
      <c r="H2316" t="str">
        <f>VLOOKUP(myynnit[[#This Row],[TuoteID]],ohjaus!$A$4:$B$20,2,FALSE)</f>
        <v>Pinnatuoli</v>
      </c>
    </row>
    <row r="2317" spans="1:8" x14ac:dyDescent="0.35">
      <c r="A2317" t="s">
        <v>37</v>
      </c>
      <c r="B2317">
        <v>2014</v>
      </c>
      <c r="C2317">
        <v>11</v>
      </c>
      <c r="D2317">
        <v>13618</v>
      </c>
      <c r="E2317">
        <v>11</v>
      </c>
      <c r="F2317">
        <v>3925.99</v>
      </c>
      <c r="G2317">
        <v>1578.98</v>
      </c>
      <c r="H2317" t="str">
        <f>VLOOKUP(myynnit[[#This Row],[TuoteID]],ohjaus!$A$4:$B$20,2,FALSE)</f>
        <v>Pianotuoli</v>
      </c>
    </row>
    <row r="2318" spans="1:8" x14ac:dyDescent="0.35">
      <c r="A2318" t="s">
        <v>37</v>
      </c>
      <c r="B2318">
        <v>2014</v>
      </c>
      <c r="C2318">
        <v>11</v>
      </c>
      <c r="D2318">
        <v>16024</v>
      </c>
      <c r="E2318">
        <v>324</v>
      </c>
      <c r="F2318">
        <v>130039.57</v>
      </c>
      <c r="G2318">
        <v>40003.22</v>
      </c>
      <c r="H2318" t="str">
        <f>VLOOKUP(myynnit[[#This Row],[TuoteID]],ohjaus!$A$4:$B$20,2,FALSE)</f>
        <v>Työtuoli</v>
      </c>
    </row>
    <row r="2319" spans="1:8" x14ac:dyDescent="0.35">
      <c r="A2319" t="s">
        <v>37</v>
      </c>
      <c r="B2319">
        <v>2014</v>
      </c>
      <c r="C2319">
        <v>11</v>
      </c>
      <c r="D2319">
        <v>16650</v>
      </c>
      <c r="E2319">
        <v>33</v>
      </c>
      <c r="F2319">
        <v>4540.45</v>
      </c>
      <c r="G2319">
        <v>2381.6999999999998</v>
      </c>
      <c r="H2319" t="str">
        <f>VLOOKUP(myynnit[[#This Row],[TuoteID]],ohjaus!$A$4:$B$20,2,FALSE)</f>
        <v>Rahi</v>
      </c>
    </row>
    <row r="2320" spans="1:8" x14ac:dyDescent="0.35">
      <c r="A2320" t="s">
        <v>37</v>
      </c>
      <c r="B2320">
        <v>2014</v>
      </c>
      <c r="C2320">
        <v>11</v>
      </c>
      <c r="D2320">
        <v>17892</v>
      </c>
      <c r="E2320">
        <v>81</v>
      </c>
      <c r="F2320">
        <v>10940.4</v>
      </c>
      <c r="G2320">
        <v>3284.47</v>
      </c>
      <c r="H2320" t="str">
        <f>VLOOKUP(myynnit[[#This Row],[TuoteID]],ohjaus!$A$4:$B$20,2,FALSE)</f>
        <v>Lepotuoli</v>
      </c>
    </row>
    <row r="2321" spans="1:8" x14ac:dyDescent="0.35">
      <c r="A2321" t="s">
        <v>37</v>
      </c>
      <c r="B2321">
        <v>2014</v>
      </c>
      <c r="C2321">
        <v>11</v>
      </c>
      <c r="D2321">
        <v>18342</v>
      </c>
      <c r="E2321">
        <v>159</v>
      </c>
      <c r="F2321">
        <v>148390.91</v>
      </c>
      <c r="G2321">
        <v>48660.13</v>
      </c>
      <c r="H2321" t="str">
        <f>VLOOKUP(myynnit[[#This Row],[TuoteID]],ohjaus!$A$4:$B$20,2,FALSE)</f>
        <v>Työtuoli</v>
      </c>
    </row>
    <row r="2322" spans="1:8" x14ac:dyDescent="0.35">
      <c r="A2322" t="s">
        <v>37</v>
      </c>
      <c r="B2322">
        <v>2014</v>
      </c>
      <c r="C2322">
        <v>11</v>
      </c>
      <c r="D2322">
        <v>20177</v>
      </c>
      <c r="E2322">
        <v>104</v>
      </c>
      <c r="F2322">
        <v>11886.13</v>
      </c>
      <c r="G2322">
        <v>4222.25</v>
      </c>
      <c r="H2322" t="str">
        <f>VLOOKUP(myynnit[[#This Row],[TuoteID]],ohjaus!$A$4:$B$20,2,FALSE)</f>
        <v>Säkkituoli</v>
      </c>
    </row>
    <row r="2323" spans="1:8" x14ac:dyDescent="0.35">
      <c r="A2323" t="s">
        <v>37</v>
      </c>
      <c r="B2323">
        <v>2014</v>
      </c>
      <c r="C2323">
        <v>11</v>
      </c>
      <c r="D2323">
        <v>21179</v>
      </c>
      <c r="E2323">
        <v>58</v>
      </c>
      <c r="F2323">
        <v>6956.94</v>
      </c>
      <c r="G2323">
        <v>3627.74</v>
      </c>
      <c r="H2323" t="str">
        <f>VLOOKUP(myynnit[[#This Row],[TuoteID]],ohjaus!$A$4:$B$20,2,FALSE)</f>
        <v>Rahi</v>
      </c>
    </row>
    <row r="2324" spans="1:8" x14ac:dyDescent="0.35">
      <c r="A2324" t="s">
        <v>37</v>
      </c>
      <c r="B2324">
        <v>2014</v>
      </c>
      <c r="C2324">
        <v>11</v>
      </c>
      <c r="D2324">
        <v>21260</v>
      </c>
      <c r="E2324">
        <v>110</v>
      </c>
      <c r="F2324">
        <v>23586.79</v>
      </c>
      <c r="G2324">
        <v>6410.19</v>
      </c>
      <c r="H2324" t="str">
        <f>VLOOKUP(myynnit[[#This Row],[TuoteID]],ohjaus!$A$4:$B$20,2,FALSE)</f>
        <v>Lepotuoli</v>
      </c>
    </row>
    <row r="2325" spans="1:8" x14ac:dyDescent="0.35">
      <c r="A2325" t="s">
        <v>37</v>
      </c>
      <c r="B2325">
        <v>2014</v>
      </c>
      <c r="C2325">
        <v>11</v>
      </c>
      <c r="D2325">
        <v>22317</v>
      </c>
      <c r="E2325">
        <v>123</v>
      </c>
      <c r="F2325">
        <v>10638.51</v>
      </c>
      <c r="G2325">
        <v>4108.3</v>
      </c>
      <c r="H2325" t="str">
        <f>VLOOKUP(myynnit[[#This Row],[TuoteID]],ohjaus!$A$4:$B$20,2,FALSE)</f>
        <v>Säkkituoli</v>
      </c>
    </row>
    <row r="2326" spans="1:8" x14ac:dyDescent="0.35">
      <c r="A2326" t="s">
        <v>37</v>
      </c>
      <c r="B2326">
        <v>2014</v>
      </c>
      <c r="C2326">
        <v>11</v>
      </c>
      <c r="D2326">
        <v>22940</v>
      </c>
      <c r="E2326">
        <v>768</v>
      </c>
      <c r="F2326">
        <v>100904.33</v>
      </c>
      <c r="G2326">
        <v>17801.61</v>
      </c>
      <c r="H2326" t="str">
        <f>VLOOKUP(myynnit[[#This Row],[TuoteID]],ohjaus!$A$4:$B$20,2,FALSE)</f>
        <v>Pinnatuoli</v>
      </c>
    </row>
    <row r="2327" spans="1:8" x14ac:dyDescent="0.35">
      <c r="A2327" t="s">
        <v>37</v>
      </c>
      <c r="B2327">
        <v>2014</v>
      </c>
      <c r="C2327">
        <v>11</v>
      </c>
      <c r="D2327">
        <v>23178</v>
      </c>
      <c r="E2327">
        <v>200</v>
      </c>
      <c r="F2327">
        <v>37184.559999999998</v>
      </c>
      <c r="G2327">
        <v>6010.96</v>
      </c>
      <c r="H2327" t="str">
        <f>VLOOKUP(myynnit[[#This Row],[TuoteID]],ohjaus!$A$4:$B$20,2,FALSE)</f>
        <v>Pinnatuoli</v>
      </c>
    </row>
    <row r="2328" spans="1:8" x14ac:dyDescent="0.35">
      <c r="A2328" t="s">
        <v>37</v>
      </c>
      <c r="B2328">
        <v>2014</v>
      </c>
      <c r="C2328">
        <v>11</v>
      </c>
      <c r="D2328">
        <v>23600</v>
      </c>
      <c r="E2328">
        <v>1252</v>
      </c>
      <c r="F2328">
        <v>144542.82</v>
      </c>
      <c r="G2328">
        <v>29628.5</v>
      </c>
      <c r="H2328" t="str">
        <f>VLOOKUP(myynnit[[#This Row],[TuoteID]],ohjaus!$A$4:$B$20,2,FALSE)</f>
        <v>Pinnatuoli</v>
      </c>
    </row>
    <row r="2329" spans="1:8" x14ac:dyDescent="0.35">
      <c r="A2329" t="s">
        <v>37</v>
      </c>
      <c r="B2329">
        <v>2014</v>
      </c>
      <c r="C2329">
        <v>11</v>
      </c>
      <c r="D2329">
        <v>23756</v>
      </c>
      <c r="E2329">
        <v>142</v>
      </c>
      <c r="F2329">
        <v>27912.51</v>
      </c>
      <c r="G2329">
        <v>14898.38</v>
      </c>
      <c r="H2329" t="str">
        <f>VLOOKUP(myynnit[[#This Row],[TuoteID]],ohjaus!$A$4:$B$20,2,FALSE)</f>
        <v>Pianotuoli</v>
      </c>
    </row>
    <row r="2330" spans="1:8" x14ac:dyDescent="0.35">
      <c r="A2330" t="s">
        <v>37</v>
      </c>
      <c r="B2330">
        <v>2014</v>
      </c>
      <c r="C2330">
        <v>11</v>
      </c>
      <c r="D2330">
        <v>24326</v>
      </c>
      <c r="E2330">
        <v>101</v>
      </c>
      <c r="F2330">
        <v>13503.65</v>
      </c>
      <c r="G2330">
        <v>3955.34</v>
      </c>
      <c r="H2330" t="str">
        <f>VLOOKUP(myynnit[[#This Row],[TuoteID]],ohjaus!$A$4:$B$20,2,FALSE)</f>
        <v>Lepotuoli</v>
      </c>
    </row>
    <row r="2331" spans="1:8" x14ac:dyDescent="0.35">
      <c r="A2331" t="s">
        <v>40</v>
      </c>
      <c r="B2331">
        <v>2014</v>
      </c>
      <c r="C2331">
        <v>11</v>
      </c>
      <c r="D2331">
        <v>12184</v>
      </c>
      <c r="E2331">
        <v>32</v>
      </c>
      <c r="F2331">
        <v>4016.68</v>
      </c>
      <c r="G2331">
        <v>1733.69</v>
      </c>
      <c r="H2331" t="str">
        <f>VLOOKUP(myynnit[[#This Row],[TuoteID]],ohjaus!$A$4:$B$20,2,FALSE)</f>
        <v>Rahi</v>
      </c>
    </row>
    <row r="2332" spans="1:8" x14ac:dyDescent="0.35">
      <c r="A2332" t="s">
        <v>40</v>
      </c>
      <c r="B2332">
        <v>2014</v>
      </c>
      <c r="C2332">
        <v>11</v>
      </c>
      <c r="D2332">
        <v>12622</v>
      </c>
      <c r="E2332">
        <v>22</v>
      </c>
      <c r="F2332">
        <v>5933.49</v>
      </c>
      <c r="G2332">
        <v>2107.67</v>
      </c>
      <c r="H2332" t="str">
        <f>VLOOKUP(myynnit[[#This Row],[TuoteID]],ohjaus!$A$4:$B$20,2,FALSE)</f>
        <v>Pianotuoli</v>
      </c>
    </row>
    <row r="2333" spans="1:8" x14ac:dyDescent="0.35">
      <c r="A2333" t="s">
        <v>40</v>
      </c>
      <c r="B2333">
        <v>2014</v>
      </c>
      <c r="C2333">
        <v>11</v>
      </c>
      <c r="D2333">
        <v>13527</v>
      </c>
      <c r="E2333">
        <v>139</v>
      </c>
      <c r="F2333">
        <v>21105.67</v>
      </c>
      <c r="G2333">
        <v>4191.3599999999997</v>
      </c>
      <c r="H2333" t="str">
        <f>VLOOKUP(myynnit[[#This Row],[TuoteID]],ohjaus!$A$4:$B$20,2,FALSE)</f>
        <v>Pinnatuoli</v>
      </c>
    </row>
    <row r="2334" spans="1:8" x14ac:dyDescent="0.35">
      <c r="A2334" t="s">
        <v>40</v>
      </c>
      <c r="B2334">
        <v>2014</v>
      </c>
      <c r="C2334">
        <v>11</v>
      </c>
      <c r="D2334">
        <v>13618</v>
      </c>
      <c r="E2334">
        <v>8</v>
      </c>
      <c r="F2334">
        <v>3028.47</v>
      </c>
      <c r="G2334">
        <v>1143.93</v>
      </c>
      <c r="H2334" t="str">
        <f>VLOOKUP(myynnit[[#This Row],[TuoteID]],ohjaus!$A$4:$B$20,2,FALSE)</f>
        <v>Pianotuoli</v>
      </c>
    </row>
    <row r="2335" spans="1:8" x14ac:dyDescent="0.35">
      <c r="A2335" t="s">
        <v>40</v>
      </c>
      <c r="B2335">
        <v>2014</v>
      </c>
      <c r="C2335">
        <v>11</v>
      </c>
      <c r="D2335">
        <v>16024</v>
      </c>
      <c r="E2335">
        <v>129</v>
      </c>
      <c r="F2335">
        <v>55016.94</v>
      </c>
      <c r="G2335">
        <v>15636.38</v>
      </c>
      <c r="H2335" t="str">
        <f>VLOOKUP(myynnit[[#This Row],[TuoteID]],ohjaus!$A$4:$B$20,2,FALSE)</f>
        <v>Työtuoli</v>
      </c>
    </row>
    <row r="2336" spans="1:8" x14ac:dyDescent="0.35">
      <c r="A2336" t="s">
        <v>40</v>
      </c>
      <c r="B2336">
        <v>2014</v>
      </c>
      <c r="C2336">
        <v>11</v>
      </c>
      <c r="D2336">
        <v>16650</v>
      </c>
      <c r="E2336">
        <v>36</v>
      </c>
      <c r="F2336">
        <v>4938.3900000000003</v>
      </c>
      <c r="G2336">
        <v>2691.2</v>
      </c>
      <c r="H2336" t="str">
        <f>VLOOKUP(myynnit[[#This Row],[TuoteID]],ohjaus!$A$4:$B$20,2,FALSE)</f>
        <v>Rahi</v>
      </c>
    </row>
    <row r="2337" spans="1:8" x14ac:dyDescent="0.35">
      <c r="A2337" t="s">
        <v>40</v>
      </c>
      <c r="B2337">
        <v>2014</v>
      </c>
      <c r="C2337">
        <v>11</v>
      </c>
      <c r="D2337">
        <v>17892</v>
      </c>
      <c r="E2337">
        <v>63</v>
      </c>
      <c r="F2337">
        <v>9108.7099999999991</v>
      </c>
      <c r="G2337">
        <v>2259.6</v>
      </c>
      <c r="H2337" t="str">
        <f>VLOOKUP(myynnit[[#This Row],[TuoteID]],ohjaus!$A$4:$B$20,2,FALSE)</f>
        <v>Lepotuoli</v>
      </c>
    </row>
    <row r="2338" spans="1:8" x14ac:dyDescent="0.35">
      <c r="A2338" t="s">
        <v>40</v>
      </c>
      <c r="B2338">
        <v>2014</v>
      </c>
      <c r="C2338">
        <v>11</v>
      </c>
      <c r="D2338">
        <v>18342</v>
      </c>
      <c r="E2338">
        <v>19</v>
      </c>
      <c r="F2338">
        <v>16102.88</v>
      </c>
      <c r="G2338">
        <v>5334.03</v>
      </c>
      <c r="H2338" t="str">
        <f>VLOOKUP(myynnit[[#This Row],[TuoteID]],ohjaus!$A$4:$B$20,2,FALSE)</f>
        <v>Työtuoli</v>
      </c>
    </row>
    <row r="2339" spans="1:8" x14ac:dyDescent="0.35">
      <c r="A2339" t="s">
        <v>40</v>
      </c>
      <c r="B2339">
        <v>2014</v>
      </c>
      <c r="C2339">
        <v>11</v>
      </c>
      <c r="D2339">
        <v>20177</v>
      </c>
      <c r="E2339">
        <v>26</v>
      </c>
      <c r="F2339">
        <v>2523.62</v>
      </c>
      <c r="G2339">
        <v>942.13</v>
      </c>
      <c r="H2339" t="str">
        <f>VLOOKUP(myynnit[[#This Row],[TuoteID]],ohjaus!$A$4:$B$20,2,FALSE)</f>
        <v>Säkkituoli</v>
      </c>
    </row>
    <row r="2340" spans="1:8" x14ac:dyDescent="0.35">
      <c r="A2340" t="s">
        <v>40</v>
      </c>
      <c r="B2340">
        <v>2014</v>
      </c>
      <c r="C2340">
        <v>11</v>
      </c>
      <c r="D2340">
        <v>21179</v>
      </c>
      <c r="E2340">
        <v>42</v>
      </c>
      <c r="F2340">
        <v>6015.69</v>
      </c>
      <c r="G2340">
        <v>3755.23</v>
      </c>
      <c r="H2340" t="str">
        <f>VLOOKUP(myynnit[[#This Row],[TuoteID]],ohjaus!$A$4:$B$20,2,FALSE)</f>
        <v>Rahi</v>
      </c>
    </row>
    <row r="2341" spans="1:8" x14ac:dyDescent="0.35">
      <c r="A2341" t="s">
        <v>40</v>
      </c>
      <c r="B2341">
        <v>2014</v>
      </c>
      <c r="C2341">
        <v>11</v>
      </c>
      <c r="D2341">
        <v>21260</v>
      </c>
      <c r="E2341">
        <v>34</v>
      </c>
      <c r="F2341">
        <v>6392.12</v>
      </c>
      <c r="G2341">
        <v>1527.96</v>
      </c>
      <c r="H2341" t="str">
        <f>VLOOKUP(myynnit[[#This Row],[TuoteID]],ohjaus!$A$4:$B$20,2,FALSE)</f>
        <v>Lepotuoli</v>
      </c>
    </row>
    <row r="2342" spans="1:8" x14ac:dyDescent="0.35">
      <c r="A2342" t="s">
        <v>40</v>
      </c>
      <c r="B2342">
        <v>2014</v>
      </c>
      <c r="C2342">
        <v>11</v>
      </c>
      <c r="D2342">
        <v>22317</v>
      </c>
      <c r="E2342">
        <v>15</v>
      </c>
      <c r="F2342">
        <v>1122.45</v>
      </c>
      <c r="G2342">
        <v>472.33</v>
      </c>
      <c r="H2342" t="str">
        <f>VLOOKUP(myynnit[[#This Row],[TuoteID]],ohjaus!$A$4:$B$20,2,FALSE)</f>
        <v>Säkkituoli</v>
      </c>
    </row>
    <row r="2343" spans="1:8" x14ac:dyDescent="0.35">
      <c r="A2343" t="s">
        <v>40</v>
      </c>
      <c r="B2343">
        <v>2014</v>
      </c>
      <c r="C2343">
        <v>11</v>
      </c>
      <c r="D2343">
        <v>22940</v>
      </c>
      <c r="E2343">
        <v>202</v>
      </c>
      <c r="F2343">
        <v>24046</v>
      </c>
      <c r="G2343">
        <v>6686.72</v>
      </c>
      <c r="H2343" t="str">
        <f>VLOOKUP(myynnit[[#This Row],[TuoteID]],ohjaus!$A$4:$B$20,2,FALSE)</f>
        <v>Pinnatuoli</v>
      </c>
    </row>
    <row r="2344" spans="1:8" x14ac:dyDescent="0.35">
      <c r="A2344" t="s">
        <v>40</v>
      </c>
      <c r="B2344">
        <v>2014</v>
      </c>
      <c r="C2344">
        <v>11</v>
      </c>
      <c r="D2344">
        <v>23178</v>
      </c>
      <c r="E2344">
        <v>322</v>
      </c>
      <c r="F2344">
        <v>57727.5</v>
      </c>
      <c r="G2344">
        <v>14729.76</v>
      </c>
      <c r="H2344" t="str">
        <f>VLOOKUP(myynnit[[#This Row],[TuoteID]],ohjaus!$A$4:$B$20,2,FALSE)</f>
        <v>Pinnatuoli</v>
      </c>
    </row>
    <row r="2345" spans="1:8" x14ac:dyDescent="0.35">
      <c r="A2345" t="s">
        <v>40</v>
      </c>
      <c r="B2345">
        <v>2014</v>
      </c>
      <c r="C2345">
        <v>11</v>
      </c>
      <c r="D2345">
        <v>23600</v>
      </c>
      <c r="E2345">
        <v>607</v>
      </c>
      <c r="F2345">
        <v>66025.14</v>
      </c>
      <c r="G2345">
        <v>17695.68</v>
      </c>
      <c r="H2345" t="str">
        <f>VLOOKUP(myynnit[[#This Row],[TuoteID]],ohjaus!$A$4:$B$20,2,FALSE)</f>
        <v>Pinnatuoli</v>
      </c>
    </row>
    <row r="2346" spans="1:8" x14ac:dyDescent="0.35">
      <c r="A2346" t="s">
        <v>40</v>
      </c>
      <c r="B2346">
        <v>2014</v>
      </c>
      <c r="C2346">
        <v>11</v>
      </c>
      <c r="D2346">
        <v>23756</v>
      </c>
      <c r="E2346">
        <v>48</v>
      </c>
      <c r="F2346">
        <v>7868.33</v>
      </c>
      <c r="G2346">
        <v>3633.34</v>
      </c>
      <c r="H2346" t="str">
        <f>VLOOKUP(myynnit[[#This Row],[TuoteID]],ohjaus!$A$4:$B$20,2,FALSE)</f>
        <v>Pianotuoli</v>
      </c>
    </row>
    <row r="2347" spans="1:8" x14ac:dyDescent="0.35">
      <c r="A2347" t="s">
        <v>40</v>
      </c>
      <c r="B2347">
        <v>2014</v>
      </c>
      <c r="C2347">
        <v>11</v>
      </c>
      <c r="D2347">
        <v>24326</v>
      </c>
      <c r="E2347">
        <v>33</v>
      </c>
      <c r="F2347">
        <v>5110.46</v>
      </c>
      <c r="G2347">
        <v>1365.65</v>
      </c>
      <c r="H2347" t="str">
        <f>VLOOKUP(myynnit[[#This Row],[TuoteID]],ohjaus!$A$4:$B$20,2,FALSE)</f>
        <v>Lepotuoli</v>
      </c>
    </row>
    <row r="2348" spans="1:8" x14ac:dyDescent="0.35">
      <c r="A2348" t="s">
        <v>39</v>
      </c>
      <c r="B2348">
        <v>2014</v>
      </c>
      <c r="C2348">
        <v>11</v>
      </c>
      <c r="D2348">
        <v>12184</v>
      </c>
      <c r="E2348">
        <v>109</v>
      </c>
      <c r="F2348">
        <v>16574.240000000002</v>
      </c>
      <c r="G2348">
        <v>10970.96</v>
      </c>
      <c r="H2348" t="str">
        <f>VLOOKUP(myynnit[[#This Row],[TuoteID]],ohjaus!$A$4:$B$20,2,FALSE)</f>
        <v>Rahi</v>
      </c>
    </row>
    <row r="2349" spans="1:8" x14ac:dyDescent="0.35">
      <c r="A2349" t="s">
        <v>39</v>
      </c>
      <c r="B2349">
        <v>2014</v>
      </c>
      <c r="C2349">
        <v>11</v>
      </c>
      <c r="D2349">
        <v>12622</v>
      </c>
      <c r="E2349">
        <v>57</v>
      </c>
      <c r="F2349">
        <v>15134.03</v>
      </c>
      <c r="G2349">
        <v>8284.6200000000008</v>
      </c>
      <c r="H2349" t="str">
        <f>VLOOKUP(myynnit[[#This Row],[TuoteID]],ohjaus!$A$4:$B$20,2,FALSE)</f>
        <v>Pianotuoli</v>
      </c>
    </row>
    <row r="2350" spans="1:8" x14ac:dyDescent="0.35">
      <c r="A2350" t="s">
        <v>39</v>
      </c>
      <c r="B2350">
        <v>2014</v>
      </c>
      <c r="C2350">
        <v>11</v>
      </c>
      <c r="D2350">
        <v>13527</v>
      </c>
      <c r="E2350">
        <v>496</v>
      </c>
      <c r="F2350">
        <v>75249.570000000007</v>
      </c>
      <c r="G2350">
        <v>20796.78</v>
      </c>
      <c r="H2350" t="str">
        <f>VLOOKUP(myynnit[[#This Row],[TuoteID]],ohjaus!$A$4:$B$20,2,FALSE)</f>
        <v>Pinnatuoli</v>
      </c>
    </row>
    <row r="2351" spans="1:8" x14ac:dyDescent="0.35">
      <c r="A2351" t="s">
        <v>39</v>
      </c>
      <c r="B2351">
        <v>2014</v>
      </c>
      <c r="C2351">
        <v>11</v>
      </c>
      <c r="D2351">
        <v>13618</v>
      </c>
      <c r="E2351">
        <v>12</v>
      </c>
      <c r="F2351">
        <v>5537.72</v>
      </c>
      <c r="G2351">
        <v>3333.13</v>
      </c>
      <c r="H2351" t="str">
        <f>VLOOKUP(myynnit[[#This Row],[TuoteID]],ohjaus!$A$4:$B$20,2,FALSE)</f>
        <v>Pianotuoli</v>
      </c>
    </row>
    <row r="2352" spans="1:8" x14ac:dyDescent="0.35">
      <c r="A2352" t="s">
        <v>39</v>
      </c>
      <c r="B2352">
        <v>2014</v>
      </c>
      <c r="C2352">
        <v>11</v>
      </c>
      <c r="D2352">
        <v>16024</v>
      </c>
      <c r="E2352">
        <v>128</v>
      </c>
      <c r="F2352">
        <v>59579.45</v>
      </c>
      <c r="G2352">
        <v>16752.62</v>
      </c>
      <c r="H2352" t="str">
        <f>VLOOKUP(myynnit[[#This Row],[TuoteID]],ohjaus!$A$4:$B$20,2,FALSE)</f>
        <v>Työtuoli</v>
      </c>
    </row>
    <row r="2353" spans="1:8" x14ac:dyDescent="0.35">
      <c r="A2353" t="s">
        <v>39</v>
      </c>
      <c r="B2353">
        <v>2014</v>
      </c>
      <c r="C2353">
        <v>11</v>
      </c>
      <c r="D2353">
        <v>16650</v>
      </c>
      <c r="E2353">
        <v>34</v>
      </c>
      <c r="F2353">
        <v>5242.82</v>
      </c>
      <c r="G2353">
        <v>4061.45</v>
      </c>
      <c r="H2353" t="str">
        <f>VLOOKUP(myynnit[[#This Row],[TuoteID]],ohjaus!$A$4:$B$20,2,FALSE)</f>
        <v>Rahi</v>
      </c>
    </row>
    <row r="2354" spans="1:8" x14ac:dyDescent="0.35">
      <c r="A2354" t="s">
        <v>39</v>
      </c>
      <c r="B2354">
        <v>2014</v>
      </c>
      <c r="C2354">
        <v>11</v>
      </c>
      <c r="D2354">
        <v>17892</v>
      </c>
      <c r="E2354">
        <v>82</v>
      </c>
      <c r="F2354">
        <v>10595.3</v>
      </c>
      <c r="G2354">
        <v>3450.38</v>
      </c>
      <c r="H2354" t="str">
        <f>VLOOKUP(myynnit[[#This Row],[TuoteID]],ohjaus!$A$4:$B$20,2,FALSE)</f>
        <v>Lepotuoli</v>
      </c>
    </row>
    <row r="2355" spans="1:8" x14ac:dyDescent="0.35">
      <c r="A2355" t="s">
        <v>39</v>
      </c>
      <c r="B2355">
        <v>2014</v>
      </c>
      <c r="C2355">
        <v>11</v>
      </c>
      <c r="D2355">
        <v>18342</v>
      </c>
      <c r="E2355">
        <v>133</v>
      </c>
      <c r="F2355">
        <v>117640.76</v>
      </c>
      <c r="G2355">
        <v>32879.660000000003</v>
      </c>
      <c r="H2355" t="str">
        <f>VLOOKUP(myynnit[[#This Row],[TuoteID]],ohjaus!$A$4:$B$20,2,FALSE)</f>
        <v>Työtuoli</v>
      </c>
    </row>
    <row r="2356" spans="1:8" x14ac:dyDescent="0.35">
      <c r="A2356" t="s">
        <v>39</v>
      </c>
      <c r="B2356">
        <v>2014</v>
      </c>
      <c r="C2356">
        <v>11</v>
      </c>
      <c r="D2356">
        <v>20177</v>
      </c>
      <c r="E2356">
        <v>79</v>
      </c>
      <c r="F2356">
        <v>7429.23</v>
      </c>
      <c r="G2356">
        <v>3580.62</v>
      </c>
      <c r="H2356" t="str">
        <f>VLOOKUP(myynnit[[#This Row],[TuoteID]],ohjaus!$A$4:$B$20,2,FALSE)</f>
        <v>Säkkituoli</v>
      </c>
    </row>
    <row r="2357" spans="1:8" x14ac:dyDescent="0.35">
      <c r="A2357" t="s">
        <v>39</v>
      </c>
      <c r="B2357">
        <v>2014</v>
      </c>
      <c r="C2357">
        <v>11</v>
      </c>
      <c r="D2357">
        <v>21179</v>
      </c>
      <c r="E2357">
        <v>66</v>
      </c>
      <c r="F2357">
        <v>7327.91</v>
      </c>
      <c r="G2357">
        <v>4497.9799999999996</v>
      </c>
      <c r="H2357" t="str">
        <f>VLOOKUP(myynnit[[#This Row],[TuoteID]],ohjaus!$A$4:$B$20,2,FALSE)</f>
        <v>Rahi</v>
      </c>
    </row>
    <row r="2358" spans="1:8" x14ac:dyDescent="0.35">
      <c r="A2358" t="s">
        <v>39</v>
      </c>
      <c r="B2358">
        <v>2014</v>
      </c>
      <c r="C2358">
        <v>11</v>
      </c>
      <c r="D2358">
        <v>21260</v>
      </c>
      <c r="E2358">
        <v>57</v>
      </c>
      <c r="F2358">
        <v>11939.5</v>
      </c>
      <c r="G2358">
        <v>3812.84</v>
      </c>
      <c r="H2358" t="str">
        <f>VLOOKUP(myynnit[[#This Row],[TuoteID]],ohjaus!$A$4:$B$20,2,FALSE)</f>
        <v>Lepotuoli</v>
      </c>
    </row>
    <row r="2359" spans="1:8" x14ac:dyDescent="0.35">
      <c r="A2359" t="s">
        <v>39</v>
      </c>
      <c r="B2359">
        <v>2014</v>
      </c>
      <c r="C2359">
        <v>11</v>
      </c>
      <c r="D2359">
        <v>22317</v>
      </c>
      <c r="E2359">
        <v>49</v>
      </c>
      <c r="F2359">
        <v>4632.9399999999996</v>
      </c>
      <c r="G2359">
        <v>2323.27</v>
      </c>
      <c r="H2359" t="str">
        <f>VLOOKUP(myynnit[[#This Row],[TuoteID]],ohjaus!$A$4:$B$20,2,FALSE)</f>
        <v>Säkkituoli</v>
      </c>
    </row>
    <row r="2360" spans="1:8" x14ac:dyDescent="0.35">
      <c r="A2360" t="s">
        <v>39</v>
      </c>
      <c r="B2360">
        <v>2014</v>
      </c>
      <c r="C2360">
        <v>11</v>
      </c>
      <c r="D2360">
        <v>22940</v>
      </c>
      <c r="E2360">
        <v>354</v>
      </c>
      <c r="F2360">
        <v>49926.33</v>
      </c>
      <c r="G2360">
        <v>14158.06</v>
      </c>
      <c r="H2360" t="str">
        <f>VLOOKUP(myynnit[[#This Row],[TuoteID]],ohjaus!$A$4:$B$20,2,FALSE)</f>
        <v>Pinnatuoli</v>
      </c>
    </row>
    <row r="2361" spans="1:8" x14ac:dyDescent="0.35">
      <c r="A2361" t="s">
        <v>39</v>
      </c>
      <c r="B2361">
        <v>2014</v>
      </c>
      <c r="C2361">
        <v>11</v>
      </c>
      <c r="D2361">
        <v>23178</v>
      </c>
      <c r="E2361">
        <v>244</v>
      </c>
      <c r="F2361">
        <v>48220.18</v>
      </c>
      <c r="G2361">
        <v>10294.31</v>
      </c>
      <c r="H2361" t="str">
        <f>VLOOKUP(myynnit[[#This Row],[TuoteID]],ohjaus!$A$4:$B$20,2,FALSE)</f>
        <v>Pinnatuoli</v>
      </c>
    </row>
    <row r="2362" spans="1:8" x14ac:dyDescent="0.35">
      <c r="A2362" t="s">
        <v>39</v>
      </c>
      <c r="B2362">
        <v>2014</v>
      </c>
      <c r="C2362">
        <v>11</v>
      </c>
      <c r="D2362">
        <v>23600</v>
      </c>
      <c r="E2362">
        <v>944</v>
      </c>
      <c r="F2362">
        <v>103028.59</v>
      </c>
      <c r="G2362">
        <v>25413.279999999999</v>
      </c>
      <c r="H2362" t="str">
        <f>VLOOKUP(myynnit[[#This Row],[TuoteID]],ohjaus!$A$4:$B$20,2,FALSE)</f>
        <v>Pinnatuoli</v>
      </c>
    </row>
    <row r="2363" spans="1:8" x14ac:dyDescent="0.35">
      <c r="A2363" t="s">
        <v>39</v>
      </c>
      <c r="B2363">
        <v>2014</v>
      </c>
      <c r="C2363">
        <v>11</v>
      </c>
      <c r="D2363">
        <v>23756</v>
      </c>
      <c r="E2363">
        <v>54</v>
      </c>
      <c r="F2363">
        <v>9541.84</v>
      </c>
      <c r="G2363">
        <v>5665.17</v>
      </c>
      <c r="H2363" t="str">
        <f>VLOOKUP(myynnit[[#This Row],[TuoteID]],ohjaus!$A$4:$B$20,2,FALSE)</f>
        <v>Pianotuoli</v>
      </c>
    </row>
    <row r="2364" spans="1:8" x14ac:dyDescent="0.35">
      <c r="A2364" t="s">
        <v>39</v>
      </c>
      <c r="B2364">
        <v>2014</v>
      </c>
      <c r="C2364">
        <v>11</v>
      </c>
      <c r="D2364">
        <v>24326</v>
      </c>
      <c r="E2364">
        <v>149</v>
      </c>
      <c r="F2364">
        <v>20999.38</v>
      </c>
      <c r="G2364">
        <v>5960.61</v>
      </c>
      <c r="H2364" t="str">
        <f>VLOOKUP(myynnit[[#This Row],[TuoteID]],ohjaus!$A$4:$B$20,2,FALSE)</f>
        <v>Lepotuoli</v>
      </c>
    </row>
    <row r="2365" spans="1:8" x14ac:dyDescent="0.35">
      <c r="A2365" t="s">
        <v>38</v>
      </c>
      <c r="B2365">
        <v>2014</v>
      </c>
      <c r="C2365">
        <v>11</v>
      </c>
      <c r="D2365">
        <v>12184</v>
      </c>
      <c r="E2365">
        <v>52</v>
      </c>
      <c r="F2365">
        <v>7358.19</v>
      </c>
      <c r="G2365">
        <v>4805.7</v>
      </c>
      <c r="H2365" t="str">
        <f>VLOOKUP(myynnit[[#This Row],[TuoteID]],ohjaus!$A$4:$B$20,2,FALSE)</f>
        <v>Rahi</v>
      </c>
    </row>
    <row r="2366" spans="1:8" x14ac:dyDescent="0.35">
      <c r="A2366" t="s">
        <v>38</v>
      </c>
      <c r="B2366">
        <v>2014</v>
      </c>
      <c r="C2366">
        <v>11</v>
      </c>
      <c r="D2366">
        <v>12622</v>
      </c>
      <c r="E2366">
        <v>23</v>
      </c>
      <c r="F2366">
        <v>6915.92</v>
      </c>
      <c r="G2366">
        <v>3650.17</v>
      </c>
      <c r="H2366" t="str">
        <f>VLOOKUP(myynnit[[#This Row],[TuoteID]],ohjaus!$A$4:$B$20,2,FALSE)</f>
        <v>Pianotuoli</v>
      </c>
    </row>
    <row r="2367" spans="1:8" x14ac:dyDescent="0.35">
      <c r="A2367" t="s">
        <v>38</v>
      </c>
      <c r="B2367">
        <v>2014</v>
      </c>
      <c r="C2367">
        <v>11</v>
      </c>
      <c r="D2367">
        <v>13527</v>
      </c>
      <c r="E2367">
        <v>631</v>
      </c>
      <c r="F2367">
        <v>105179.57</v>
      </c>
      <c r="G2367">
        <v>19069.990000000002</v>
      </c>
      <c r="H2367" t="str">
        <f>VLOOKUP(myynnit[[#This Row],[TuoteID]],ohjaus!$A$4:$B$20,2,FALSE)</f>
        <v>Pinnatuoli</v>
      </c>
    </row>
    <row r="2368" spans="1:8" x14ac:dyDescent="0.35">
      <c r="A2368" t="s">
        <v>38</v>
      </c>
      <c r="B2368">
        <v>2014</v>
      </c>
      <c r="C2368">
        <v>11</v>
      </c>
      <c r="D2368">
        <v>13618</v>
      </c>
      <c r="E2368">
        <v>16</v>
      </c>
      <c r="F2368">
        <v>6223.37</v>
      </c>
      <c r="G2368">
        <v>3249.98</v>
      </c>
      <c r="H2368" t="str">
        <f>VLOOKUP(myynnit[[#This Row],[TuoteID]],ohjaus!$A$4:$B$20,2,FALSE)</f>
        <v>Pianotuoli</v>
      </c>
    </row>
    <row r="2369" spans="1:8" x14ac:dyDescent="0.35">
      <c r="A2369" t="s">
        <v>38</v>
      </c>
      <c r="B2369">
        <v>2014</v>
      </c>
      <c r="C2369">
        <v>11</v>
      </c>
      <c r="D2369">
        <v>16024</v>
      </c>
      <c r="E2369">
        <v>205</v>
      </c>
      <c r="F2369">
        <v>92363.07</v>
      </c>
      <c r="G2369">
        <v>21129.75</v>
      </c>
      <c r="H2369" t="str">
        <f>VLOOKUP(myynnit[[#This Row],[TuoteID]],ohjaus!$A$4:$B$20,2,FALSE)</f>
        <v>Työtuoli</v>
      </c>
    </row>
    <row r="2370" spans="1:8" x14ac:dyDescent="0.35">
      <c r="A2370" t="s">
        <v>38</v>
      </c>
      <c r="B2370">
        <v>2014</v>
      </c>
      <c r="C2370">
        <v>11</v>
      </c>
      <c r="D2370">
        <v>16650</v>
      </c>
      <c r="E2370">
        <v>31</v>
      </c>
      <c r="F2370">
        <v>4356</v>
      </c>
      <c r="G2370">
        <v>2410.6999999999998</v>
      </c>
      <c r="H2370" t="str">
        <f>VLOOKUP(myynnit[[#This Row],[TuoteID]],ohjaus!$A$4:$B$20,2,FALSE)</f>
        <v>Rahi</v>
      </c>
    </row>
    <row r="2371" spans="1:8" x14ac:dyDescent="0.35">
      <c r="A2371" t="s">
        <v>38</v>
      </c>
      <c r="B2371">
        <v>2014</v>
      </c>
      <c r="C2371">
        <v>11</v>
      </c>
      <c r="D2371">
        <v>17892</v>
      </c>
      <c r="E2371">
        <v>85</v>
      </c>
      <c r="F2371">
        <v>11344.57</v>
      </c>
      <c r="G2371">
        <v>2490.9299999999998</v>
      </c>
      <c r="H2371" t="str">
        <f>VLOOKUP(myynnit[[#This Row],[TuoteID]],ohjaus!$A$4:$B$20,2,FALSE)</f>
        <v>Lepotuoli</v>
      </c>
    </row>
    <row r="2372" spans="1:8" x14ac:dyDescent="0.35">
      <c r="A2372" t="s">
        <v>38</v>
      </c>
      <c r="B2372">
        <v>2014</v>
      </c>
      <c r="C2372">
        <v>11</v>
      </c>
      <c r="D2372">
        <v>18342</v>
      </c>
      <c r="E2372">
        <v>162</v>
      </c>
      <c r="F2372">
        <v>142982.65</v>
      </c>
      <c r="G2372">
        <v>30151.96</v>
      </c>
      <c r="H2372" t="str">
        <f>VLOOKUP(myynnit[[#This Row],[TuoteID]],ohjaus!$A$4:$B$20,2,FALSE)</f>
        <v>Työtuoli</v>
      </c>
    </row>
    <row r="2373" spans="1:8" x14ac:dyDescent="0.35">
      <c r="A2373" t="s">
        <v>38</v>
      </c>
      <c r="B2373">
        <v>2014</v>
      </c>
      <c r="C2373">
        <v>11</v>
      </c>
      <c r="D2373">
        <v>20177</v>
      </c>
      <c r="E2373">
        <v>83</v>
      </c>
      <c r="F2373">
        <v>7252.86</v>
      </c>
      <c r="G2373">
        <v>2927.49</v>
      </c>
      <c r="H2373" t="str">
        <f>VLOOKUP(myynnit[[#This Row],[TuoteID]],ohjaus!$A$4:$B$20,2,FALSE)</f>
        <v>Säkkituoli</v>
      </c>
    </row>
    <row r="2374" spans="1:8" x14ac:dyDescent="0.35">
      <c r="A2374" t="s">
        <v>38</v>
      </c>
      <c r="B2374">
        <v>2014</v>
      </c>
      <c r="C2374">
        <v>11</v>
      </c>
      <c r="D2374">
        <v>21179</v>
      </c>
      <c r="E2374">
        <v>42</v>
      </c>
      <c r="F2374">
        <v>4966.4799999999996</v>
      </c>
      <c r="G2374">
        <v>2464.16</v>
      </c>
      <c r="H2374" t="str">
        <f>VLOOKUP(myynnit[[#This Row],[TuoteID]],ohjaus!$A$4:$B$20,2,FALSE)</f>
        <v>Rahi</v>
      </c>
    </row>
    <row r="2375" spans="1:8" x14ac:dyDescent="0.35">
      <c r="A2375" t="s">
        <v>38</v>
      </c>
      <c r="B2375">
        <v>2014</v>
      </c>
      <c r="C2375">
        <v>11</v>
      </c>
      <c r="D2375">
        <v>21260</v>
      </c>
      <c r="E2375">
        <v>37</v>
      </c>
      <c r="F2375">
        <v>6318.22</v>
      </c>
      <c r="G2375">
        <v>1680.94</v>
      </c>
      <c r="H2375" t="str">
        <f>VLOOKUP(myynnit[[#This Row],[TuoteID]],ohjaus!$A$4:$B$20,2,FALSE)</f>
        <v>Lepotuoli</v>
      </c>
    </row>
    <row r="2376" spans="1:8" x14ac:dyDescent="0.35">
      <c r="A2376" t="s">
        <v>38</v>
      </c>
      <c r="B2376">
        <v>2014</v>
      </c>
      <c r="C2376">
        <v>11</v>
      </c>
      <c r="D2376">
        <v>22317</v>
      </c>
      <c r="E2376">
        <v>62</v>
      </c>
      <c r="F2376">
        <v>5251.25</v>
      </c>
      <c r="G2376">
        <v>1932.8</v>
      </c>
      <c r="H2376" t="str">
        <f>VLOOKUP(myynnit[[#This Row],[TuoteID]],ohjaus!$A$4:$B$20,2,FALSE)</f>
        <v>Säkkituoli</v>
      </c>
    </row>
    <row r="2377" spans="1:8" x14ac:dyDescent="0.35">
      <c r="A2377" t="s">
        <v>38</v>
      </c>
      <c r="B2377">
        <v>2014</v>
      </c>
      <c r="C2377">
        <v>11</v>
      </c>
      <c r="D2377">
        <v>22940</v>
      </c>
      <c r="E2377">
        <v>597</v>
      </c>
      <c r="F2377">
        <v>81892.78</v>
      </c>
      <c r="G2377">
        <v>14440.34</v>
      </c>
      <c r="H2377" t="str">
        <f>VLOOKUP(myynnit[[#This Row],[TuoteID]],ohjaus!$A$4:$B$20,2,FALSE)</f>
        <v>Pinnatuoli</v>
      </c>
    </row>
    <row r="2378" spans="1:8" x14ac:dyDescent="0.35">
      <c r="A2378" t="s">
        <v>38</v>
      </c>
      <c r="B2378">
        <v>2014</v>
      </c>
      <c r="C2378">
        <v>11</v>
      </c>
      <c r="D2378">
        <v>23178</v>
      </c>
      <c r="E2378">
        <v>220</v>
      </c>
      <c r="F2378">
        <v>38044.54</v>
      </c>
      <c r="G2378">
        <v>7432.9</v>
      </c>
      <c r="H2378" t="str">
        <f>VLOOKUP(myynnit[[#This Row],[TuoteID]],ohjaus!$A$4:$B$20,2,FALSE)</f>
        <v>Pinnatuoli</v>
      </c>
    </row>
    <row r="2379" spans="1:8" x14ac:dyDescent="0.35">
      <c r="A2379" t="s">
        <v>38</v>
      </c>
      <c r="B2379">
        <v>2014</v>
      </c>
      <c r="C2379">
        <v>11</v>
      </c>
      <c r="D2379">
        <v>23600</v>
      </c>
      <c r="E2379">
        <v>619</v>
      </c>
      <c r="F2379">
        <v>65091.91</v>
      </c>
      <c r="G2379">
        <v>17818.46</v>
      </c>
      <c r="H2379" t="str">
        <f>VLOOKUP(myynnit[[#This Row],[TuoteID]],ohjaus!$A$4:$B$20,2,FALSE)</f>
        <v>Pinnatuoli</v>
      </c>
    </row>
    <row r="2380" spans="1:8" x14ac:dyDescent="0.35">
      <c r="A2380" t="s">
        <v>38</v>
      </c>
      <c r="B2380">
        <v>2014</v>
      </c>
      <c r="C2380">
        <v>11</v>
      </c>
      <c r="D2380">
        <v>23756</v>
      </c>
      <c r="E2380">
        <v>146</v>
      </c>
      <c r="F2380">
        <v>26651.53</v>
      </c>
      <c r="G2380">
        <v>10750.25</v>
      </c>
      <c r="H2380" t="str">
        <f>VLOOKUP(myynnit[[#This Row],[TuoteID]],ohjaus!$A$4:$B$20,2,FALSE)</f>
        <v>Pianotuoli</v>
      </c>
    </row>
    <row r="2381" spans="1:8" x14ac:dyDescent="0.35">
      <c r="A2381" t="s">
        <v>38</v>
      </c>
      <c r="B2381">
        <v>2014</v>
      </c>
      <c r="C2381">
        <v>11</v>
      </c>
      <c r="D2381">
        <v>24326</v>
      </c>
      <c r="E2381">
        <v>69</v>
      </c>
      <c r="F2381">
        <v>10333.799999999999</v>
      </c>
      <c r="G2381">
        <v>2314.9499999999998</v>
      </c>
      <c r="H2381" t="str">
        <f>VLOOKUP(myynnit[[#This Row],[TuoteID]],ohjaus!$A$4:$B$20,2,FALSE)</f>
        <v>Lepotuoli</v>
      </c>
    </row>
    <row r="2382" spans="1:8" x14ac:dyDescent="0.35">
      <c r="A2382" t="s">
        <v>37</v>
      </c>
      <c r="B2382">
        <v>2014</v>
      </c>
      <c r="C2382">
        <v>12</v>
      </c>
      <c r="D2382">
        <v>12184</v>
      </c>
      <c r="E2382">
        <v>50</v>
      </c>
      <c r="F2382">
        <v>6970.82</v>
      </c>
      <c r="G2382">
        <v>3661.54</v>
      </c>
      <c r="H2382" t="str">
        <f>VLOOKUP(myynnit[[#This Row],[TuoteID]],ohjaus!$A$4:$B$20,2,FALSE)</f>
        <v>Rahi</v>
      </c>
    </row>
    <row r="2383" spans="1:8" x14ac:dyDescent="0.35">
      <c r="A2383" t="s">
        <v>37</v>
      </c>
      <c r="B2383">
        <v>2014</v>
      </c>
      <c r="C2383">
        <v>12</v>
      </c>
      <c r="D2383">
        <v>12622</v>
      </c>
      <c r="E2383">
        <v>55</v>
      </c>
      <c r="F2383">
        <v>12402.37</v>
      </c>
      <c r="G2383">
        <v>6175.51</v>
      </c>
      <c r="H2383" t="str">
        <f>VLOOKUP(myynnit[[#This Row],[TuoteID]],ohjaus!$A$4:$B$20,2,FALSE)</f>
        <v>Pianotuoli</v>
      </c>
    </row>
    <row r="2384" spans="1:8" x14ac:dyDescent="0.35">
      <c r="A2384" t="s">
        <v>37</v>
      </c>
      <c r="B2384">
        <v>2014</v>
      </c>
      <c r="C2384">
        <v>12</v>
      </c>
      <c r="D2384">
        <v>13527</v>
      </c>
      <c r="E2384">
        <v>782</v>
      </c>
      <c r="F2384">
        <v>131579.91</v>
      </c>
      <c r="G2384">
        <v>26766.67</v>
      </c>
      <c r="H2384" t="str">
        <f>VLOOKUP(myynnit[[#This Row],[TuoteID]],ohjaus!$A$4:$B$20,2,FALSE)</f>
        <v>Pinnatuoli</v>
      </c>
    </row>
    <row r="2385" spans="1:8" x14ac:dyDescent="0.35">
      <c r="A2385" t="s">
        <v>37</v>
      </c>
      <c r="B2385">
        <v>2014</v>
      </c>
      <c r="C2385">
        <v>12</v>
      </c>
      <c r="D2385">
        <v>13618</v>
      </c>
      <c r="E2385">
        <v>32</v>
      </c>
      <c r="F2385">
        <v>12406.94</v>
      </c>
      <c r="G2385">
        <v>5726.08</v>
      </c>
      <c r="H2385" t="str">
        <f>VLOOKUP(myynnit[[#This Row],[TuoteID]],ohjaus!$A$4:$B$20,2,FALSE)</f>
        <v>Pianotuoli</v>
      </c>
    </row>
    <row r="2386" spans="1:8" x14ac:dyDescent="0.35">
      <c r="A2386" t="s">
        <v>37</v>
      </c>
      <c r="B2386">
        <v>2014</v>
      </c>
      <c r="C2386">
        <v>12</v>
      </c>
      <c r="D2386">
        <v>16024</v>
      </c>
      <c r="E2386">
        <v>242</v>
      </c>
      <c r="F2386">
        <v>100210.86</v>
      </c>
      <c r="G2386">
        <v>25913.51</v>
      </c>
      <c r="H2386" t="str">
        <f>VLOOKUP(myynnit[[#This Row],[TuoteID]],ohjaus!$A$4:$B$20,2,FALSE)</f>
        <v>Työtuoli</v>
      </c>
    </row>
    <row r="2387" spans="1:8" x14ac:dyDescent="0.35">
      <c r="A2387" t="s">
        <v>37</v>
      </c>
      <c r="B2387">
        <v>2014</v>
      </c>
      <c r="C2387">
        <v>12</v>
      </c>
      <c r="D2387">
        <v>16650</v>
      </c>
      <c r="E2387">
        <v>71</v>
      </c>
      <c r="F2387">
        <v>10341.19</v>
      </c>
      <c r="G2387">
        <v>5281.51</v>
      </c>
      <c r="H2387" t="str">
        <f>VLOOKUP(myynnit[[#This Row],[TuoteID]],ohjaus!$A$4:$B$20,2,FALSE)</f>
        <v>Rahi</v>
      </c>
    </row>
    <row r="2388" spans="1:8" x14ac:dyDescent="0.35">
      <c r="A2388" t="s">
        <v>37</v>
      </c>
      <c r="B2388">
        <v>2014</v>
      </c>
      <c r="C2388">
        <v>12</v>
      </c>
      <c r="D2388">
        <v>17892</v>
      </c>
      <c r="E2388">
        <v>197</v>
      </c>
      <c r="F2388">
        <v>27296.71</v>
      </c>
      <c r="G2388">
        <v>8864.6299999999992</v>
      </c>
      <c r="H2388" t="str">
        <f>VLOOKUP(myynnit[[#This Row],[TuoteID]],ohjaus!$A$4:$B$20,2,FALSE)</f>
        <v>Lepotuoli</v>
      </c>
    </row>
    <row r="2389" spans="1:8" x14ac:dyDescent="0.35">
      <c r="A2389" t="s">
        <v>37</v>
      </c>
      <c r="B2389">
        <v>2014</v>
      </c>
      <c r="C2389">
        <v>12</v>
      </c>
      <c r="D2389">
        <v>18342</v>
      </c>
      <c r="E2389">
        <v>106</v>
      </c>
      <c r="F2389">
        <v>90556.65</v>
      </c>
      <c r="G2389">
        <v>26623.21</v>
      </c>
      <c r="H2389" t="str">
        <f>VLOOKUP(myynnit[[#This Row],[TuoteID]],ohjaus!$A$4:$B$20,2,FALSE)</f>
        <v>Työtuoli</v>
      </c>
    </row>
    <row r="2390" spans="1:8" x14ac:dyDescent="0.35">
      <c r="A2390" t="s">
        <v>37</v>
      </c>
      <c r="B2390">
        <v>2014</v>
      </c>
      <c r="C2390">
        <v>12</v>
      </c>
      <c r="D2390">
        <v>20177</v>
      </c>
      <c r="E2390">
        <v>162</v>
      </c>
      <c r="F2390">
        <v>16397.099999999999</v>
      </c>
      <c r="G2390">
        <v>5825.3</v>
      </c>
      <c r="H2390" t="str">
        <f>VLOOKUP(myynnit[[#This Row],[TuoteID]],ohjaus!$A$4:$B$20,2,FALSE)</f>
        <v>Säkkituoli</v>
      </c>
    </row>
    <row r="2391" spans="1:8" x14ac:dyDescent="0.35">
      <c r="A2391" t="s">
        <v>37</v>
      </c>
      <c r="B2391">
        <v>2014</v>
      </c>
      <c r="C2391">
        <v>12</v>
      </c>
      <c r="D2391">
        <v>21179</v>
      </c>
      <c r="E2391">
        <v>73</v>
      </c>
      <c r="F2391">
        <v>8696.7099999999991</v>
      </c>
      <c r="G2391">
        <v>3845.89</v>
      </c>
      <c r="H2391" t="str">
        <f>VLOOKUP(myynnit[[#This Row],[TuoteID]],ohjaus!$A$4:$B$20,2,FALSE)</f>
        <v>Rahi</v>
      </c>
    </row>
    <row r="2392" spans="1:8" x14ac:dyDescent="0.35">
      <c r="A2392" t="s">
        <v>37</v>
      </c>
      <c r="B2392">
        <v>2014</v>
      </c>
      <c r="C2392">
        <v>12</v>
      </c>
      <c r="D2392">
        <v>21260</v>
      </c>
      <c r="E2392">
        <v>81</v>
      </c>
      <c r="F2392">
        <v>15173.08</v>
      </c>
      <c r="G2392">
        <v>3907.69</v>
      </c>
      <c r="H2392" t="str">
        <f>VLOOKUP(myynnit[[#This Row],[TuoteID]],ohjaus!$A$4:$B$20,2,FALSE)</f>
        <v>Lepotuoli</v>
      </c>
    </row>
    <row r="2393" spans="1:8" x14ac:dyDescent="0.35">
      <c r="A2393" t="s">
        <v>37</v>
      </c>
      <c r="B2393">
        <v>2014</v>
      </c>
      <c r="C2393">
        <v>12</v>
      </c>
      <c r="D2393">
        <v>22317</v>
      </c>
      <c r="E2393">
        <v>76</v>
      </c>
      <c r="F2393">
        <v>6435.01</v>
      </c>
      <c r="G2393">
        <v>2362</v>
      </c>
      <c r="H2393" t="str">
        <f>VLOOKUP(myynnit[[#This Row],[TuoteID]],ohjaus!$A$4:$B$20,2,FALSE)</f>
        <v>Säkkituoli</v>
      </c>
    </row>
    <row r="2394" spans="1:8" x14ac:dyDescent="0.35">
      <c r="A2394" t="s">
        <v>37</v>
      </c>
      <c r="B2394">
        <v>2014</v>
      </c>
      <c r="C2394">
        <v>12</v>
      </c>
      <c r="D2394">
        <v>22940</v>
      </c>
      <c r="E2394">
        <v>369</v>
      </c>
      <c r="F2394">
        <v>48290.37</v>
      </c>
      <c r="G2394">
        <v>9338.19</v>
      </c>
      <c r="H2394" t="str">
        <f>VLOOKUP(myynnit[[#This Row],[TuoteID]],ohjaus!$A$4:$B$20,2,FALSE)</f>
        <v>Pinnatuoli</v>
      </c>
    </row>
    <row r="2395" spans="1:8" x14ac:dyDescent="0.35">
      <c r="A2395" t="s">
        <v>37</v>
      </c>
      <c r="B2395">
        <v>2014</v>
      </c>
      <c r="C2395">
        <v>12</v>
      </c>
      <c r="D2395">
        <v>23178</v>
      </c>
      <c r="E2395">
        <v>195</v>
      </c>
      <c r="F2395">
        <v>31793.23</v>
      </c>
      <c r="G2395">
        <v>5730.88</v>
      </c>
      <c r="H2395" t="str">
        <f>VLOOKUP(myynnit[[#This Row],[TuoteID]],ohjaus!$A$4:$B$20,2,FALSE)</f>
        <v>Pinnatuoli</v>
      </c>
    </row>
    <row r="2396" spans="1:8" x14ac:dyDescent="0.35">
      <c r="A2396" t="s">
        <v>37</v>
      </c>
      <c r="B2396">
        <v>2014</v>
      </c>
      <c r="C2396">
        <v>12</v>
      </c>
      <c r="D2396">
        <v>23600</v>
      </c>
      <c r="E2396">
        <v>526</v>
      </c>
      <c r="F2396">
        <v>58242.49</v>
      </c>
      <c r="G2396">
        <v>11944.12</v>
      </c>
      <c r="H2396" t="str">
        <f>VLOOKUP(myynnit[[#This Row],[TuoteID]],ohjaus!$A$4:$B$20,2,FALSE)</f>
        <v>Pinnatuoli</v>
      </c>
    </row>
    <row r="2397" spans="1:8" x14ac:dyDescent="0.35">
      <c r="A2397" t="s">
        <v>37</v>
      </c>
      <c r="B2397">
        <v>2014</v>
      </c>
      <c r="C2397">
        <v>12</v>
      </c>
      <c r="D2397">
        <v>23756</v>
      </c>
      <c r="E2397">
        <v>151</v>
      </c>
      <c r="F2397">
        <v>28489.24</v>
      </c>
      <c r="G2397">
        <v>12404.3</v>
      </c>
      <c r="H2397" t="str">
        <f>VLOOKUP(myynnit[[#This Row],[TuoteID]],ohjaus!$A$4:$B$20,2,FALSE)</f>
        <v>Pianotuoli</v>
      </c>
    </row>
    <row r="2398" spans="1:8" x14ac:dyDescent="0.35">
      <c r="A2398" t="s">
        <v>37</v>
      </c>
      <c r="B2398">
        <v>2014</v>
      </c>
      <c r="C2398">
        <v>12</v>
      </c>
      <c r="D2398">
        <v>24326</v>
      </c>
      <c r="E2398">
        <v>81</v>
      </c>
      <c r="F2398">
        <v>12096.55</v>
      </c>
      <c r="G2398">
        <v>2905.41</v>
      </c>
      <c r="H2398" t="str">
        <f>VLOOKUP(myynnit[[#This Row],[TuoteID]],ohjaus!$A$4:$B$20,2,FALSE)</f>
        <v>Lepotuoli</v>
      </c>
    </row>
    <row r="2399" spans="1:8" x14ac:dyDescent="0.35">
      <c r="A2399" t="s">
        <v>40</v>
      </c>
      <c r="B2399">
        <v>2014</v>
      </c>
      <c r="C2399">
        <v>12</v>
      </c>
      <c r="D2399">
        <v>12184</v>
      </c>
      <c r="E2399">
        <v>34</v>
      </c>
      <c r="F2399">
        <v>4659.51</v>
      </c>
      <c r="G2399">
        <v>2473.1999999999998</v>
      </c>
      <c r="H2399" t="str">
        <f>VLOOKUP(myynnit[[#This Row],[TuoteID]],ohjaus!$A$4:$B$20,2,FALSE)</f>
        <v>Rahi</v>
      </c>
    </row>
    <row r="2400" spans="1:8" x14ac:dyDescent="0.35">
      <c r="A2400" t="s">
        <v>40</v>
      </c>
      <c r="B2400">
        <v>2014</v>
      </c>
      <c r="C2400">
        <v>12</v>
      </c>
      <c r="D2400">
        <v>12622</v>
      </c>
      <c r="E2400">
        <v>13</v>
      </c>
      <c r="F2400">
        <v>3873.38</v>
      </c>
      <c r="G2400">
        <v>1661.19</v>
      </c>
      <c r="H2400" t="str">
        <f>VLOOKUP(myynnit[[#This Row],[TuoteID]],ohjaus!$A$4:$B$20,2,FALSE)</f>
        <v>Pianotuoli</v>
      </c>
    </row>
    <row r="2401" spans="1:8" x14ac:dyDescent="0.35">
      <c r="A2401" t="s">
        <v>40</v>
      </c>
      <c r="B2401">
        <v>2014</v>
      </c>
      <c r="C2401">
        <v>12</v>
      </c>
      <c r="D2401">
        <v>13527</v>
      </c>
      <c r="E2401">
        <v>184</v>
      </c>
      <c r="F2401">
        <v>31458.639999999999</v>
      </c>
      <c r="G2401">
        <v>5446.06</v>
      </c>
      <c r="H2401" t="str">
        <f>VLOOKUP(myynnit[[#This Row],[TuoteID]],ohjaus!$A$4:$B$20,2,FALSE)</f>
        <v>Pinnatuoli</v>
      </c>
    </row>
    <row r="2402" spans="1:8" x14ac:dyDescent="0.35">
      <c r="A2402" t="s">
        <v>40</v>
      </c>
      <c r="B2402">
        <v>2014</v>
      </c>
      <c r="C2402">
        <v>12</v>
      </c>
      <c r="D2402">
        <v>13618</v>
      </c>
      <c r="E2402">
        <v>5</v>
      </c>
      <c r="F2402">
        <v>2140.63</v>
      </c>
      <c r="G2402">
        <v>870.17</v>
      </c>
      <c r="H2402" t="str">
        <f>VLOOKUP(myynnit[[#This Row],[TuoteID]],ohjaus!$A$4:$B$20,2,FALSE)</f>
        <v>Pianotuoli</v>
      </c>
    </row>
    <row r="2403" spans="1:8" x14ac:dyDescent="0.35">
      <c r="A2403" t="s">
        <v>40</v>
      </c>
      <c r="B2403">
        <v>2014</v>
      </c>
      <c r="C2403">
        <v>12</v>
      </c>
      <c r="D2403">
        <v>16024</v>
      </c>
      <c r="E2403">
        <v>135</v>
      </c>
      <c r="F2403">
        <v>56798.94</v>
      </c>
      <c r="G2403">
        <v>19953.78</v>
      </c>
      <c r="H2403" t="str">
        <f>VLOOKUP(myynnit[[#This Row],[TuoteID]],ohjaus!$A$4:$B$20,2,FALSE)</f>
        <v>Työtuoli</v>
      </c>
    </row>
    <row r="2404" spans="1:8" x14ac:dyDescent="0.35">
      <c r="A2404" t="s">
        <v>40</v>
      </c>
      <c r="B2404">
        <v>2014</v>
      </c>
      <c r="C2404">
        <v>12</v>
      </c>
      <c r="D2404">
        <v>16650</v>
      </c>
      <c r="E2404">
        <v>21</v>
      </c>
      <c r="F2404">
        <v>3189.43</v>
      </c>
      <c r="G2404">
        <v>1953.67</v>
      </c>
      <c r="H2404" t="str">
        <f>VLOOKUP(myynnit[[#This Row],[TuoteID]],ohjaus!$A$4:$B$20,2,FALSE)</f>
        <v>Rahi</v>
      </c>
    </row>
    <row r="2405" spans="1:8" x14ac:dyDescent="0.35">
      <c r="A2405" t="s">
        <v>40</v>
      </c>
      <c r="B2405">
        <v>2014</v>
      </c>
      <c r="C2405">
        <v>12</v>
      </c>
      <c r="D2405">
        <v>17892</v>
      </c>
      <c r="E2405">
        <v>97</v>
      </c>
      <c r="F2405">
        <v>14872.74</v>
      </c>
      <c r="G2405">
        <v>4007.93</v>
      </c>
      <c r="H2405" t="str">
        <f>VLOOKUP(myynnit[[#This Row],[TuoteID]],ohjaus!$A$4:$B$20,2,FALSE)</f>
        <v>Lepotuoli</v>
      </c>
    </row>
    <row r="2406" spans="1:8" x14ac:dyDescent="0.35">
      <c r="A2406" t="s">
        <v>40</v>
      </c>
      <c r="B2406">
        <v>2014</v>
      </c>
      <c r="C2406">
        <v>12</v>
      </c>
      <c r="D2406">
        <v>18342</v>
      </c>
      <c r="E2406">
        <v>16</v>
      </c>
      <c r="F2406">
        <v>12037.06</v>
      </c>
      <c r="G2406">
        <v>3289.85</v>
      </c>
      <c r="H2406" t="str">
        <f>VLOOKUP(myynnit[[#This Row],[TuoteID]],ohjaus!$A$4:$B$20,2,FALSE)</f>
        <v>Työtuoli</v>
      </c>
    </row>
    <row r="2407" spans="1:8" x14ac:dyDescent="0.35">
      <c r="A2407" t="s">
        <v>40</v>
      </c>
      <c r="B2407">
        <v>2014</v>
      </c>
      <c r="C2407">
        <v>12</v>
      </c>
      <c r="D2407">
        <v>20177</v>
      </c>
      <c r="E2407">
        <v>25</v>
      </c>
      <c r="F2407">
        <v>2401.36</v>
      </c>
      <c r="G2407">
        <v>952.61</v>
      </c>
      <c r="H2407" t="str">
        <f>VLOOKUP(myynnit[[#This Row],[TuoteID]],ohjaus!$A$4:$B$20,2,FALSE)</f>
        <v>Säkkituoli</v>
      </c>
    </row>
    <row r="2408" spans="1:8" x14ac:dyDescent="0.35">
      <c r="A2408" t="s">
        <v>40</v>
      </c>
      <c r="B2408">
        <v>2014</v>
      </c>
      <c r="C2408">
        <v>12</v>
      </c>
      <c r="D2408">
        <v>21179</v>
      </c>
      <c r="E2408">
        <v>23</v>
      </c>
      <c r="F2408">
        <v>2923.41</v>
      </c>
      <c r="G2408">
        <v>1579.68</v>
      </c>
      <c r="H2408" t="str">
        <f>VLOOKUP(myynnit[[#This Row],[TuoteID]],ohjaus!$A$4:$B$20,2,FALSE)</f>
        <v>Rahi</v>
      </c>
    </row>
    <row r="2409" spans="1:8" x14ac:dyDescent="0.35">
      <c r="A2409" t="s">
        <v>40</v>
      </c>
      <c r="B2409">
        <v>2014</v>
      </c>
      <c r="C2409">
        <v>12</v>
      </c>
      <c r="D2409">
        <v>21260</v>
      </c>
      <c r="E2409">
        <v>45</v>
      </c>
      <c r="F2409">
        <v>8794.44</v>
      </c>
      <c r="G2409">
        <v>2032.2</v>
      </c>
      <c r="H2409" t="str">
        <f>VLOOKUP(myynnit[[#This Row],[TuoteID]],ohjaus!$A$4:$B$20,2,FALSE)</f>
        <v>Lepotuoli</v>
      </c>
    </row>
    <row r="2410" spans="1:8" x14ac:dyDescent="0.35">
      <c r="A2410" t="s">
        <v>40</v>
      </c>
      <c r="B2410">
        <v>2014</v>
      </c>
      <c r="C2410">
        <v>12</v>
      </c>
      <c r="D2410">
        <v>22317</v>
      </c>
      <c r="E2410">
        <v>7</v>
      </c>
      <c r="F2410">
        <v>584.61</v>
      </c>
      <c r="G2410">
        <v>287.67</v>
      </c>
      <c r="H2410" t="str">
        <f>VLOOKUP(myynnit[[#This Row],[TuoteID]],ohjaus!$A$4:$B$20,2,FALSE)</f>
        <v>Säkkituoli</v>
      </c>
    </row>
    <row r="2411" spans="1:8" x14ac:dyDescent="0.35">
      <c r="A2411" t="s">
        <v>40</v>
      </c>
      <c r="B2411">
        <v>2014</v>
      </c>
      <c r="C2411">
        <v>12</v>
      </c>
      <c r="D2411">
        <v>22940</v>
      </c>
      <c r="E2411">
        <v>154</v>
      </c>
      <c r="F2411">
        <v>19852.57</v>
      </c>
      <c r="G2411">
        <v>5680.72</v>
      </c>
      <c r="H2411" t="str">
        <f>VLOOKUP(myynnit[[#This Row],[TuoteID]],ohjaus!$A$4:$B$20,2,FALSE)</f>
        <v>Pinnatuoli</v>
      </c>
    </row>
    <row r="2412" spans="1:8" x14ac:dyDescent="0.35">
      <c r="A2412" t="s">
        <v>40</v>
      </c>
      <c r="B2412">
        <v>2014</v>
      </c>
      <c r="C2412">
        <v>12</v>
      </c>
      <c r="D2412">
        <v>23178</v>
      </c>
      <c r="E2412">
        <v>349</v>
      </c>
      <c r="F2412">
        <v>67467.95</v>
      </c>
      <c r="G2412">
        <v>19516.8</v>
      </c>
      <c r="H2412" t="str">
        <f>VLOOKUP(myynnit[[#This Row],[TuoteID]],ohjaus!$A$4:$B$20,2,FALSE)</f>
        <v>Pinnatuoli</v>
      </c>
    </row>
    <row r="2413" spans="1:8" x14ac:dyDescent="0.35">
      <c r="A2413" t="s">
        <v>40</v>
      </c>
      <c r="B2413">
        <v>2014</v>
      </c>
      <c r="C2413">
        <v>12</v>
      </c>
      <c r="D2413">
        <v>23600</v>
      </c>
      <c r="E2413">
        <v>713</v>
      </c>
      <c r="F2413">
        <v>86260.78</v>
      </c>
      <c r="G2413">
        <v>22859.69</v>
      </c>
      <c r="H2413" t="str">
        <f>VLOOKUP(myynnit[[#This Row],[TuoteID]],ohjaus!$A$4:$B$20,2,FALSE)</f>
        <v>Pinnatuoli</v>
      </c>
    </row>
    <row r="2414" spans="1:8" x14ac:dyDescent="0.35">
      <c r="A2414" t="s">
        <v>40</v>
      </c>
      <c r="B2414">
        <v>2014</v>
      </c>
      <c r="C2414">
        <v>12</v>
      </c>
      <c r="D2414">
        <v>23756</v>
      </c>
      <c r="E2414">
        <v>74</v>
      </c>
      <c r="F2414">
        <v>12507.77</v>
      </c>
      <c r="G2414">
        <v>5820.28</v>
      </c>
      <c r="H2414" t="str">
        <f>VLOOKUP(myynnit[[#This Row],[TuoteID]],ohjaus!$A$4:$B$20,2,FALSE)</f>
        <v>Pianotuoli</v>
      </c>
    </row>
    <row r="2415" spans="1:8" x14ac:dyDescent="0.35">
      <c r="A2415" t="s">
        <v>40</v>
      </c>
      <c r="B2415">
        <v>2014</v>
      </c>
      <c r="C2415">
        <v>12</v>
      </c>
      <c r="D2415">
        <v>24326</v>
      </c>
      <c r="E2415">
        <v>32</v>
      </c>
      <c r="F2415">
        <v>4112.6400000000003</v>
      </c>
      <c r="G2415">
        <v>1120.49</v>
      </c>
      <c r="H2415" t="str">
        <f>VLOOKUP(myynnit[[#This Row],[TuoteID]],ohjaus!$A$4:$B$20,2,FALSE)</f>
        <v>Lepotuoli</v>
      </c>
    </row>
    <row r="2416" spans="1:8" x14ac:dyDescent="0.35">
      <c r="A2416" t="s">
        <v>39</v>
      </c>
      <c r="B2416">
        <v>2014</v>
      </c>
      <c r="C2416">
        <v>12</v>
      </c>
      <c r="D2416">
        <v>12184</v>
      </c>
      <c r="E2416">
        <v>90</v>
      </c>
      <c r="F2416">
        <v>13983.72</v>
      </c>
      <c r="G2416">
        <v>11000.96</v>
      </c>
      <c r="H2416" t="str">
        <f>VLOOKUP(myynnit[[#This Row],[TuoteID]],ohjaus!$A$4:$B$20,2,FALSE)</f>
        <v>Rahi</v>
      </c>
    </row>
    <row r="2417" spans="1:8" x14ac:dyDescent="0.35">
      <c r="A2417" t="s">
        <v>39</v>
      </c>
      <c r="B2417">
        <v>2014</v>
      </c>
      <c r="C2417">
        <v>12</v>
      </c>
      <c r="D2417">
        <v>12622</v>
      </c>
      <c r="E2417">
        <v>60</v>
      </c>
      <c r="F2417">
        <v>18186.71</v>
      </c>
      <c r="G2417">
        <v>10420.540000000001</v>
      </c>
      <c r="H2417" t="str">
        <f>VLOOKUP(myynnit[[#This Row],[TuoteID]],ohjaus!$A$4:$B$20,2,FALSE)</f>
        <v>Pianotuoli</v>
      </c>
    </row>
    <row r="2418" spans="1:8" x14ac:dyDescent="0.35">
      <c r="A2418" t="s">
        <v>39</v>
      </c>
      <c r="B2418">
        <v>2014</v>
      </c>
      <c r="C2418">
        <v>12</v>
      </c>
      <c r="D2418">
        <v>13527</v>
      </c>
      <c r="E2418">
        <v>395</v>
      </c>
      <c r="F2418">
        <v>65559.899999999994</v>
      </c>
      <c r="G2418">
        <v>15808.9</v>
      </c>
      <c r="H2418" t="str">
        <f>VLOOKUP(myynnit[[#This Row],[TuoteID]],ohjaus!$A$4:$B$20,2,FALSE)</f>
        <v>Pinnatuoli</v>
      </c>
    </row>
    <row r="2419" spans="1:8" x14ac:dyDescent="0.35">
      <c r="A2419" t="s">
        <v>39</v>
      </c>
      <c r="B2419">
        <v>2014</v>
      </c>
      <c r="C2419">
        <v>12</v>
      </c>
      <c r="D2419">
        <v>13618</v>
      </c>
      <c r="E2419">
        <v>22</v>
      </c>
      <c r="F2419">
        <v>7326.74</v>
      </c>
      <c r="G2419">
        <v>3523.94</v>
      </c>
      <c r="H2419" t="str">
        <f>VLOOKUP(myynnit[[#This Row],[TuoteID]],ohjaus!$A$4:$B$20,2,FALSE)</f>
        <v>Pianotuoli</v>
      </c>
    </row>
    <row r="2420" spans="1:8" x14ac:dyDescent="0.35">
      <c r="A2420" t="s">
        <v>39</v>
      </c>
      <c r="B2420">
        <v>2014</v>
      </c>
      <c r="C2420">
        <v>12</v>
      </c>
      <c r="D2420">
        <v>16024</v>
      </c>
      <c r="E2420">
        <v>244</v>
      </c>
      <c r="F2420">
        <v>118710.69</v>
      </c>
      <c r="G2420">
        <v>40222.9</v>
      </c>
      <c r="H2420" t="str">
        <f>VLOOKUP(myynnit[[#This Row],[TuoteID]],ohjaus!$A$4:$B$20,2,FALSE)</f>
        <v>Työtuoli</v>
      </c>
    </row>
    <row r="2421" spans="1:8" x14ac:dyDescent="0.35">
      <c r="A2421" t="s">
        <v>39</v>
      </c>
      <c r="B2421">
        <v>2014</v>
      </c>
      <c r="C2421">
        <v>12</v>
      </c>
      <c r="D2421">
        <v>16650</v>
      </c>
      <c r="E2421">
        <v>48</v>
      </c>
      <c r="F2421">
        <v>7488.23</v>
      </c>
      <c r="G2421">
        <v>5368.1</v>
      </c>
      <c r="H2421" t="str">
        <f>VLOOKUP(myynnit[[#This Row],[TuoteID]],ohjaus!$A$4:$B$20,2,FALSE)</f>
        <v>Rahi</v>
      </c>
    </row>
    <row r="2422" spans="1:8" x14ac:dyDescent="0.35">
      <c r="A2422" t="s">
        <v>39</v>
      </c>
      <c r="B2422">
        <v>2014</v>
      </c>
      <c r="C2422">
        <v>12</v>
      </c>
      <c r="D2422">
        <v>17892</v>
      </c>
      <c r="E2422">
        <v>90</v>
      </c>
      <c r="F2422">
        <v>11631.93</v>
      </c>
      <c r="G2422">
        <v>3432.41</v>
      </c>
      <c r="H2422" t="str">
        <f>VLOOKUP(myynnit[[#This Row],[TuoteID]],ohjaus!$A$4:$B$20,2,FALSE)</f>
        <v>Lepotuoli</v>
      </c>
    </row>
    <row r="2423" spans="1:8" x14ac:dyDescent="0.35">
      <c r="A2423" t="s">
        <v>39</v>
      </c>
      <c r="B2423">
        <v>2014</v>
      </c>
      <c r="C2423">
        <v>12</v>
      </c>
      <c r="D2423">
        <v>18342</v>
      </c>
      <c r="E2423">
        <v>175</v>
      </c>
      <c r="F2423">
        <v>158055.35999999999</v>
      </c>
      <c r="G2423">
        <v>52880.83</v>
      </c>
      <c r="H2423" t="str">
        <f>VLOOKUP(myynnit[[#This Row],[TuoteID]],ohjaus!$A$4:$B$20,2,FALSE)</f>
        <v>Työtuoli</v>
      </c>
    </row>
    <row r="2424" spans="1:8" x14ac:dyDescent="0.35">
      <c r="A2424" t="s">
        <v>39</v>
      </c>
      <c r="B2424">
        <v>2014</v>
      </c>
      <c r="C2424">
        <v>12</v>
      </c>
      <c r="D2424">
        <v>20177</v>
      </c>
      <c r="E2424">
        <v>61</v>
      </c>
      <c r="F2424">
        <v>6144.1</v>
      </c>
      <c r="G2424">
        <v>2776.92</v>
      </c>
      <c r="H2424" t="str">
        <f>VLOOKUP(myynnit[[#This Row],[TuoteID]],ohjaus!$A$4:$B$20,2,FALSE)</f>
        <v>Säkkituoli</v>
      </c>
    </row>
    <row r="2425" spans="1:8" x14ac:dyDescent="0.35">
      <c r="A2425" t="s">
        <v>39</v>
      </c>
      <c r="B2425">
        <v>2014</v>
      </c>
      <c r="C2425">
        <v>12</v>
      </c>
      <c r="D2425">
        <v>21179</v>
      </c>
      <c r="E2425">
        <v>52</v>
      </c>
      <c r="F2425">
        <v>5750.89</v>
      </c>
      <c r="G2425">
        <v>4552.96</v>
      </c>
      <c r="H2425" t="str">
        <f>VLOOKUP(myynnit[[#This Row],[TuoteID]],ohjaus!$A$4:$B$20,2,FALSE)</f>
        <v>Rahi</v>
      </c>
    </row>
    <row r="2426" spans="1:8" x14ac:dyDescent="0.35">
      <c r="A2426" t="s">
        <v>39</v>
      </c>
      <c r="B2426">
        <v>2014</v>
      </c>
      <c r="C2426">
        <v>12</v>
      </c>
      <c r="D2426">
        <v>21260</v>
      </c>
      <c r="E2426">
        <v>53</v>
      </c>
      <c r="F2426">
        <v>11358.05</v>
      </c>
      <c r="G2426">
        <v>3198.2</v>
      </c>
      <c r="H2426" t="str">
        <f>VLOOKUP(myynnit[[#This Row],[TuoteID]],ohjaus!$A$4:$B$20,2,FALSE)</f>
        <v>Lepotuoli</v>
      </c>
    </row>
    <row r="2427" spans="1:8" x14ac:dyDescent="0.35">
      <c r="A2427" t="s">
        <v>39</v>
      </c>
      <c r="B2427">
        <v>2014</v>
      </c>
      <c r="C2427">
        <v>12</v>
      </c>
      <c r="D2427">
        <v>22317</v>
      </c>
      <c r="E2427">
        <v>43</v>
      </c>
      <c r="F2427">
        <v>3978.69</v>
      </c>
      <c r="G2427">
        <v>1880.98</v>
      </c>
      <c r="H2427" t="str">
        <f>VLOOKUP(myynnit[[#This Row],[TuoteID]],ohjaus!$A$4:$B$20,2,FALSE)</f>
        <v>Säkkituoli</v>
      </c>
    </row>
    <row r="2428" spans="1:8" x14ac:dyDescent="0.35">
      <c r="A2428" t="s">
        <v>39</v>
      </c>
      <c r="B2428">
        <v>2014</v>
      </c>
      <c r="C2428">
        <v>12</v>
      </c>
      <c r="D2428">
        <v>22940</v>
      </c>
      <c r="E2428">
        <v>435</v>
      </c>
      <c r="F2428">
        <v>58745.55</v>
      </c>
      <c r="G2428">
        <v>16122.61</v>
      </c>
      <c r="H2428" t="str">
        <f>VLOOKUP(myynnit[[#This Row],[TuoteID]],ohjaus!$A$4:$B$20,2,FALSE)</f>
        <v>Pinnatuoli</v>
      </c>
    </row>
    <row r="2429" spans="1:8" x14ac:dyDescent="0.35">
      <c r="A2429" t="s">
        <v>39</v>
      </c>
      <c r="B2429">
        <v>2014</v>
      </c>
      <c r="C2429">
        <v>12</v>
      </c>
      <c r="D2429">
        <v>23178</v>
      </c>
      <c r="E2429">
        <v>132</v>
      </c>
      <c r="F2429">
        <v>21993.53</v>
      </c>
      <c r="G2429">
        <v>5146.42</v>
      </c>
      <c r="H2429" t="str">
        <f>VLOOKUP(myynnit[[#This Row],[TuoteID]],ohjaus!$A$4:$B$20,2,FALSE)</f>
        <v>Pinnatuoli</v>
      </c>
    </row>
    <row r="2430" spans="1:8" x14ac:dyDescent="0.35">
      <c r="A2430" t="s">
        <v>39</v>
      </c>
      <c r="B2430">
        <v>2014</v>
      </c>
      <c r="C2430">
        <v>12</v>
      </c>
      <c r="D2430">
        <v>23600</v>
      </c>
      <c r="E2430">
        <v>700</v>
      </c>
      <c r="F2430">
        <v>69972.44</v>
      </c>
      <c r="G2430">
        <v>21619.88</v>
      </c>
      <c r="H2430" t="str">
        <f>VLOOKUP(myynnit[[#This Row],[TuoteID]],ohjaus!$A$4:$B$20,2,FALSE)</f>
        <v>Pinnatuoli</v>
      </c>
    </row>
    <row r="2431" spans="1:8" x14ac:dyDescent="0.35">
      <c r="A2431" t="s">
        <v>39</v>
      </c>
      <c r="B2431">
        <v>2014</v>
      </c>
      <c r="C2431">
        <v>12</v>
      </c>
      <c r="D2431">
        <v>23756</v>
      </c>
      <c r="E2431">
        <v>117</v>
      </c>
      <c r="F2431">
        <v>22000.639999999999</v>
      </c>
      <c r="G2431">
        <v>14073</v>
      </c>
      <c r="H2431" t="str">
        <f>VLOOKUP(myynnit[[#This Row],[TuoteID]],ohjaus!$A$4:$B$20,2,FALSE)</f>
        <v>Pianotuoli</v>
      </c>
    </row>
    <row r="2432" spans="1:8" x14ac:dyDescent="0.35">
      <c r="A2432" t="s">
        <v>39</v>
      </c>
      <c r="B2432">
        <v>2014</v>
      </c>
      <c r="C2432">
        <v>12</v>
      </c>
      <c r="D2432">
        <v>24326</v>
      </c>
      <c r="E2432">
        <v>73</v>
      </c>
      <c r="F2432">
        <v>11217.26</v>
      </c>
      <c r="G2432">
        <v>3375.78</v>
      </c>
      <c r="H2432" t="str">
        <f>VLOOKUP(myynnit[[#This Row],[TuoteID]],ohjaus!$A$4:$B$20,2,FALSE)</f>
        <v>Lepotuoli</v>
      </c>
    </row>
    <row r="2433" spans="1:8" x14ac:dyDescent="0.35">
      <c r="A2433" t="s">
        <v>38</v>
      </c>
      <c r="B2433">
        <v>2014</v>
      </c>
      <c r="C2433">
        <v>12</v>
      </c>
      <c r="D2433">
        <v>12184</v>
      </c>
      <c r="E2433">
        <v>50</v>
      </c>
      <c r="F2433">
        <v>5959.94</v>
      </c>
      <c r="G2433">
        <v>3158.25</v>
      </c>
      <c r="H2433" t="str">
        <f>VLOOKUP(myynnit[[#This Row],[TuoteID]],ohjaus!$A$4:$B$20,2,FALSE)</f>
        <v>Rahi</v>
      </c>
    </row>
    <row r="2434" spans="1:8" x14ac:dyDescent="0.35">
      <c r="A2434" t="s">
        <v>38</v>
      </c>
      <c r="B2434">
        <v>2014</v>
      </c>
      <c r="C2434">
        <v>12</v>
      </c>
      <c r="D2434">
        <v>12622</v>
      </c>
      <c r="E2434">
        <v>31</v>
      </c>
      <c r="F2434">
        <v>9321.7900000000009</v>
      </c>
      <c r="G2434">
        <v>4887.03</v>
      </c>
      <c r="H2434" t="str">
        <f>VLOOKUP(myynnit[[#This Row],[TuoteID]],ohjaus!$A$4:$B$20,2,FALSE)</f>
        <v>Pianotuoli</v>
      </c>
    </row>
    <row r="2435" spans="1:8" x14ac:dyDescent="0.35">
      <c r="A2435" t="s">
        <v>38</v>
      </c>
      <c r="B2435">
        <v>2014</v>
      </c>
      <c r="C2435">
        <v>12</v>
      </c>
      <c r="D2435">
        <v>13527</v>
      </c>
      <c r="E2435">
        <v>511</v>
      </c>
      <c r="F2435">
        <v>77785.789999999994</v>
      </c>
      <c r="G2435">
        <v>14771.28</v>
      </c>
      <c r="H2435" t="str">
        <f>VLOOKUP(myynnit[[#This Row],[TuoteID]],ohjaus!$A$4:$B$20,2,FALSE)</f>
        <v>Pinnatuoli</v>
      </c>
    </row>
    <row r="2436" spans="1:8" x14ac:dyDescent="0.35">
      <c r="A2436" t="s">
        <v>38</v>
      </c>
      <c r="B2436">
        <v>2014</v>
      </c>
      <c r="C2436">
        <v>12</v>
      </c>
      <c r="D2436">
        <v>13618</v>
      </c>
      <c r="E2436">
        <v>12</v>
      </c>
      <c r="F2436">
        <v>4701.21</v>
      </c>
      <c r="G2436">
        <v>2504.17</v>
      </c>
      <c r="H2436" t="str">
        <f>VLOOKUP(myynnit[[#This Row],[TuoteID]],ohjaus!$A$4:$B$20,2,FALSE)</f>
        <v>Pianotuoli</v>
      </c>
    </row>
    <row r="2437" spans="1:8" x14ac:dyDescent="0.35">
      <c r="A2437" t="s">
        <v>38</v>
      </c>
      <c r="B2437">
        <v>2014</v>
      </c>
      <c r="C2437">
        <v>12</v>
      </c>
      <c r="D2437">
        <v>16024</v>
      </c>
      <c r="E2437">
        <v>217</v>
      </c>
      <c r="F2437">
        <v>86065.3</v>
      </c>
      <c r="G2437">
        <v>23871</v>
      </c>
      <c r="H2437" t="str">
        <f>VLOOKUP(myynnit[[#This Row],[TuoteID]],ohjaus!$A$4:$B$20,2,FALSE)</f>
        <v>Työtuoli</v>
      </c>
    </row>
    <row r="2438" spans="1:8" x14ac:dyDescent="0.35">
      <c r="A2438" t="s">
        <v>38</v>
      </c>
      <c r="B2438">
        <v>2014</v>
      </c>
      <c r="C2438">
        <v>12</v>
      </c>
      <c r="D2438">
        <v>16650</v>
      </c>
      <c r="E2438">
        <v>53</v>
      </c>
      <c r="F2438">
        <v>7013.14</v>
      </c>
      <c r="G2438">
        <v>3684.56</v>
      </c>
      <c r="H2438" t="str">
        <f>VLOOKUP(myynnit[[#This Row],[TuoteID]],ohjaus!$A$4:$B$20,2,FALSE)</f>
        <v>Rahi</v>
      </c>
    </row>
    <row r="2439" spans="1:8" x14ac:dyDescent="0.35">
      <c r="A2439" t="s">
        <v>38</v>
      </c>
      <c r="B2439">
        <v>2014</v>
      </c>
      <c r="C2439">
        <v>12</v>
      </c>
      <c r="D2439">
        <v>17892</v>
      </c>
      <c r="E2439">
        <v>114</v>
      </c>
      <c r="F2439">
        <v>14830.05</v>
      </c>
      <c r="G2439">
        <v>4186.8999999999996</v>
      </c>
      <c r="H2439" t="str">
        <f>VLOOKUP(myynnit[[#This Row],[TuoteID]],ohjaus!$A$4:$B$20,2,FALSE)</f>
        <v>Lepotuoli</v>
      </c>
    </row>
    <row r="2440" spans="1:8" x14ac:dyDescent="0.35">
      <c r="A2440" t="s">
        <v>38</v>
      </c>
      <c r="B2440">
        <v>2014</v>
      </c>
      <c r="C2440">
        <v>12</v>
      </c>
      <c r="D2440">
        <v>18342</v>
      </c>
      <c r="E2440">
        <v>112</v>
      </c>
      <c r="F2440">
        <v>101584.36</v>
      </c>
      <c r="G2440">
        <v>23022.39</v>
      </c>
      <c r="H2440" t="str">
        <f>VLOOKUP(myynnit[[#This Row],[TuoteID]],ohjaus!$A$4:$B$20,2,FALSE)</f>
        <v>Työtuoli</v>
      </c>
    </row>
    <row r="2441" spans="1:8" x14ac:dyDescent="0.35">
      <c r="A2441" t="s">
        <v>38</v>
      </c>
      <c r="B2441">
        <v>2014</v>
      </c>
      <c r="C2441">
        <v>12</v>
      </c>
      <c r="D2441">
        <v>20177</v>
      </c>
      <c r="E2441">
        <v>62</v>
      </c>
      <c r="F2441">
        <v>6870.5</v>
      </c>
      <c r="G2441">
        <v>2461.7199999999998</v>
      </c>
      <c r="H2441" t="str">
        <f>VLOOKUP(myynnit[[#This Row],[TuoteID]],ohjaus!$A$4:$B$20,2,FALSE)</f>
        <v>Säkkituoli</v>
      </c>
    </row>
    <row r="2442" spans="1:8" x14ac:dyDescent="0.35">
      <c r="A2442" t="s">
        <v>38</v>
      </c>
      <c r="B2442">
        <v>2014</v>
      </c>
      <c r="C2442">
        <v>12</v>
      </c>
      <c r="D2442">
        <v>21179</v>
      </c>
      <c r="E2442">
        <v>51</v>
      </c>
      <c r="F2442">
        <v>5659.87</v>
      </c>
      <c r="G2442">
        <v>3546.5</v>
      </c>
      <c r="H2442" t="str">
        <f>VLOOKUP(myynnit[[#This Row],[TuoteID]],ohjaus!$A$4:$B$20,2,FALSE)</f>
        <v>Rahi</v>
      </c>
    </row>
    <row r="2443" spans="1:8" x14ac:dyDescent="0.35">
      <c r="A2443" t="s">
        <v>38</v>
      </c>
      <c r="B2443">
        <v>2014</v>
      </c>
      <c r="C2443">
        <v>12</v>
      </c>
      <c r="D2443">
        <v>21260</v>
      </c>
      <c r="E2443">
        <v>38</v>
      </c>
      <c r="F2443">
        <v>7121.19</v>
      </c>
      <c r="G2443">
        <v>1559.38</v>
      </c>
      <c r="H2443" t="str">
        <f>VLOOKUP(myynnit[[#This Row],[TuoteID]],ohjaus!$A$4:$B$20,2,FALSE)</f>
        <v>Lepotuoli</v>
      </c>
    </row>
    <row r="2444" spans="1:8" x14ac:dyDescent="0.35">
      <c r="A2444" t="s">
        <v>38</v>
      </c>
      <c r="B2444">
        <v>2014</v>
      </c>
      <c r="C2444">
        <v>12</v>
      </c>
      <c r="D2444">
        <v>22317</v>
      </c>
      <c r="E2444">
        <v>50</v>
      </c>
      <c r="F2444">
        <v>4966.75</v>
      </c>
      <c r="G2444">
        <v>1941.74</v>
      </c>
      <c r="H2444" t="str">
        <f>VLOOKUP(myynnit[[#This Row],[TuoteID]],ohjaus!$A$4:$B$20,2,FALSE)</f>
        <v>Säkkituoli</v>
      </c>
    </row>
    <row r="2445" spans="1:8" x14ac:dyDescent="0.35">
      <c r="A2445" t="s">
        <v>38</v>
      </c>
      <c r="B2445">
        <v>2014</v>
      </c>
      <c r="C2445">
        <v>12</v>
      </c>
      <c r="D2445">
        <v>22940</v>
      </c>
      <c r="E2445">
        <v>286</v>
      </c>
      <c r="F2445">
        <v>33696.050000000003</v>
      </c>
      <c r="G2445">
        <v>8037.2</v>
      </c>
      <c r="H2445" t="str">
        <f>VLOOKUP(myynnit[[#This Row],[TuoteID]],ohjaus!$A$4:$B$20,2,FALSE)</f>
        <v>Pinnatuoli</v>
      </c>
    </row>
    <row r="2446" spans="1:8" x14ac:dyDescent="0.35">
      <c r="A2446" t="s">
        <v>38</v>
      </c>
      <c r="B2446">
        <v>2014</v>
      </c>
      <c r="C2446">
        <v>12</v>
      </c>
      <c r="D2446">
        <v>23178</v>
      </c>
      <c r="E2446">
        <v>105</v>
      </c>
      <c r="F2446">
        <v>20053.96</v>
      </c>
      <c r="G2446">
        <v>4405.07</v>
      </c>
      <c r="H2446" t="str">
        <f>VLOOKUP(myynnit[[#This Row],[TuoteID]],ohjaus!$A$4:$B$20,2,FALSE)</f>
        <v>Pinnatuoli</v>
      </c>
    </row>
    <row r="2447" spans="1:8" x14ac:dyDescent="0.35">
      <c r="A2447" t="s">
        <v>38</v>
      </c>
      <c r="B2447">
        <v>2014</v>
      </c>
      <c r="C2447">
        <v>12</v>
      </c>
      <c r="D2447">
        <v>23600</v>
      </c>
      <c r="E2447">
        <v>508</v>
      </c>
      <c r="F2447">
        <v>51461.51</v>
      </c>
      <c r="G2447">
        <v>11822.32</v>
      </c>
      <c r="H2447" t="str">
        <f>VLOOKUP(myynnit[[#This Row],[TuoteID]],ohjaus!$A$4:$B$20,2,FALSE)</f>
        <v>Pinnatuoli</v>
      </c>
    </row>
    <row r="2448" spans="1:8" x14ac:dyDescent="0.35">
      <c r="A2448" t="s">
        <v>38</v>
      </c>
      <c r="B2448">
        <v>2014</v>
      </c>
      <c r="C2448">
        <v>12</v>
      </c>
      <c r="D2448">
        <v>23756</v>
      </c>
      <c r="E2448">
        <v>69</v>
      </c>
      <c r="F2448">
        <v>13175.06</v>
      </c>
      <c r="G2448">
        <v>5967.09</v>
      </c>
      <c r="H2448" t="str">
        <f>VLOOKUP(myynnit[[#This Row],[TuoteID]],ohjaus!$A$4:$B$20,2,FALSE)</f>
        <v>Pianotuoli</v>
      </c>
    </row>
    <row r="2449" spans="1:8" x14ac:dyDescent="0.35">
      <c r="A2449" t="s">
        <v>38</v>
      </c>
      <c r="B2449">
        <v>2014</v>
      </c>
      <c r="C2449">
        <v>12</v>
      </c>
      <c r="D2449">
        <v>24326</v>
      </c>
      <c r="E2449">
        <v>122</v>
      </c>
      <c r="F2449">
        <v>18390.95</v>
      </c>
      <c r="G2449">
        <v>5259.93</v>
      </c>
      <c r="H2449" t="str">
        <f>VLOOKUP(myynnit[[#This Row],[TuoteID]],ohjaus!$A$4:$B$20,2,FALSE)</f>
        <v>Lepotuoli</v>
      </c>
    </row>
    <row r="2450" spans="1:8" x14ac:dyDescent="0.35">
      <c r="A2450" t="s">
        <v>37</v>
      </c>
      <c r="B2450">
        <v>2015</v>
      </c>
      <c r="C2450">
        <v>1</v>
      </c>
      <c r="D2450">
        <v>12184</v>
      </c>
      <c r="E2450">
        <v>110</v>
      </c>
      <c r="F2450">
        <v>11585.98</v>
      </c>
      <c r="G2450">
        <v>5089.09</v>
      </c>
      <c r="H2450" t="str">
        <f>VLOOKUP(myynnit[[#This Row],[TuoteID]],ohjaus!$A$4:$B$20,2,FALSE)</f>
        <v>Rahi</v>
      </c>
    </row>
    <row r="2451" spans="1:8" x14ac:dyDescent="0.35">
      <c r="A2451" t="s">
        <v>37</v>
      </c>
      <c r="B2451">
        <v>2015</v>
      </c>
      <c r="C2451">
        <v>1</v>
      </c>
      <c r="D2451">
        <v>12622</v>
      </c>
      <c r="E2451">
        <v>80</v>
      </c>
      <c r="F2451">
        <v>19622</v>
      </c>
      <c r="G2451">
        <v>10367.700000000001</v>
      </c>
      <c r="H2451" t="str">
        <f>VLOOKUP(myynnit[[#This Row],[TuoteID]],ohjaus!$A$4:$B$20,2,FALSE)</f>
        <v>Pianotuoli</v>
      </c>
    </row>
    <row r="2452" spans="1:8" x14ac:dyDescent="0.35">
      <c r="A2452" t="s">
        <v>37</v>
      </c>
      <c r="B2452">
        <v>2015</v>
      </c>
      <c r="C2452">
        <v>1</v>
      </c>
      <c r="D2452">
        <v>13527</v>
      </c>
      <c r="E2452">
        <v>809</v>
      </c>
      <c r="F2452">
        <v>134128.23000000001</v>
      </c>
      <c r="G2452">
        <v>21586.22</v>
      </c>
      <c r="H2452" t="str">
        <f>VLOOKUP(myynnit[[#This Row],[TuoteID]],ohjaus!$A$4:$B$20,2,FALSE)</f>
        <v>Pinnatuoli</v>
      </c>
    </row>
    <row r="2453" spans="1:8" x14ac:dyDescent="0.35">
      <c r="A2453" t="s">
        <v>37</v>
      </c>
      <c r="B2453">
        <v>2015</v>
      </c>
      <c r="C2453">
        <v>1</v>
      </c>
      <c r="D2453">
        <v>13618</v>
      </c>
      <c r="E2453">
        <v>12</v>
      </c>
      <c r="F2453">
        <v>3975.3</v>
      </c>
      <c r="G2453">
        <v>2093.73</v>
      </c>
      <c r="H2453" t="str">
        <f>VLOOKUP(myynnit[[#This Row],[TuoteID]],ohjaus!$A$4:$B$20,2,FALSE)</f>
        <v>Pianotuoli</v>
      </c>
    </row>
    <row r="2454" spans="1:8" x14ac:dyDescent="0.35">
      <c r="A2454" t="s">
        <v>37</v>
      </c>
      <c r="B2454">
        <v>2015</v>
      </c>
      <c r="C2454">
        <v>1</v>
      </c>
      <c r="D2454">
        <v>16024</v>
      </c>
      <c r="E2454">
        <v>144</v>
      </c>
      <c r="F2454">
        <v>58442.62</v>
      </c>
      <c r="G2454">
        <v>19036.5</v>
      </c>
      <c r="H2454" t="str">
        <f>VLOOKUP(myynnit[[#This Row],[TuoteID]],ohjaus!$A$4:$B$20,2,FALSE)</f>
        <v>Työtuoli</v>
      </c>
    </row>
    <row r="2455" spans="1:8" x14ac:dyDescent="0.35">
      <c r="A2455" t="s">
        <v>37</v>
      </c>
      <c r="B2455">
        <v>2015</v>
      </c>
      <c r="C2455">
        <v>1</v>
      </c>
      <c r="D2455">
        <v>16650</v>
      </c>
      <c r="E2455">
        <v>29</v>
      </c>
      <c r="F2455">
        <v>4881.01</v>
      </c>
      <c r="G2455">
        <v>2021.04</v>
      </c>
      <c r="H2455" t="str">
        <f>VLOOKUP(myynnit[[#This Row],[TuoteID]],ohjaus!$A$4:$B$20,2,FALSE)</f>
        <v>Rahi</v>
      </c>
    </row>
    <row r="2456" spans="1:8" x14ac:dyDescent="0.35">
      <c r="A2456" t="s">
        <v>37</v>
      </c>
      <c r="B2456">
        <v>2015</v>
      </c>
      <c r="C2456">
        <v>1</v>
      </c>
      <c r="D2456">
        <v>17892</v>
      </c>
      <c r="E2456">
        <v>120</v>
      </c>
      <c r="F2456">
        <v>17326.810000000001</v>
      </c>
      <c r="G2456">
        <v>4666.9799999999996</v>
      </c>
      <c r="H2456" t="str">
        <f>VLOOKUP(myynnit[[#This Row],[TuoteID]],ohjaus!$A$4:$B$20,2,FALSE)</f>
        <v>Lepotuoli</v>
      </c>
    </row>
    <row r="2457" spans="1:8" x14ac:dyDescent="0.35">
      <c r="A2457" t="s">
        <v>37</v>
      </c>
      <c r="B2457">
        <v>2015</v>
      </c>
      <c r="C2457">
        <v>1</v>
      </c>
      <c r="D2457">
        <v>18342</v>
      </c>
      <c r="E2457">
        <v>185</v>
      </c>
      <c r="F2457">
        <v>165294.92000000001</v>
      </c>
      <c r="G2457">
        <v>51000.44</v>
      </c>
      <c r="H2457" t="str">
        <f>VLOOKUP(myynnit[[#This Row],[TuoteID]],ohjaus!$A$4:$B$20,2,FALSE)</f>
        <v>Työtuoli</v>
      </c>
    </row>
    <row r="2458" spans="1:8" x14ac:dyDescent="0.35">
      <c r="A2458" t="s">
        <v>37</v>
      </c>
      <c r="B2458">
        <v>2015</v>
      </c>
      <c r="C2458">
        <v>1</v>
      </c>
      <c r="D2458">
        <v>20177</v>
      </c>
      <c r="E2458">
        <v>133</v>
      </c>
      <c r="F2458">
        <v>13123.49</v>
      </c>
      <c r="G2458">
        <v>4244.08</v>
      </c>
      <c r="H2458" t="str">
        <f>VLOOKUP(myynnit[[#This Row],[TuoteID]],ohjaus!$A$4:$B$20,2,FALSE)</f>
        <v>Säkkituoli</v>
      </c>
    </row>
    <row r="2459" spans="1:8" x14ac:dyDescent="0.35">
      <c r="A2459" t="s">
        <v>37</v>
      </c>
      <c r="B2459">
        <v>2015</v>
      </c>
      <c r="C2459">
        <v>1</v>
      </c>
      <c r="D2459">
        <v>21179</v>
      </c>
      <c r="E2459">
        <v>42</v>
      </c>
      <c r="F2459">
        <v>5538.21</v>
      </c>
      <c r="G2459">
        <v>2633.37</v>
      </c>
      <c r="H2459" t="str">
        <f>VLOOKUP(myynnit[[#This Row],[TuoteID]],ohjaus!$A$4:$B$20,2,FALSE)</f>
        <v>Rahi</v>
      </c>
    </row>
    <row r="2460" spans="1:8" x14ac:dyDescent="0.35">
      <c r="A2460" t="s">
        <v>37</v>
      </c>
      <c r="B2460">
        <v>2015</v>
      </c>
      <c r="C2460">
        <v>1</v>
      </c>
      <c r="D2460">
        <v>21260</v>
      </c>
      <c r="E2460">
        <v>102</v>
      </c>
      <c r="F2460">
        <v>19859.05</v>
      </c>
      <c r="G2460">
        <v>5273.05</v>
      </c>
      <c r="H2460" t="str">
        <f>VLOOKUP(myynnit[[#This Row],[TuoteID]],ohjaus!$A$4:$B$20,2,FALSE)</f>
        <v>Lepotuoli</v>
      </c>
    </row>
    <row r="2461" spans="1:8" x14ac:dyDescent="0.35">
      <c r="A2461" t="s">
        <v>37</v>
      </c>
      <c r="B2461">
        <v>2015</v>
      </c>
      <c r="C2461">
        <v>1</v>
      </c>
      <c r="D2461">
        <v>22317</v>
      </c>
      <c r="E2461">
        <v>65</v>
      </c>
      <c r="F2461">
        <v>6304.14</v>
      </c>
      <c r="G2461">
        <v>2400.59</v>
      </c>
      <c r="H2461" t="str">
        <f>VLOOKUP(myynnit[[#This Row],[TuoteID]],ohjaus!$A$4:$B$20,2,FALSE)</f>
        <v>Säkkituoli</v>
      </c>
    </row>
    <row r="2462" spans="1:8" x14ac:dyDescent="0.35">
      <c r="A2462" t="s">
        <v>37</v>
      </c>
      <c r="B2462">
        <v>2015</v>
      </c>
      <c r="C2462">
        <v>1</v>
      </c>
      <c r="D2462">
        <v>22940</v>
      </c>
      <c r="E2462">
        <v>562</v>
      </c>
      <c r="F2462">
        <v>71675.899999999994</v>
      </c>
      <c r="G2462">
        <v>13511.12</v>
      </c>
      <c r="H2462" t="str">
        <f>VLOOKUP(myynnit[[#This Row],[TuoteID]],ohjaus!$A$4:$B$20,2,FALSE)</f>
        <v>Pinnatuoli</v>
      </c>
    </row>
    <row r="2463" spans="1:8" x14ac:dyDescent="0.35">
      <c r="A2463" t="s">
        <v>37</v>
      </c>
      <c r="B2463">
        <v>2015</v>
      </c>
      <c r="C2463">
        <v>1</v>
      </c>
      <c r="D2463">
        <v>23178</v>
      </c>
      <c r="E2463">
        <v>426</v>
      </c>
      <c r="F2463">
        <v>73075.8</v>
      </c>
      <c r="G2463">
        <v>13059.53</v>
      </c>
      <c r="H2463" t="str">
        <f>VLOOKUP(myynnit[[#This Row],[TuoteID]],ohjaus!$A$4:$B$20,2,FALSE)</f>
        <v>Pinnatuoli</v>
      </c>
    </row>
    <row r="2464" spans="1:8" x14ac:dyDescent="0.35">
      <c r="A2464" t="s">
        <v>37</v>
      </c>
      <c r="B2464">
        <v>2015</v>
      </c>
      <c r="C2464">
        <v>1</v>
      </c>
      <c r="D2464">
        <v>23600</v>
      </c>
      <c r="E2464">
        <v>1266</v>
      </c>
      <c r="F2464">
        <v>153342.07999999999</v>
      </c>
      <c r="G2464">
        <v>37135.019999999997</v>
      </c>
      <c r="H2464" t="str">
        <f>VLOOKUP(myynnit[[#This Row],[TuoteID]],ohjaus!$A$4:$B$20,2,FALSE)</f>
        <v>Pinnatuoli</v>
      </c>
    </row>
    <row r="2465" spans="1:8" x14ac:dyDescent="0.35">
      <c r="A2465" t="s">
        <v>37</v>
      </c>
      <c r="B2465">
        <v>2015</v>
      </c>
      <c r="C2465">
        <v>1</v>
      </c>
      <c r="D2465">
        <v>23756</v>
      </c>
      <c r="E2465">
        <v>136</v>
      </c>
      <c r="F2465">
        <v>27687.72</v>
      </c>
      <c r="G2465">
        <v>12804.28</v>
      </c>
      <c r="H2465" t="str">
        <f>VLOOKUP(myynnit[[#This Row],[TuoteID]],ohjaus!$A$4:$B$20,2,FALSE)</f>
        <v>Pianotuoli</v>
      </c>
    </row>
    <row r="2466" spans="1:8" x14ac:dyDescent="0.35">
      <c r="A2466" t="s">
        <v>37</v>
      </c>
      <c r="B2466">
        <v>2015</v>
      </c>
      <c r="C2466">
        <v>1</v>
      </c>
      <c r="D2466">
        <v>24326</v>
      </c>
      <c r="E2466">
        <v>205</v>
      </c>
      <c r="F2466">
        <v>26918.1</v>
      </c>
      <c r="G2466">
        <v>6504.7</v>
      </c>
      <c r="H2466" t="str">
        <f>VLOOKUP(myynnit[[#This Row],[TuoteID]],ohjaus!$A$4:$B$20,2,FALSE)</f>
        <v>Lepotuoli</v>
      </c>
    </row>
    <row r="2467" spans="1:8" x14ac:dyDescent="0.35">
      <c r="A2467" t="s">
        <v>40</v>
      </c>
      <c r="B2467">
        <v>2015</v>
      </c>
      <c r="C2467">
        <v>1</v>
      </c>
      <c r="D2467">
        <v>12184</v>
      </c>
      <c r="E2467">
        <v>19</v>
      </c>
      <c r="F2467">
        <v>2651.47</v>
      </c>
      <c r="G2467">
        <v>1515.06</v>
      </c>
      <c r="H2467" t="str">
        <f>VLOOKUP(myynnit[[#This Row],[TuoteID]],ohjaus!$A$4:$B$20,2,FALSE)</f>
        <v>Rahi</v>
      </c>
    </row>
    <row r="2468" spans="1:8" x14ac:dyDescent="0.35">
      <c r="A2468" t="s">
        <v>40</v>
      </c>
      <c r="B2468">
        <v>2015</v>
      </c>
      <c r="C2468">
        <v>1</v>
      </c>
      <c r="D2468">
        <v>12622</v>
      </c>
      <c r="E2468">
        <v>10</v>
      </c>
      <c r="F2468">
        <v>2729.6</v>
      </c>
      <c r="G2468">
        <v>1124.6199999999999</v>
      </c>
      <c r="H2468" t="str">
        <f>VLOOKUP(myynnit[[#This Row],[TuoteID]],ohjaus!$A$4:$B$20,2,FALSE)</f>
        <v>Pianotuoli</v>
      </c>
    </row>
    <row r="2469" spans="1:8" x14ac:dyDescent="0.35">
      <c r="A2469" t="s">
        <v>40</v>
      </c>
      <c r="B2469">
        <v>2015</v>
      </c>
      <c r="C2469">
        <v>1</v>
      </c>
      <c r="D2469">
        <v>13527</v>
      </c>
      <c r="E2469">
        <v>195</v>
      </c>
      <c r="F2469">
        <v>31279.52</v>
      </c>
      <c r="G2469">
        <v>4741.71</v>
      </c>
      <c r="H2469" t="str">
        <f>VLOOKUP(myynnit[[#This Row],[TuoteID]],ohjaus!$A$4:$B$20,2,FALSE)</f>
        <v>Pinnatuoli</v>
      </c>
    </row>
    <row r="2470" spans="1:8" x14ac:dyDescent="0.35">
      <c r="A2470" t="s">
        <v>40</v>
      </c>
      <c r="B2470">
        <v>2015</v>
      </c>
      <c r="C2470">
        <v>1</v>
      </c>
      <c r="D2470">
        <v>13618</v>
      </c>
      <c r="E2470">
        <v>10</v>
      </c>
      <c r="F2470">
        <v>3623.59</v>
      </c>
      <c r="G2470">
        <v>1626.24</v>
      </c>
      <c r="H2470" t="str">
        <f>VLOOKUP(myynnit[[#This Row],[TuoteID]],ohjaus!$A$4:$B$20,2,FALSE)</f>
        <v>Pianotuoli</v>
      </c>
    </row>
    <row r="2471" spans="1:8" x14ac:dyDescent="0.35">
      <c r="A2471" t="s">
        <v>40</v>
      </c>
      <c r="B2471">
        <v>2015</v>
      </c>
      <c r="C2471">
        <v>1</v>
      </c>
      <c r="D2471">
        <v>16024</v>
      </c>
      <c r="E2471">
        <v>167</v>
      </c>
      <c r="F2471">
        <v>65272.02</v>
      </c>
      <c r="G2471">
        <v>18249.669999999998</v>
      </c>
      <c r="H2471" t="str">
        <f>VLOOKUP(myynnit[[#This Row],[TuoteID]],ohjaus!$A$4:$B$20,2,FALSE)</f>
        <v>Työtuoli</v>
      </c>
    </row>
    <row r="2472" spans="1:8" x14ac:dyDescent="0.35">
      <c r="A2472" t="s">
        <v>40</v>
      </c>
      <c r="B2472">
        <v>2015</v>
      </c>
      <c r="C2472">
        <v>1</v>
      </c>
      <c r="D2472">
        <v>16650</v>
      </c>
      <c r="E2472">
        <v>34</v>
      </c>
      <c r="F2472">
        <v>5274.21</v>
      </c>
      <c r="G2472">
        <v>3498.34</v>
      </c>
      <c r="H2472" t="str">
        <f>VLOOKUP(myynnit[[#This Row],[TuoteID]],ohjaus!$A$4:$B$20,2,FALSE)</f>
        <v>Rahi</v>
      </c>
    </row>
    <row r="2473" spans="1:8" x14ac:dyDescent="0.35">
      <c r="A2473" t="s">
        <v>40</v>
      </c>
      <c r="B2473">
        <v>2015</v>
      </c>
      <c r="C2473">
        <v>1</v>
      </c>
      <c r="D2473">
        <v>17892</v>
      </c>
      <c r="E2473">
        <v>52</v>
      </c>
      <c r="F2473">
        <v>6889.64</v>
      </c>
      <c r="G2473">
        <v>1638.63</v>
      </c>
      <c r="H2473" t="str">
        <f>VLOOKUP(myynnit[[#This Row],[TuoteID]],ohjaus!$A$4:$B$20,2,FALSE)</f>
        <v>Lepotuoli</v>
      </c>
    </row>
    <row r="2474" spans="1:8" x14ac:dyDescent="0.35">
      <c r="A2474" t="s">
        <v>40</v>
      </c>
      <c r="B2474">
        <v>2015</v>
      </c>
      <c r="C2474">
        <v>1</v>
      </c>
      <c r="D2474">
        <v>18342</v>
      </c>
      <c r="E2474">
        <v>16</v>
      </c>
      <c r="F2474">
        <v>14167.2</v>
      </c>
      <c r="G2474">
        <v>3738.23</v>
      </c>
      <c r="H2474" t="str">
        <f>VLOOKUP(myynnit[[#This Row],[TuoteID]],ohjaus!$A$4:$B$20,2,FALSE)</f>
        <v>Työtuoli</v>
      </c>
    </row>
    <row r="2475" spans="1:8" x14ac:dyDescent="0.35">
      <c r="A2475" t="s">
        <v>40</v>
      </c>
      <c r="B2475">
        <v>2015</v>
      </c>
      <c r="C2475">
        <v>1</v>
      </c>
      <c r="D2475">
        <v>20177</v>
      </c>
      <c r="E2475">
        <v>30</v>
      </c>
      <c r="F2475">
        <v>2622.81</v>
      </c>
      <c r="G2475">
        <v>922.01</v>
      </c>
      <c r="H2475" t="str">
        <f>VLOOKUP(myynnit[[#This Row],[TuoteID]],ohjaus!$A$4:$B$20,2,FALSE)</f>
        <v>Säkkituoli</v>
      </c>
    </row>
    <row r="2476" spans="1:8" x14ac:dyDescent="0.35">
      <c r="A2476" t="s">
        <v>40</v>
      </c>
      <c r="B2476">
        <v>2015</v>
      </c>
      <c r="C2476">
        <v>1</v>
      </c>
      <c r="D2476">
        <v>21179</v>
      </c>
      <c r="E2476">
        <v>26</v>
      </c>
      <c r="F2476">
        <v>3734.3</v>
      </c>
      <c r="G2476">
        <v>2165.08</v>
      </c>
      <c r="H2476" t="str">
        <f>VLOOKUP(myynnit[[#This Row],[TuoteID]],ohjaus!$A$4:$B$20,2,FALSE)</f>
        <v>Rahi</v>
      </c>
    </row>
    <row r="2477" spans="1:8" x14ac:dyDescent="0.35">
      <c r="A2477" t="s">
        <v>40</v>
      </c>
      <c r="B2477">
        <v>2015</v>
      </c>
      <c r="C2477">
        <v>1</v>
      </c>
      <c r="D2477">
        <v>21260</v>
      </c>
      <c r="E2477">
        <v>59</v>
      </c>
      <c r="F2477">
        <v>10605.78</v>
      </c>
      <c r="G2477">
        <v>2557.9499999999998</v>
      </c>
      <c r="H2477" t="str">
        <f>VLOOKUP(myynnit[[#This Row],[TuoteID]],ohjaus!$A$4:$B$20,2,FALSE)</f>
        <v>Lepotuoli</v>
      </c>
    </row>
    <row r="2478" spans="1:8" x14ac:dyDescent="0.35">
      <c r="A2478" t="s">
        <v>40</v>
      </c>
      <c r="B2478">
        <v>2015</v>
      </c>
      <c r="C2478">
        <v>1</v>
      </c>
      <c r="D2478">
        <v>22317</v>
      </c>
      <c r="E2478">
        <v>8</v>
      </c>
      <c r="F2478">
        <v>774.6</v>
      </c>
      <c r="G2478">
        <v>308.52999999999997</v>
      </c>
      <c r="H2478" t="str">
        <f>VLOOKUP(myynnit[[#This Row],[TuoteID]],ohjaus!$A$4:$B$20,2,FALSE)</f>
        <v>Säkkituoli</v>
      </c>
    </row>
    <row r="2479" spans="1:8" x14ac:dyDescent="0.35">
      <c r="A2479" t="s">
        <v>40</v>
      </c>
      <c r="B2479">
        <v>2015</v>
      </c>
      <c r="C2479">
        <v>1</v>
      </c>
      <c r="D2479">
        <v>22940</v>
      </c>
      <c r="E2479">
        <v>132</v>
      </c>
      <c r="F2479">
        <v>18780.61</v>
      </c>
      <c r="G2479">
        <v>5024.37</v>
      </c>
      <c r="H2479" t="str">
        <f>VLOOKUP(myynnit[[#This Row],[TuoteID]],ohjaus!$A$4:$B$20,2,FALSE)</f>
        <v>Pinnatuoli</v>
      </c>
    </row>
    <row r="2480" spans="1:8" x14ac:dyDescent="0.35">
      <c r="A2480" t="s">
        <v>40</v>
      </c>
      <c r="B2480">
        <v>2015</v>
      </c>
      <c r="C2480">
        <v>1</v>
      </c>
      <c r="D2480">
        <v>23178</v>
      </c>
      <c r="E2480">
        <v>269</v>
      </c>
      <c r="F2480">
        <v>48285.49</v>
      </c>
      <c r="G2480">
        <v>10834.56</v>
      </c>
      <c r="H2480" t="str">
        <f>VLOOKUP(myynnit[[#This Row],[TuoteID]],ohjaus!$A$4:$B$20,2,FALSE)</f>
        <v>Pinnatuoli</v>
      </c>
    </row>
    <row r="2481" spans="1:8" x14ac:dyDescent="0.35">
      <c r="A2481" t="s">
        <v>40</v>
      </c>
      <c r="B2481">
        <v>2015</v>
      </c>
      <c r="C2481">
        <v>1</v>
      </c>
      <c r="D2481">
        <v>23600</v>
      </c>
      <c r="E2481">
        <v>744</v>
      </c>
      <c r="F2481">
        <v>92564.28</v>
      </c>
      <c r="G2481">
        <v>23528.79</v>
      </c>
      <c r="H2481" t="str">
        <f>VLOOKUP(myynnit[[#This Row],[TuoteID]],ohjaus!$A$4:$B$20,2,FALSE)</f>
        <v>Pinnatuoli</v>
      </c>
    </row>
    <row r="2482" spans="1:8" x14ac:dyDescent="0.35">
      <c r="A2482" t="s">
        <v>40</v>
      </c>
      <c r="B2482">
        <v>2015</v>
      </c>
      <c r="C2482">
        <v>1</v>
      </c>
      <c r="D2482">
        <v>23756</v>
      </c>
      <c r="E2482">
        <v>64</v>
      </c>
      <c r="F2482">
        <v>11455.46</v>
      </c>
      <c r="G2482">
        <v>5380.22</v>
      </c>
      <c r="H2482" t="str">
        <f>VLOOKUP(myynnit[[#This Row],[TuoteID]],ohjaus!$A$4:$B$20,2,FALSE)</f>
        <v>Pianotuoli</v>
      </c>
    </row>
    <row r="2483" spans="1:8" x14ac:dyDescent="0.35">
      <c r="A2483" t="s">
        <v>40</v>
      </c>
      <c r="B2483">
        <v>2015</v>
      </c>
      <c r="C2483">
        <v>1</v>
      </c>
      <c r="D2483">
        <v>24326</v>
      </c>
      <c r="E2483">
        <v>41</v>
      </c>
      <c r="F2483">
        <v>5305.23</v>
      </c>
      <c r="G2483">
        <v>1688.08</v>
      </c>
      <c r="H2483" t="str">
        <f>VLOOKUP(myynnit[[#This Row],[TuoteID]],ohjaus!$A$4:$B$20,2,FALSE)</f>
        <v>Lepotuoli</v>
      </c>
    </row>
    <row r="2484" spans="1:8" x14ac:dyDescent="0.35">
      <c r="A2484" t="s">
        <v>39</v>
      </c>
      <c r="B2484">
        <v>2015</v>
      </c>
      <c r="C2484">
        <v>1</v>
      </c>
      <c r="D2484">
        <v>12184</v>
      </c>
      <c r="E2484">
        <v>57</v>
      </c>
      <c r="F2484">
        <v>5894.64</v>
      </c>
      <c r="G2484">
        <v>3632.12</v>
      </c>
      <c r="H2484" t="str">
        <f>VLOOKUP(myynnit[[#This Row],[TuoteID]],ohjaus!$A$4:$B$20,2,FALSE)</f>
        <v>Rahi</v>
      </c>
    </row>
    <row r="2485" spans="1:8" x14ac:dyDescent="0.35">
      <c r="A2485" t="s">
        <v>39</v>
      </c>
      <c r="B2485">
        <v>2015</v>
      </c>
      <c r="C2485">
        <v>1</v>
      </c>
      <c r="D2485">
        <v>12622</v>
      </c>
      <c r="E2485">
        <v>52</v>
      </c>
      <c r="F2485">
        <v>15719.37</v>
      </c>
      <c r="G2485">
        <v>8986.7900000000009</v>
      </c>
      <c r="H2485" t="str">
        <f>VLOOKUP(myynnit[[#This Row],[TuoteID]],ohjaus!$A$4:$B$20,2,FALSE)</f>
        <v>Pianotuoli</v>
      </c>
    </row>
    <row r="2486" spans="1:8" x14ac:dyDescent="0.35">
      <c r="A2486" t="s">
        <v>39</v>
      </c>
      <c r="B2486">
        <v>2015</v>
      </c>
      <c r="C2486">
        <v>1</v>
      </c>
      <c r="D2486">
        <v>13527</v>
      </c>
      <c r="E2486">
        <v>324</v>
      </c>
      <c r="F2486">
        <v>53698.51</v>
      </c>
      <c r="G2486">
        <v>11787.93</v>
      </c>
      <c r="H2486" t="str">
        <f>VLOOKUP(myynnit[[#This Row],[TuoteID]],ohjaus!$A$4:$B$20,2,FALSE)</f>
        <v>Pinnatuoli</v>
      </c>
    </row>
    <row r="2487" spans="1:8" x14ac:dyDescent="0.35">
      <c r="A2487" t="s">
        <v>39</v>
      </c>
      <c r="B2487">
        <v>2015</v>
      </c>
      <c r="C2487">
        <v>1</v>
      </c>
      <c r="D2487">
        <v>13618</v>
      </c>
      <c r="E2487">
        <v>15</v>
      </c>
      <c r="F2487">
        <v>7055.64</v>
      </c>
      <c r="G2487">
        <v>4278.74</v>
      </c>
      <c r="H2487" t="str">
        <f>VLOOKUP(myynnit[[#This Row],[TuoteID]],ohjaus!$A$4:$B$20,2,FALSE)</f>
        <v>Pianotuoli</v>
      </c>
    </row>
    <row r="2488" spans="1:8" x14ac:dyDescent="0.35">
      <c r="A2488" t="s">
        <v>39</v>
      </c>
      <c r="B2488">
        <v>2015</v>
      </c>
      <c r="C2488">
        <v>1</v>
      </c>
      <c r="D2488">
        <v>16024</v>
      </c>
      <c r="E2488">
        <v>125</v>
      </c>
      <c r="F2488">
        <v>58212.79</v>
      </c>
      <c r="G2488">
        <v>19642.21</v>
      </c>
      <c r="H2488" t="str">
        <f>VLOOKUP(myynnit[[#This Row],[TuoteID]],ohjaus!$A$4:$B$20,2,FALSE)</f>
        <v>Työtuoli</v>
      </c>
    </row>
    <row r="2489" spans="1:8" x14ac:dyDescent="0.35">
      <c r="A2489" t="s">
        <v>39</v>
      </c>
      <c r="B2489">
        <v>2015</v>
      </c>
      <c r="C2489">
        <v>1</v>
      </c>
      <c r="D2489">
        <v>16650</v>
      </c>
      <c r="E2489">
        <v>23</v>
      </c>
      <c r="F2489">
        <v>3779.92</v>
      </c>
      <c r="G2489">
        <v>2582.7399999999998</v>
      </c>
      <c r="H2489" t="str">
        <f>VLOOKUP(myynnit[[#This Row],[TuoteID]],ohjaus!$A$4:$B$20,2,FALSE)</f>
        <v>Rahi</v>
      </c>
    </row>
    <row r="2490" spans="1:8" x14ac:dyDescent="0.35">
      <c r="A2490" t="s">
        <v>39</v>
      </c>
      <c r="B2490">
        <v>2015</v>
      </c>
      <c r="C2490">
        <v>1</v>
      </c>
      <c r="D2490">
        <v>17892</v>
      </c>
      <c r="E2490">
        <v>89</v>
      </c>
      <c r="F2490">
        <v>11811.47</v>
      </c>
      <c r="G2490">
        <v>3670.39</v>
      </c>
      <c r="H2490" t="str">
        <f>VLOOKUP(myynnit[[#This Row],[TuoteID]],ohjaus!$A$4:$B$20,2,FALSE)</f>
        <v>Lepotuoli</v>
      </c>
    </row>
    <row r="2491" spans="1:8" x14ac:dyDescent="0.35">
      <c r="A2491" t="s">
        <v>39</v>
      </c>
      <c r="B2491">
        <v>2015</v>
      </c>
      <c r="C2491">
        <v>1</v>
      </c>
      <c r="D2491">
        <v>18342</v>
      </c>
      <c r="E2491">
        <v>187</v>
      </c>
      <c r="F2491">
        <v>155559.71</v>
      </c>
      <c r="G2491">
        <v>52196.35</v>
      </c>
      <c r="H2491" t="str">
        <f>VLOOKUP(myynnit[[#This Row],[TuoteID]],ohjaus!$A$4:$B$20,2,FALSE)</f>
        <v>Työtuoli</v>
      </c>
    </row>
    <row r="2492" spans="1:8" x14ac:dyDescent="0.35">
      <c r="A2492" t="s">
        <v>39</v>
      </c>
      <c r="B2492">
        <v>2015</v>
      </c>
      <c r="C2492">
        <v>1</v>
      </c>
      <c r="D2492">
        <v>20177</v>
      </c>
      <c r="E2492">
        <v>86</v>
      </c>
      <c r="F2492">
        <v>9576.4599999999991</v>
      </c>
      <c r="G2492">
        <v>5000.8500000000004</v>
      </c>
      <c r="H2492" t="str">
        <f>VLOOKUP(myynnit[[#This Row],[TuoteID]],ohjaus!$A$4:$B$20,2,FALSE)</f>
        <v>Säkkituoli</v>
      </c>
    </row>
    <row r="2493" spans="1:8" x14ac:dyDescent="0.35">
      <c r="A2493" t="s">
        <v>39</v>
      </c>
      <c r="B2493">
        <v>2015</v>
      </c>
      <c r="C2493">
        <v>1</v>
      </c>
      <c r="D2493">
        <v>21179</v>
      </c>
      <c r="E2493">
        <v>70</v>
      </c>
      <c r="F2493">
        <v>9216.77</v>
      </c>
      <c r="G2493">
        <v>5722.29</v>
      </c>
      <c r="H2493" t="str">
        <f>VLOOKUP(myynnit[[#This Row],[TuoteID]],ohjaus!$A$4:$B$20,2,FALSE)</f>
        <v>Rahi</v>
      </c>
    </row>
    <row r="2494" spans="1:8" x14ac:dyDescent="0.35">
      <c r="A2494" t="s">
        <v>39</v>
      </c>
      <c r="B2494">
        <v>2015</v>
      </c>
      <c r="C2494">
        <v>1</v>
      </c>
      <c r="D2494">
        <v>21260</v>
      </c>
      <c r="E2494">
        <v>70</v>
      </c>
      <c r="F2494">
        <v>12315.68</v>
      </c>
      <c r="G2494">
        <v>3316.2</v>
      </c>
      <c r="H2494" t="str">
        <f>VLOOKUP(myynnit[[#This Row],[TuoteID]],ohjaus!$A$4:$B$20,2,FALSE)</f>
        <v>Lepotuoli</v>
      </c>
    </row>
    <row r="2495" spans="1:8" x14ac:dyDescent="0.35">
      <c r="A2495" t="s">
        <v>39</v>
      </c>
      <c r="B2495">
        <v>2015</v>
      </c>
      <c r="C2495">
        <v>1</v>
      </c>
      <c r="D2495">
        <v>22317</v>
      </c>
      <c r="E2495">
        <v>44</v>
      </c>
      <c r="F2495">
        <v>4303.97</v>
      </c>
      <c r="G2495">
        <v>1789.48</v>
      </c>
      <c r="H2495" t="str">
        <f>VLOOKUP(myynnit[[#This Row],[TuoteID]],ohjaus!$A$4:$B$20,2,FALSE)</f>
        <v>Säkkituoli</v>
      </c>
    </row>
    <row r="2496" spans="1:8" x14ac:dyDescent="0.35">
      <c r="A2496" t="s">
        <v>39</v>
      </c>
      <c r="B2496">
        <v>2015</v>
      </c>
      <c r="C2496">
        <v>1</v>
      </c>
      <c r="D2496">
        <v>22940</v>
      </c>
      <c r="E2496">
        <v>412</v>
      </c>
      <c r="F2496">
        <v>48262.62</v>
      </c>
      <c r="G2496">
        <v>10817.39</v>
      </c>
      <c r="H2496" t="str">
        <f>VLOOKUP(myynnit[[#This Row],[TuoteID]],ohjaus!$A$4:$B$20,2,FALSE)</f>
        <v>Pinnatuoli</v>
      </c>
    </row>
    <row r="2497" spans="1:8" x14ac:dyDescent="0.35">
      <c r="A2497" t="s">
        <v>39</v>
      </c>
      <c r="B2497">
        <v>2015</v>
      </c>
      <c r="C2497">
        <v>1</v>
      </c>
      <c r="D2497">
        <v>23178</v>
      </c>
      <c r="E2497">
        <v>132</v>
      </c>
      <c r="F2497">
        <v>23541.29</v>
      </c>
      <c r="G2497">
        <v>6698.41</v>
      </c>
      <c r="H2497" t="str">
        <f>VLOOKUP(myynnit[[#This Row],[TuoteID]],ohjaus!$A$4:$B$20,2,FALSE)</f>
        <v>Pinnatuoli</v>
      </c>
    </row>
    <row r="2498" spans="1:8" x14ac:dyDescent="0.35">
      <c r="A2498" t="s">
        <v>39</v>
      </c>
      <c r="B2498">
        <v>2015</v>
      </c>
      <c r="C2498">
        <v>1</v>
      </c>
      <c r="D2498">
        <v>23600</v>
      </c>
      <c r="E2498">
        <v>532</v>
      </c>
      <c r="F2498">
        <v>61605.65</v>
      </c>
      <c r="G2498">
        <v>17444.07</v>
      </c>
      <c r="H2498" t="str">
        <f>VLOOKUP(myynnit[[#This Row],[TuoteID]],ohjaus!$A$4:$B$20,2,FALSE)</f>
        <v>Pinnatuoli</v>
      </c>
    </row>
    <row r="2499" spans="1:8" x14ac:dyDescent="0.35">
      <c r="A2499" t="s">
        <v>39</v>
      </c>
      <c r="B2499">
        <v>2015</v>
      </c>
      <c r="C2499">
        <v>1</v>
      </c>
      <c r="D2499">
        <v>23756</v>
      </c>
      <c r="E2499">
        <v>120</v>
      </c>
      <c r="F2499">
        <v>22069.02</v>
      </c>
      <c r="G2499">
        <v>13535.47</v>
      </c>
      <c r="H2499" t="str">
        <f>VLOOKUP(myynnit[[#This Row],[TuoteID]],ohjaus!$A$4:$B$20,2,FALSE)</f>
        <v>Pianotuoli</v>
      </c>
    </row>
    <row r="2500" spans="1:8" x14ac:dyDescent="0.35">
      <c r="A2500" t="s">
        <v>39</v>
      </c>
      <c r="B2500">
        <v>2015</v>
      </c>
      <c r="C2500">
        <v>1</v>
      </c>
      <c r="D2500">
        <v>24326</v>
      </c>
      <c r="E2500">
        <v>106</v>
      </c>
      <c r="F2500">
        <v>13301.12</v>
      </c>
      <c r="G2500">
        <v>4383.62</v>
      </c>
      <c r="H2500" t="str">
        <f>VLOOKUP(myynnit[[#This Row],[TuoteID]],ohjaus!$A$4:$B$20,2,FALSE)</f>
        <v>Lepotuoli</v>
      </c>
    </row>
    <row r="2501" spans="1:8" x14ac:dyDescent="0.35">
      <c r="A2501" t="s">
        <v>38</v>
      </c>
      <c r="B2501">
        <v>2015</v>
      </c>
      <c r="C2501">
        <v>1</v>
      </c>
      <c r="D2501">
        <v>12184</v>
      </c>
      <c r="E2501">
        <v>52</v>
      </c>
      <c r="F2501">
        <v>5830.66</v>
      </c>
      <c r="G2501">
        <v>3064.32</v>
      </c>
      <c r="H2501" t="str">
        <f>VLOOKUP(myynnit[[#This Row],[TuoteID]],ohjaus!$A$4:$B$20,2,FALSE)</f>
        <v>Rahi</v>
      </c>
    </row>
    <row r="2502" spans="1:8" x14ac:dyDescent="0.35">
      <c r="A2502" t="s">
        <v>38</v>
      </c>
      <c r="B2502">
        <v>2015</v>
      </c>
      <c r="C2502">
        <v>1</v>
      </c>
      <c r="D2502">
        <v>12622</v>
      </c>
      <c r="E2502">
        <v>28</v>
      </c>
      <c r="F2502">
        <v>6795.72</v>
      </c>
      <c r="G2502">
        <v>3148.38</v>
      </c>
      <c r="H2502" t="str">
        <f>VLOOKUP(myynnit[[#This Row],[TuoteID]],ohjaus!$A$4:$B$20,2,FALSE)</f>
        <v>Pianotuoli</v>
      </c>
    </row>
    <row r="2503" spans="1:8" x14ac:dyDescent="0.35">
      <c r="A2503" t="s">
        <v>38</v>
      </c>
      <c r="B2503">
        <v>2015</v>
      </c>
      <c r="C2503">
        <v>1</v>
      </c>
      <c r="D2503">
        <v>13527</v>
      </c>
      <c r="E2503">
        <v>651</v>
      </c>
      <c r="F2503">
        <v>105823.09</v>
      </c>
      <c r="G2503">
        <v>23362.63</v>
      </c>
      <c r="H2503" t="str">
        <f>VLOOKUP(myynnit[[#This Row],[TuoteID]],ohjaus!$A$4:$B$20,2,FALSE)</f>
        <v>Pinnatuoli</v>
      </c>
    </row>
    <row r="2504" spans="1:8" x14ac:dyDescent="0.35">
      <c r="A2504" t="s">
        <v>38</v>
      </c>
      <c r="B2504">
        <v>2015</v>
      </c>
      <c r="C2504">
        <v>1</v>
      </c>
      <c r="D2504">
        <v>13618</v>
      </c>
      <c r="E2504">
        <v>16</v>
      </c>
      <c r="F2504">
        <v>5449.12</v>
      </c>
      <c r="G2504">
        <v>2289.3200000000002</v>
      </c>
      <c r="H2504" t="str">
        <f>VLOOKUP(myynnit[[#This Row],[TuoteID]],ohjaus!$A$4:$B$20,2,FALSE)</f>
        <v>Pianotuoli</v>
      </c>
    </row>
    <row r="2505" spans="1:8" x14ac:dyDescent="0.35">
      <c r="A2505" t="s">
        <v>38</v>
      </c>
      <c r="B2505">
        <v>2015</v>
      </c>
      <c r="C2505">
        <v>1</v>
      </c>
      <c r="D2505">
        <v>16024</v>
      </c>
      <c r="E2505">
        <v>143</v>
      </c>
      <c r="F2505">
        <v>57471.47</v>
      </c>
      <c r="G2505">
        <v>14339.58</v>
      </c>
      <c r="H2505" t="str">
        <f>VLOOKUP(myynnit[[#This Row],[TuoteID]],ohjaus!$A$4:$B$20,2,FALSE)</f>
        <v>Työtuoli</v>
      </c>
    </row>
    <row r="2506" spans="1:8" x14ac:dyDescent="0.35">
      <c r="A2506" t="s">
        <v>38</v>
      </c>
      <c r="B2506">
        <v>2015</v>
      </c>
      <c r="C2506">
        <v>1</v>
      </c>
      <c r="D2506">
        <v>16650</v>
      </c>
      <c r="E2506">
        <v>46</v>
      </c>
      <c r="F2506">
        <v>6807.38</v>
      </c>
      <c r="G2506">
        <v>3856.73</v>
      </c>
      <c r="H2506" t="str">
        <f>VLOOKUP(myynnit[[#This Row],[TuoteID]],ohjaus!$A$4:$B$20,2,FALSE)</f>
        <v>Rahi</v>
      </c>
    </row>
    <row r="2507" spans="1:8" x14ac:dyDescent="0.35">
      <c r="A2507" t="s">
        <v>38</v>
      </c>
      <c r="B2507">
        <v>2015</v>
      </c>
      <c r="C2507">
        <v>1</v>
      </c>
      <c r="D2507">
        <v>17892</v>
      </c>
      <c r="E2507">
        <v>86</v>
      </c>
      <c r="F2507">
        <v>10842.77</v>
      </c>
      <c r="G2507">
        <v>2690.23</v>
      </c>
      <c r="H2507" t="str">
        <f>VLOOKUP(myynnit[[#This Row],[TuoteID]],ohjaus!$A$4:$B$20,2,FALSE)</f>
        <v>Lepotuoli</v>
      </c>
    </row>
    <row r="2508" spans="1:8" x14ac:dyDescent="0.35">
      <c r="A2508" t="s">
        <v>38</v>
      </c>
      <c r="B2508">
        <v>2015</v>
      </c>
      <c r="C2508">
        <v>1</v>
      </c>
      <c r="D2508">
        <v>18342</v>
      </c>
      <c r="E2508">
        <v>144</v>
      </c>
      <c r="F2508">
        <v>107222.69</v>
      </c>
      <c r="G2508">
        <v>29519.71</v>
      </c>
      <c r="H2508" t="str">
        <f>VLOOKUP(myynnit[[#This Row],[TuoteID]],ohjaus!$A$4:$B$20,2,FALSE)</f>
        <v>Työtuoli</v>
      </c>
    </row>
    <row r="2509" spans="1:8" x14ac:dyDescent="0.35">
      <c r="A2509" t="s">
        <v>38</v>
      </c>
      <c r="B2509">
        <v>2015</v>
      </c>
      <c r="C2509">
        <v>1</v>
      </c>
      <c r="D2509">
        <v>20177</v>
      </c>
      <c r="E2509">
        <v>62</v>
      </c>
      <c r="F2509">
        <v>5538.91</v>
      </c>
      <c r="G2509">
        <v>2291.09</v>
      </c>
      <c r="H2509" t="str">
        <f>VLOOKUP(myynnit[[#This Row],[TuoteID]],ohjaus!$A$4:$B$20,2,FALSE)</f>
        <v>Säkkituoli</v>
      </c>
    </row>
    <row r="2510" spans="1:8" x14ac:dyDescent="0.35">
      <c r="A2510" t="s">
        <v>38</v>
      </c>
      <c r="B2510">
        <v>2015</v>
      </c>
      <c r="C2510">
        <v>1</v>
      </c>
      <c r="D2510">
        <v>21179</v>
      </c>
      <c r="E2510">
        <v>57</v>
      </c>
      <c r="F2510">
        <v>7269.58</v>
      </c>
      <c r="G2510">
        <v>4317.4799999999996</v>
      </c>
      <c r="H2510" t="str">
        <f>VLOOKUP(myynnit[[#This Row],[TuoteID]],ohjaus!$A$4:$B$20,2,FALSE)</f>
        <v>Rahi</v>
      </c>
    </row>
    <row r="2511" spans="1:8" x14ac:dyDescent="0.35">
      <c r="A2511" t="s">
        <v>38</v>
      </c>
      <c r="B2511">
        <v>2015</v>
      </c>
      <c r="C2511">
        <v>1</v>
      </c>
      <c r="D2511">
        <v>21260</v>
      </c>
      <c r="E2511">
        <v>35</v>
      </c>
      <c r="F2511">
        <v>6107.76</v>
      </c>
      <c r="G2511">
        <v>1776.36</v>
      </c>
      <c r="H2511" t="str">
        <f>VLOOKUP(myynnit[[#This Row],[TuoteID]],ohjaus!$A$4:$B$20,2,FALSE)</f>
        <v>Lepotuoli</v>
      </c>
    </row>
    <row r="2512" spans="1:8" x14ac:dyDescent="0.35">
      <c r="A2512" t="s">
        <v>38</v>
      </c>
      <c r="B2512">
        <v>2015</v>
      </c>
      <c r="C2512">
        <v>1</v>
      </c>
      <c r="D2512">
        <v>22317</v>
      </c>
      <c r="E2512">
        <v>39</v>
      </c>
      <c r="F2512">
        <v>3882.84</v>
      </c>
      <c r="G2512">
        <v>1417.05</v>
      </c>
      <c r="H2512" t="str">
        <f>VLOOKUP(myynnit[[#This Row],[TuoteID]],ohjaus!$A$4:$B$20,2,FALSE)</f>
        <v>Säkkituoli</v>
      </c>
    </row>
    <row r="2513" spans="1:8" x14ac:dyDescent="0.35">
      <c r="A2513" t="s">
        <v>38</v>
      </c>
      <c r="B2513">
        <v>2015</v>
      </c>
      <c r="C2513">
        <v>1</v>
      </c>
      <c r="D2513">
        <v>22940</v>
      </c>
      <c r="E2513">
        <v>685</v>
      </c>
      <c r="F2513">
        <v>81237.56</v>
      </c>
      <c r="G2513">
        <v>14420.83</v>
      </c>
      <c r="H2513" t="str">
        <f>VLOOKUP(myynnit[[#This Row],[TuoteID]],ohjaus!$A$4:$B$20,2,FALSE)</f>
        <v>Pinnatuoli</v>
      </c>
    </row>
    <row r="2514" spans="1:8" x14ac:dyDescent="0.35">
      <c r="A2514" t="s">
        <v>38</v>
      </c>
      <c r="B2514">
        <v>2015</v>
      </c>
      <c r="C2514">
        <v>1</v>
      </c>
      <c r="D2514">
        <v>23178</v>
      </c>
      <c r="E2514">
        <v>156</v>
      </c>
      <c r="F2514">
        <v>26276.86</v>
      </c>
      <c r="G2514">
        <v>5312.55</v>
      </c>
      <c r="H2514" t="str">
        <f>VLOOKUP(myynnit[[#This Row],[TuoteID]],ohjaus!$A$4:$B$20,2,FALSE)</f>
        <v>Pinnatuoli</v>
      </c>
    </row>
    <row r="2515" spans="1:8" x14ac:dyDescent="0.35">
      <c r="A2515" t="s">
        <v>38</v>
      </c>
      <c r="B2515">
        <v>2015</v>
      </c>
      <c r="C2515">
        <v>1</v>
      </c>
      <c r="D2515">
        <v>23600</v>
      </c>
      <c r="E2515">
        <v>1261</v>
      </c>
      <c r="F2515">
        <v>141376.31</v>
      </c>
      <c r="G2515">
        <v>37312.6</v>
      </c>
      <c r="H2515" t="str">
        <f>VLOOKUP(myynnit[[#This Row],[TuoteID]],ohjaus!$A$4:$B$20,2,FALSE)</f>
        <v>Pinnatuoli</v>
      </c>
    </row>
    <row r="2516" spans="1:8" x14ac:dyDescent="0.35">
      <c r="A2516" t="s">
        <v>38</v>
      </c>
      <c r="B2516">
        <v>2015</v>
      </c>
      <c r="C2516">
        <v>1</v>
      </c>
      <c r="D2516">
        <v>23756</v>
      </c>
      <c r="E2516">
        <v>92</v>
      </c>
      <c r="F2516">
        <v>15811.74</v>
      </c>
      <c r="G2516">
        <v>6964.35</v>
      </c>
      <c r="H2516" t="str">
        <f>VLOOKUP(myynnit[[#This Row],[TuoteID]],ohjaus!$A$4:$B$20,2,FALSE)</f>
        <v>Pianotuoli</v>
      </c>
    </row>
    <row r="2517" spans="1:8" x14ac:dyDescent="0.35">
      <c r="A2517" t="s">
        <v>38</v>
      </c>
      <c r="B2517">
        <v>2015</v>
      </c>
      <c r="C2517">
        <v>1</v>
      </c>
      <c r="D2517">
        <v>24326</v>
      </c>
      <c r="E2517">
        <v>57</v>
      </c>
      <c r="F2517">
        <v>7634.46</v>
      </c>
      <c r="G2517">
        <v>2162.79</v>
      </c>
      <c r="H2517" t="str">
        <f>VLOOKUP(myynnit[[#This Row],[TuoteID]],ohjaus!$A$4:$B$20,2,FALSE)</f>
        <v>Lepotuoli</v>
      </c>
    </row>
    <row r="2518" spans="1:8" x14ac:dyDescent="0.35">
      <c r="A2518" t="s">
        <v>37</v>
      </c>
      <c r="B2518">
        <v>2015</v>
      </c>
      <c r="C2518">
        <v>2</v>
      </c>
      <c r="D2518">
        <v>12184</v>
      </c>
      <c r="E2518">
        <v>73</v>
      </c>
      <c r="F2518">
        <v>8134.78</v>
      </c>
      <c r="G2518">
        <v>3451.2</v>
      </c>
      <c r="H2518" t="str">
        <f>VLOOKUP(myynnit[[#This Row],[TuoteID]],ohjaus!$A$4:$B$20,2,FALSE)</f>
        <v>Rahi</v>
      </c>
    </row>
    <row r="2519" spans="1:8" x14ac:dyDescent="0.35">
      <c r="A2519" t="s">
        <v>37</v>
      </c>
      <c r="B2519">
        <v>2015</v>
      </c>
      <c r="C2519">
        <v>2</v>
      </c>
      <c r="D2519">
        <v>12622</v>
      </c>
      <c r="E2519">
        <v>43</v>
      </c>
      <c r="F2519">
        <v>10154.19</v>
      </c>
      <c r="G2519">
        <v>4775.87</v>
      </c>
      <c r="H2519" t="str">
        <f>VLOOKUP(myynnit[[#This Row],[TuoteID]],ohjaus!$A$4:$B$20,2,FALSE)</f>
        <v>Pianotuoli</v>
      </c>
    </row>
    <row r="2520" spans="1:8" x14ac:dyDescent="0.35">
      <c r="A2520" t="s">
        <v>37</v>
      </c>
      <c r="B2520">
        <v>2015</v>
      </c>
      <c r="C2520">
        <v>2</v>
      </c>
      <c r="D2520">
        <v>13527</v>
      </c>
      <c r="E2520">
        <v>554</v>
      </c>
      <c r="F2520">
        <v>91566.75</v>
      </c>
      <c r="G2520">
        <v>15277.81</v>
      </c>
      <c r="H2520" t="str">
        <f>VLOOKUP(myynnit[[#This Row],[TuoteID]],ohjaus!$A$4:$B$20,2,FALSE)</f>
        <v>Pinnatuoli</v>
      </c>
    </row>
    <row r="2521" spans="1:8" x14ac:dyDescent="0.35">
      <c r="A2521" t="s">
        <v>37</v>
      </c>
      <c r="B2521">
        <v>2015</v>
      </c>
      <c r="C2521">
        <v>2</v>
      </c>
      <c r="D2521">
        <v>13618</v>
      </c>
      <c r="E2521">
        <v>22</v>
      </c>
      <c r="F2521">
        <v>7552.69</v>
      </c>
      <c r="G2521">
        <v>3865.17</v>
      </c>
      <c r="H2521" t="str">
        <f>VLOOKUP(myynnit[[#This Row],[TuoteID]],ohjaus!$A$4:$B$20,2,FALSE)</f>
        <v>Pianotuoli</v>
      </c>
    </row>
    <row r="2522" spans="1:8" x14ac:dyDescent="0.35">
      <c r="A2522" t="s">
        <v>37</v>
      </c>
      <c r="B2522">
        <v>2015</v>
      </c>
      <c r="C2522">
        <v>2</v>
      </c>
      <c r="D2522">
        <v>16024</v>
      </c>
      <c r="E2522">
        <v>345</v>
      </c>
      <c r="F2522">
        <v>166090.16</v>
      </c>
      <c r="G2522">
        <v>48071.7</v>
      </c>
      <c r="H2522" t="str">
        <f>VLOOKUP(myynnit[[#This Row],[TuoteID]],ohjaus!$A$4:$B$20,2,FALSE)</f>
        <v>Työtuoli</v>
      </c>
    </row>
    <row r="2523" spans="1:8" x14ac:dyDescent="0.35">
      <c r="A2523" t="s">
        <v>37</v>
      </c>
      <c r="B2523">
        <v>2015</v>
      </c>
      <c r="C2523">
        <v>2</v>
      </c>
      <c r="D2523">
        <v>16650</v>
      </c>
      <c r="E2523">
        <v>80</v>
      </c>
      <c r="F2523">
        <v>12317.71</v>
      </c>
      <c r="G2523">
        <v>5948.73</v>
      </c>
      <c r="H2523" t="str">
        <f>VLOOKUP(myynnit[[#This Row],[TuoteID]],ohjaus!$A$4:$B$20,2,FALSE)</f>
        <v>Rahi</v>
      </c>
    </row>
    <row r="2524" spans="1:8" x14ac:dyDescent="0.35">
      <c r="A2524" t="s">
        <v>37</v>
      </c>
      <c r="B2524">
        <v>2015</v>
      </c>
      <c r="C2524">
        <v>2</v>
      </c>
      <c r="D2524">
        <v>17892</v>
      </c>
      <c r="E2524">
        <v>86</v>
      </c>
      <c r="F2524">
        <v>11527.61</v>
      </c>
      <c r="G2524">
        <v>2905.46</v>
      </c>
      <c r="H2524" t="str">
        <f>VLOOKUP(myynnit[[#This Row],[TuoteID]],ohjaus!$A$4:$B$20,2,FALSE)</f>
        <v>Lepotuoli</v>
      </c>
    </row>
    <row r="2525" spans="1:8" x14ac:dyDescent="0.35">
      <c r="A2525" t="s">
        <v>37</v>
      </c>
      <c r="B2525">
        <v>2015</v>
      </c>
      <c r="C2525">
        <v>2</v>
      </c>
      <c r="D2525">
        <v>18342</v>
      </c>
      <c r="E2525">
        <v>261</v>
      </c>
      <c r="F2525">
        <v>216543.57</v>
      </c>
      <c r="G2525">
        <v>57839.81</v>
      </c>
      <c r="H2525" t="str">
        <f>VLOOKUP(myynnit[[#This Row],[TuoteID]],ohjaus!$A$4:$B$20,2,FALSE)</f>
        <v>Työtuoli</v>
      </c>
    </row>
    <row r="2526" spans="1:8" x14ac:dyDescent="0.35">
      <c r="A2526" t="s">
        <v>37</v>
      </c>
      <c r="B2526">
        <v>2015</v>
      </c>
      <c r="C2526">
        <v>2</v>
      </c>
      <c r="D2526">
        <v>20177</v>
      </c>
      <c r="E2526">
        <v>71</v>
      </c>
      <c r="F2526">
        <v>7154.31</v>
      </c>
      <c r="G2526">
        <v>2856.26</v>
      </c>
      <c r="H2526" t="str">
        <f>VLOOKUP(myynnit[[#This Row],[TuoteID]],ohjaus!$A$4:$B$20,2,FALSE)</f>
        <v>Säkkituoli</v>
      </c>
    </row>
    <row r="2527" spans="1:8" x14ac:dyDescent="0.35">
      <c r="A2527" t="s">
        <v>37</v>
      </c>
      <c r="B2527">
        <v>2015</v>
      </c>
      <c r="C2527">
        <v>2</v>
      </c>
      <c r="D2527">
        <v>21179</v>
      </c>
      <c r="E2527">
        <v>47</v>
      </c>
      <c r="F2527">
        <v>4942.92</v>
      </c>
      <c r="G2527">
        <v>2494.8000000000002</v>
      </c>
      <c r="H2527" t="str">
        <f>VLOOKUP(myynnit[[#This Row],[TuoteID]],ohjaus!$A$4:$B$20,2,FALSE)</f>
        <v>Rahi</v>
      </c>
    </row>
    <row r="2528" spans="1:8" x14ac:dyDescent="0.35">
      <c r="A2528" t="s">
        <v>37</v>
      </c>
      <c r="B2528">
        <v>2015</v>
      </c>
      <c r="C2528">
        <v>2</v>
      </c>
      <c r="D2528">
        <v>21260</v>
      </c>
      <c r="E2528">
        <v>94</v>
      </c>
      <c r="F2528">
        <v>16379.05</v>
      </c>
      <c r="G2528">
        <v>5099.53</v>
      </c>
      <c r="H2528" t="str">
        <f>VLOOKUP(myynnit[[#This Row],[TuoteID]],ohjaus!$A$4:$B$20,2,FALSE)</f>
        <v>Lepotuoli</v>
      </c>
    </row>
    <row r="2529" spans="1:8" x14ac:dyDescent="0.35">
      <c r="A2529" t="s">
        <v>37</v>
      </c>
      <c r="B2529">
        <v>2015</v>
      </c>
      <c r="C2529">
        <v>2</v>
      </c>
      <c r="D2529">
        <v>22317</v>
      </c>
      <c r="E2529">
        <v>91</v>
      </c>
      <c r="F2529">
        <v>8088.47</v>
      </c>
      <c r="G2529">
        <v>2981.14</v>
      </c>
      <c r="H2529" t="str">
        <f>VLOOKUP(myynnit[[#This Row],[TuoteID]],ohjaus!$A$4:$B$20,2,FALSE)</f>
        <v>Säkkituoli</v>
      </c>
    </row>
    <row r="2530" spans="1:8" x14ac:dyDescent="0.35">
      <c r="A2530" t="s">
        <v>37</v>
      </c>
      <c r="B2530">
        <v>2015</v>
      </c>
      <c r="C2530">
        <v>2</v>
      </c>
      <c r="D2530">
        <v>22940</v>
      </c>
      <c r="E2530">
        <v>457</v>
      </c>
      <c r="F2530">
        <v>59351</v>
      </c>
      <c r="G2530">
        <v>12076.11</v>
      </c>
      <c r="H2530" t="str">
        <f>VLOOKUP(myynnit[[#This Row],[TuoteID]],ohjaus!$A$4:$B$20,2,FALSE)</f>
        <v>Pinnatuoli</v>
      </c>
    </row>
    <row r="2531" spans="1:8" x14ac:dyDescent="0.35">
      <c r="A2531" t="s">
        <v>37</v>
      </c>
      <c r="B2531">
        <v>2015</v>
      </c>
      <c r="C2531">
        <v>2</v>
      </c>
      <c r="D2531">
        <v>23178</v>
      </c>
      <c r="E2531">
        <v>410</v>
      </c>
      <c r="F2531">
        <v>76108.84</v>
      </c>
      <c r="G2531">
        <v>15722.61</v>
      </c>
      <c r="H2531" t="str">
        <f>VLOOKUP(myynnit[[#This Row],[TuoteID]],ohjaus!$A$4:$B$20,2,FALSE)</f>
        <v>Pinnatuoli</v>
      </c>
    </row>
    <row r="2532" spans="1:8" x14ac:dyDescent="0.35">
      <c r="A2532" t="s">
        <v>37</v>
      </c>
      <c r="B2532">
        <v>2015</v>
      </c>
      <c r="C2532">
        <v>2</v>
      </c>
      <c r="D2532">
        <v>23600</v>
      </c>
      <c r="E2532">
        <v>1380</v>
      </c>
      <c r="F2532">
        <v>166940.39000000001</v>
      </c>
      <c r="G2532">
        <v>41149.040000000001</v>
      </c>
      <c r="H2532" t="str">
        <f>VLOOKUP(myynnit[[#This Row],[TuoteID]],ohjaus!$A$4:$B$20,2,FALSE)</f>
        <v>Pinnatuoli</v>
      </c>
    </row>
    <row r="2533" spans="1:8" x14ac:dyDescent="0.35">
      <c r="A2533" t="s">
        <v>37</v>
      </c>
      <c r="B2533">
        <v>2015</v>
      </c>
      <c r="C2533">
        <v>2</v>
      </c>
      <c r="D2533">
        <v>23756</v>
      </c>
      <c r="E2533">
        <v>138</v>
      </c>
      <c r="F2533">
        <v>23883.87</v>
      </c>
      <c r="G2533">
        <v>10731.23</v>
      </c>
      <c r="H2533" t="str">
        <f>VLOOKUP(myynnit[[#This Row],[TuoteID]],ohjaus!$A$4:$B$20,2,FALSE)</f>
        <v>Pianotuoli</v>
      </c>
    </row>
    <row r="2534" spans="1:8" x14ac:dyDescent="0.35">
      <c r="A2534" t="s">
        <v>37</v>
      </c>
      <c r="B2534">
        <v>2015</v>
      </c>
      <c r="C2534">
        <v>2</v>
      </c>
      <c r="D2534">
        <v>24326</v>
      </c>
      <c r="E2534">
        <v>110</v>
      </c>
      <c r="F2534">
        <v>15294.15</v>
      </c>
      <c r="G2534">
        <v>3903.42</v>
      </c>
      <c r="H2534" t="str">
        <f>VLOOKUP(myynnit[[#This Row],[TuoteID]],ohjaus!$A$4:$B$20,2,FALSE)</f>
        <v>Lepotuoli</v>
      </c>
    </row>
    <row r="2535" spans="1:8" x14ac:dyDescent="0.35">
      <c r="A2535" t="s">
        <v>40</v>
      </c>
      <c r="B2535">
        <v>2015</v>
      </c>
      <c r="C2535">
        <v>2</v>
      </c>
      <c r="D2535">
        <v>12184</v>
      </c>
      <c r="E2535">
        <v>24</v>
      </c>
      <c r="F2535">
        <v>2838.23</v>
      </c>
      <c r="G2535">
        <v>1488.73</v>
      </c>
      <c r="H2535" t="str">
        <f>VLOOKUP(myynnit[[#This Row],[TuoteID]],ohjaus!$A$4:$B$20,2,FALSE)</f>
        <v>Rahi</v>
      </c>
    </row>
    <row r="2536" spans="1:8" x14ac:dyDescent="0.35">
      <c r="A2536" t="s">
        <v>40</v>
      </c>
      <c r="B2536">
        <v>2015</v>
      </c>
      <c r="C2536">
        <v>2</v>
      </c>
      <c r="D2536">
        <v>12622</v>
      </c>
      <c r="E2536">
        <v>13</v>
      </c>
      <c r="F2536">
        <v>3148.67</v>
      </c>
      <c r="G2536">
        <v>1118.73</v>
      </c>
      <c r="H2536" t="str">
        <f>VLOOKUP(myynnit[[#This Row],[TuoteID]],ohjaus!$A$4:$B$20,2,FALSE)</f>
        <v>Pianotuoli</v>
      </c>
    </row>
    <row r="2537" spans="1:8" x14ac:dyDescent="0.35">
      <c r="A2537" t="s">
        <v>40</v>
      </c>
      <c r="B2537">
        <v>2015</v>
      </c>
      <c r="C2537">
        <v>2</v>
      </c>
      <c r="D2537">
        <v>13527</v>
      </c>
      <c r="E2537">
        <v>187</v>
      </c>
      <c r="F2537">
        <v>30577.42</v>
      </c>
      <c r="G2537">
        <v>5856.46</v>
      </c>
      <c r="H2537" t="str">
        <f>VLOOKUP(myynnit[[#This Row],[TuoteID]],ohjaus!$A$4:$B$20,2,FALSE)</f>
        <v>Pinnatuoli</v>
      </c>
    </row>
    <row r="2538" spans="1:8" x14ac:dyDescent="0.35">
      <c r="A2538" t="s">
        <v>40</v>
      </c>
      <c r="B2538">
        <v>2015</v>
      </c>
      <c r="C2538">
        <v>2</v>
      </c>
      <c r="D2538">
        <v>13618</v>
      </c>
      <c r="E2538">
        <v>7</v>
      </c>
      <c r="F2538">
        <v>2783.4</v>
      </c>
      <c r="G2538">
        <v>1352.12</v>
      </c>
      <c r="H2538" t="str">
        <f>VLOOKUP(myynnit[[#This Row],[TuoteID]],ohjaus!$A$4:$B$20,2,FALSE)</f>
        <v>Pianotuoli</v>
      </c>
    </row>
    <row r="2539" spans="1:8" x14ac:dyDescent="0.35">
      <c r="A2539" t="s">
        <v>40</v>
      </c>
      <c r="B2539">
        <v>2015</v>
      </c>
      <c r="C2539">
        <v>2</v>
      </c>
      <c r="D2539">
        <v>16024</v>
      </c>
      <c r="E2539">
        <v>168</v>
      </c>
      <c r="F2539">
        <v>64007.98</v>
      </c>
      <c r="G2539">
        <v>20301.310000000001</v>
      </c>
      <c r="H2539" t="str">
        <f>VLOOKUP(myynnit[[#This Row],[TuoteID]],ohjaus!$A$4:$B$20,2,FALSE)</f>
        <v>Työtuoli</v>
      </c>
    </row>
    <row r="2540" spans="1:8" x14ac:dyDescent="0.35">
      <c r="A2540" t="s">
        <v>40</v>
      </c>
      <c r="B2540">
        <v>2015</v>
      </c>
      <c r="C2540">
        <v>2</v>
      </c>
      <c r="D2540">
        <v>16650</v>
      </c>
      <c r="E2540">
        <v>28</v>
      </c>
      <c r="F2540">
        <v>3911.36</v>
      </c>
      <c r="G2540">
        <v>2129.02</v>
      </c>
      <c r="H2540" t="str">
        <f>VLOOKUP(myynnit[[#This Row],[TuoteID]],ohjaus!$A$4:$B$20,2,FALSE)</f>
        <v>Rahi</v>
      </c>
    </row>
    <row r="2541" spans="1:8" x14ac:dyDescent="0.35">
      <c r="A2541" t="s">
        <v>40</v>
      </c>
      <c r="B2541">
        <v>2015</v>
      </c>
      <c r="C2541">
        <v>2</v>
      </c>
      <c r="D2541">
        <v>17892</v>
      </c>
      <c r="E2541">
        <v>90</v>
      </c>
      <c r="F2541">
        <v>12951.96</v>
      </c>
      <c r="G2541">
        <v>3320.5</v>
      </c>
      <c r="H2541" t="str">
        <f>VLOOKUP(myynnit[[#This Row],[TuoteID]],ohjaus!$A$4:$B$20,2,FALSE)</f>
        <v>Lepotuoli</v>
      </c>
    </row>
    <row r="2542" spans="1:8" x14ac:dyDescent="0.35">
      <c r="A2542" t="s">
        <v>40</v>
      </c>
      <c r="B2542">
        <v>2015</v>
      </c>
      <c r="C2542">
        <v>2</v>
      </c>
      <c r="D2542">
        <v>18342</v>
      </c>
      <c r="E2542">
        <v>25</v>
      </c>
      <c r="F2542">
        <v>19433.18</v>
      </c>
      <c r="G2542">
        <v>5014.5</v>
      </c>
      <c r="H2542" t="str">
        <f>VLOOKUP(myynnit[[#This Row],[TuoteID]],ohjaus!$A$4:$B$20,2,FALSE)</f>
        <v>Työtuoli</v>
      </c>
    </row>
    <row r="2543" spans="1:8" x14ac:dyDescent="0.35">
      <c r="A2543" t="s">
        <v>40</v>
      </c>
      <c r="B2543">
        <v>2015</v>
      </c>
      <c r="C2543">
        <v>2</v>
      </c>
      <c r="D2543">
        <v>20177</v>
      </c>
      <c r="E2543">
        <v>16</v>
      </c>
      <c r="F2543">
        <v>1674</v>
      </c>
      <c r="G2543">
        <v>710.18</v>
      </c>
      <c r="H2543" t="str">
        <f>VLOOKUP(myynnit[[#This Row],[TuoteID]],ohjaus!$A$4:$B$20,2,FALSE)</f>
        <v>Säkkituoli</v>
      </c>
    </row>
    <row r="2544" spans="1:8" x14ac:dyDescent="0.35">
      <c r="A2544" t="s">
        <v>40</v>
      </c>
      <c r="B2544">
        <v>2015</v>
      </c>
      <c r="C2544">
        <v>2</v>
      </c>
      <c r="D2544">
        <v>21179</v>
      </c>
      <c r="E2544">
        <v>44</v>
      </c>
      <c r="F2544">
        <v>4997.72</v>
      </c>
      <c r="G2544">
        <v>2505.4299999999998</v>
      </c>
      <c r="H2544" t="str">
        <f>VLOOKUP(myynnit[[#This Row],[TuoteID]],ohjaus!$A$4:$B$20,2,FALSE)</f>
        <v>Rahi</v>
      </c>
    </row>
    <row r="2545" spans="1:8" x14ac:dyDescent="0.35">
      <c r="A2545" t="s">
        <v>40</v>
      </c>
      <c r="B2545">
        <v>2015</v>
      </c>
      <c r="C2545">
        <v>2</v>
      </c>
      <c r="D2545">
        <v>21260</v>
      </c>
      <c r="E2545">
        <v>22</v>
      </c>
      <c r="F2545">
        <v>3859.53</v>
      </c>
      <c r="G2545">
        <v>996.89</v>
      </c>
      <c r="H2545" t="str">
        <f>VLOOKUP(myynnit[[#This Row],[TuoteID]],ohjaus!$A$4:$B$20,2,FALSE)</f>
        <v>Lepotuoli</v>
      </c>
    </row>
    <row r="2546" spans="1:8" x14ac:dyDescent="0.35">
      <c r="A2546" t="s">
        <v>40</v>
      </c>
      <c r="B2546">
        <v>2015</v>
      </c>
      <c r="C2546">
        <v>2</v>
      </c>
      <c r="D2546">
        <v>22317</v>
      </c>
      <c r="E2546">
        <v>8</v>
      </c>
      <c r="F2546">
        <v>846.03</v>
      </c>
      <c r="G2546">
        <v>347.96</v>
      </c>
      <c r="H2546" t="str">
        <f>VLOOKUP(myynnit[[#This Row],[TuoteID]],ohjaus!$A$4:$B$20,2,FALSE)</f>
        <v>Säkkituoli</v>
      </c>
    </row>
    <row r="2547" spans="1:8" x14ac:dyDescent="0.35">
      <c r="A2547" t="s">
        <v>40</v>
      </c>
      <c r="B2547">
        <v>2015</v>
      </c>
      <c r="C2547">
        <v>2</v>
      </c>
      <c r="D2547">
        <v>22940</v>
      </c>
      <c r="E2547">
        <v>136</v>
      </c>
      <c r="F2547">
        <v>16772.18</v>
      </c>
      <c r="G2547">
        <v>4873.17</v>
      </c>
      <c r="H2547" t="str">
        <f>VLOOKUP(myynnit[[#This Row],[TuoteID]],ohjaus!$A$4:$B$20,2,FALSE)</f>
        <v>Pinnatuoli</v>
      </c>
    </row>
    <row r="2548" spans="1:8" x14ac:dyDescent="0.35">
      <c r="A2548" t="s">
        <v>40</v>
      </c>
      <c r="B2548">
        <v>2015</v>
      </c>
      <c r="C2548">
        <v>2</v>
      </c>
      <c r="D2548">
        <v>23178</v>
      </c>
      <c r="E2548">
        <v>164</v>
      </c>
      <c r="F2548">
        <v>32242.63</v>
      </c>
      <c r="G2548">
        <v>8601.2900000000009</v>
      </c>
      <c r="H2548" t="str">
        <f>VLOOKUP(myynnit[[#This Row],[TuoteID]],ohjaus!$A$4:$B$20,2,FALSE)</f>
        <v>Pinnatuoli</v>
      </c>
    </row>
    <row r="2549" spans="1:8" x14ac:dyDescent="0.35">
      <c r="A2549" t="s">
        <v>40</v>
      </c>
      <c r="B2549">
        <v>2015</v>
      </c>
      <c r="C2549">
        <v>2</v>
      </c>
      <c r="D2549">
        <v>23600</v>
      </c>
      <c r="E2549">
        <v>513</v>
      </c>
      <c r="F2549">
        <v>52039.63</v>
      </c>
      <c r="G2549">
        <v>14225.23</v>
      </c>
      <c r="H2549" t="str">
        <f>VLOOKUP(myynnit[[#This Row],[TuoteID]],ohjaus!$A$4:$B$20,2,FALSE)</f>
        <v>Pinnatuoli</v>
      </c>
    </row>
    <row r="2550" spans="1:8" x14ac:dyDescent="0.35">
      <c r="A2550" t="s">
        <v>40</v>
      </c>
      <c r="B2550">
        <v>2015</v>
      </c>
      <c r="C2550">
        <v>2</v>
      </c>
      <c r="D2550">
        <v>23756</v>
      </c>
      <c r="E2550">
        <v>53</v>
      </c>
      <c r="F2550">
        <v>9541.1</v>
      </c>
      <c r="G2550">
        <v>4380.63</v>
      </c>
      <c r="H2550" t="str">
        <f>VLOOKUP(myynnit[[#This Row],[TuoteID]],ohjaus!$A$4:$B$20,2,FALSE)</f>
        <v>Pianotuoli</v>
      </c>
    </row>
    <row r="2551" spans="1:8" x14ac:dyDescent="0.35">
      <c r="A2551" t="s">
        <v>40</v>
      </c>
      <c r="B2551">
        <v>2015</v>
      </c>
      <c r="C2551">
        <v>2</v>
      </c>
      <c r="D2551">
        <v>24326</v>
      </c>
      <c r="E2551">
        <v>25</v>
      </c>
      <c r="F2551">
        <v>3153.6</v>
      </c>
      <c r="G2551">
        <v>845.24</v>
      </c>
      <c r="H2551" t="str">
        <f>VLOOKUP(myynnit[[#This Row],[TuoteID]],ohjaus!$A$4:$B$20,2,FALSE)</f>
        <v>Lepotuoli</v>
      </c>
    </row>
    <row r="2552" spans="1:8" x14ac:dyDescent="0.35">
      <c r="A2552" t="s">
        <v>39</v>
      </c>
      <c r="B2552">
        <v>2015</v>
      </c>
      <c r="C2552">
        <v>2</v>
      </c>
      <c r="D2552">
        <v>12184</v>
      </c>
      <c r="E2552">
        <v>47</v>
      </c>
      <c r="F2552">
        <v>6535.22</v>
      </c>
      <c r="G2552">
        <v>4412.1899999999996</v>
      </c>
      <c r="H2552" t="str">
        <f>VLOOKUP(myynnit[[#This Row],[TuoteID]],ohjaus!$A$4:$B$20,2,FALSE)</f>
        <v>Rahi</v>
      </c>
    </row>
    <row r="2553" spans="1:8" x14ac:dyDescent="0.35">
      <c r="A2553" t="s">
        <v>39</v>
      </c>
      <c r="B2553">
        <v>2015</v>
      </c>
      <c r="C2553">
        <v>2</v>
      </c>
      <c r="D2553">
        <v>12622</v>
      </c>
      <c r="E2553">
        <v>37</v>
      </c>
      <c r="F2553">
        <v>11196.31</v>
      </c>
      <c r="G2553">
        <v>6784.19</v>
      </c>
      <c r="H2553" t="str">
        <f>VLOOKUP(myynnit[[#This Row],[TuoteID]],ohjaus!$A$4:$B$20,2,FALSE)</f>
        <v>Pianotuoli</v>
      </c>
    </row>
    <row r="2554" spans="1:8" x14ac:dyDescent="0.35">
      <c r="A2554" t="s">
        <v>39</v>
      </c>
      <c r="B2554">
        <v>2015</v>
      </c>
      <c r="C2554">
        <v>2</v>
      </c>
      <c r="D2554">
        <v>13527</v>
      </c>
      <c r="E2554">
        <v>444</v>
      </c>
      <c r="F2554">
        <v>79400.160000000003</v>
      </c>
      <c r="G2554">
        <v>22284.41</v>
      </c>
      <c r="H2554" t="str">
        <f>VLOOKUP(myynnit[[#This Row],[TuoteID]],ohjaus!$A$4:$B$20,2,FALSE)</f>
        <v>Pinnatuoli</v>
      </c>
    </row>
    <row r="2555" spans="1:8" x14ac:dyDescent="0.35">
      <c r="A2555" t="s">
        <v>39</v>
      </c>
      <c r="B2555">
        <v>2015</v>
      </c>
      <c r="C2555">
        <v>2</v>
      </c>
      <c r="D2555">
        <v>13618</v>
      </c>
      <c r="E2555">
        <v>25</v>
      </c>
      <c r="F2555">
        <v>11560.14</v>
      </c>
      <c r="G2555">
        <v>7312.98</v>
      </c>
      <c r="H2555" t="str">
        <f>VLOOKUP(myynnit[[#This Row],[TuoteID]],ohjaus!$A$4:$B$20,2,FALSE)</f>
        <v>Pianotuoli</v>
      </c>
    </row>
    <row r="2556" spans="1:8" x14ac:dyDescent="0.35">
      <c r="A2556" t="s">
        <v>39</v>
      </c>
      <c r="B2556">
        <v>2015</v>
      </c>
      <c r="C2556">
        <v>2</v>
      </c>
      <c r="D2556">
        <v>16024</v>
      </c>
      <c r="E2556">
        <v>339</v>
      </c>
      <c r="F2556">
        <v>146955.99</v>
      </c>
      <c r="G2556">
        <v>50105.03</v>
      </c>
      <c r="H2556" t="str">
        <f>VLOOKUP(myynnit[[#This Row],[TuoteID]],ohjaus!$A$4:$B$20,2,FALSE)</f>
        <v>Työtuoli</v>
      </c>
    </row>
    <row r="2557" spans="1:8" x14ac:dyDescent="0.35">
      <c r="A2557" t="s">
        <v>39</v>
      </c>
      <c r="B2557">
        <v>2015</v>
      </c>
      <c r="C2557">
        <v>2</v>
      </c>
      <c r="D2557">
        <v>16650</v>
      </c>
      <c r="E2557">
        <v>48</v>
      </c>
      <c r="F2557">
        <v>8000.09</v>
      </c>
      <c r="G2557">
        <v>4679.6400000000003</v>
      </c>
      <c r="H2557" t="str">
        <f>VLOOKUP(myynnit[[#This Row],[TuoteID]],ohjaus!$A$4:$B$20,2,FALSE)</f>
        <v>Rahi</v>
      </c>
    </row>
    <row r="2558" spans="1:8" x14ac:dyDescent="0.35">
      <c r="A2558" t="s">
        <v>39</v>
      </c>
      <c r="B2558">
        <v>2015</v>
      </c>
      <c r="C2558">
        <v>2</v>
      </c>
      <c r="D2558">
        <v>17892</v>
      </c>
      <c r="E2558">
        <v>87</v>
      </c>
      <c r="F2558">
        <v>11967.52</v>
      </c>
      <c r="G2558">
        <v>3838.67</v>
      </c>
      <c r="H2558" t="str">
        <f>VLOOKUP(myynnit[[#This Row],[TuoteID]],ohjaus!$A$4:$B$20,2,FALSE)</f>
        <v>Lepotuoli</v>
      </c>
    </row>
    <row r="2559" spans="1:8" x14ac:dyDescent="0.35">
      <c r="A2559" t="s">
        <v>39</v>
      </c>
      <c r="B2559">
        <v>2015</v>
      </c>
      <c r="C2559">
        <v>2</v>
      </c>
      <c r="D2559">
        <v>18342</v>
      </c>
      <c r="E2559">
        <v>121</v>
      </c>
      <c r="F2559">
        <v>108126.51</v>
      </c>
      <c r="G2559">
        <v>27222.41</v>
      </c>
      <c r="H2559" t="str">
        <f>VLOOKUP(myynnit[[#This Row],[TuoteID]],ohjaus!$A$4:$B$20,2,FALSE)</f>
        <v>Työtuoli</v>
      </c>
    </row>
    <row r="2560" spans="1:8" x14ac:dyDescent="0.35">
      <c r="A2560" t="s">
        <v>39</v>
      </c>
      <c r="B2560">
        <v>2015</v>
      </c>
      <c r="C2560">
        <v>2</v>
      </c>
      <c r="D2560">
        <v>20177</v>
      </c>
      <c r="E2560">
        <v>62</v>
      </c>
      <c r="F2560">
        <v>6243.05</v>
      </c>
      <c r="G2560">
        <v>3175</v>
      </c>
      <c r="H2560" t="str">
        <f>VLOOKUP(myynnit[[#This Row],[TuoteID]],ohjaus!$A$4:$B$20,2,FALSE)</f>
        <v>Säkkituoli</v>
      </c>
    </row>
    <row r="2561" spans="1:8" x14ac:dyDescent="0.35">
      <c r="A2561" t="s">
        <v>39</v>
      </c>
      <c r="B2561">
        <v>2015</v>
      </c>
      <c r="C2561">
        <v>2</v>
      </c>
      <c r="D2561">
        <v>21179</v>
      </c>
      <c r="E2561">
        <v>45</v>
      </c>
      <c r="F2561">
        <v>7109.39</v>
      </c>
      <c r="G2561">
        <v>4143.1000000000004</v>
      </c>
      <c r="H2561" t="str">
        <f>VLOOKUP(myynnit[[#This Row],[TuoteID]],ohjaus!$A$4:$B$20,2,FALSE)</f>
        <v>Rahi</v>
      </c>
    </row>
    <row r="2562" spans="1:8" x14ac:dyDescent="0.35">
      <c r="A2562" t="s">
        <v>39</v>
      </c>
      <c r="B2562">
        <v>2015</v>
      </c>
      <c r="C2562">
        <v>2</v>
      </c>
      <c r="D2562">
        <v>21260</v>
      </c>
      <c r="E2562">
        <v>29</v>
      </c>
      <c r="F2562">
        <v>5508.88</v>
      </c>
      <c r="G2562">
        <v>1909.81</v>
      </c>
      <c r="H2562" t="str">
        <f>VLOOKUP(myynnit[[#This Row],[TuoteID]],ohjaus!$A$4:$B$20,2,FALSE)</f>
        <v>Lepotuoli</v>
      </c>
    </row>
    <row r="2563" spans="1:8" x14ac:dyDescent="0.35">
      <c r="A2563" t="s">
        <v>39</v>
      </c>
      <c r="B2563">
        <v>2015</v>
      </c>
      <c r="C2563">
        <v>2</v>
      </c>
      <c r="D2563">
        <v>22317</v>
      </c>
      <c r="E2563">
        <v>52</v>
      </c>
      <c r="F2563">
        <v>4187.68</v>
      </c>
      <c r="G2563">
        <v>2165.52</v>
      </c>
      <c r="H2563" t="str">
        <f>VLOOKUP(myynnit[[#This Row],[TuoteID]],ohjaus!$A$4:$B$20,2,FALSE)</f>
        <v>Säkkituoli</v>
      </c>
    </row>
    <row r="2564" spans="1:8" x14ac:dyDescent="0.35">
      <c r="A2564" t="s">
        <v>39</v>
      </c>
      <c r="B2564">
        <v>2015</v>
      </c>
      <c r="C2564">
        <v>2</v>
      </c>
      <c r="D2564">
        <v>22940</v>
      </c>
      <c r="E2564">
        <v>624</v>
      </c>
      <c r="F2564">
        <v>78666.27</v>
      </c>
      <c r="G2564">
        <v>16823.77</v>
      </c>
      <c r="H2564" t="str">
        <f>VLOOKUP(myynnit[[#This Row],[TuoteID]],ohjaus!$A$4:$B$20,2,FALSE)</f>
        <v>Pinnatuoli</v>
      </c>
    </row>
    <row r="2565" spans="1:8" x14ac:dyDescent="0.35">
      <c r="A2565" t="s">
        <v>39</v>
      </c>
      <c r="B2565">
        <v>2015</v>
      </c>
      <c r="C2565">
        <v>2</v>
      </c>
      <c r="D2565">
        <v>23178</v>
      </c>
      <c r="E2565">
        <v>235</v>
      </c>
      <c r="F2565">
        <v>41986.99</v>
      </c>
      <c r="G2565">
        <v>9198.07</v>
      </c>
      <c r="H2565" t="str">
        <f>VLOOKUP(myynnit[[#This Row],[TuoteID]],ohjaus!$A$4:$B$20,2,FALSE)</f>
        <v>Pinnatuoli</v>
      </c>
    </row>
    <row r="2566" spans="1:8" x14ac:dyDescent="0.35">
      <c r="A2566" t="s">
        <v>39</v>
      </c>
      <c r="B2566">
        <v>2015</v>
      </c>
      <c r="C2566">
        <v>2</v>
      </c>
      <c r="D2566">
        <v>23600</v>
      </c>
      <c r="E2566">
        <v>457</v>
      </c>
      <c r="F2566">
        <v>47454.17</v>
      </c>
      <c r="G2566">
        <v>11865.45</v>
      </c>
      <c r="H2566" t="str">
        <f>VLOOKUP(myynnit[[#This Row],[TuoteID]],ohjaus!$A$4:$B$20,2,FALSE)</f>
        <v>Pinnatuoli</v>
      </c>
    </row>
    <row r="2567" spans="1:8" x14ac:dyDescent="0.35">
      <c r="A2567" t="s">
        <v>39</v>
      </c>
      <c r="B2567">
        <v>2015</v>
      </c>
      <c r="C2567">
        <v>2</v>
      </c>
      <c r="D2567">
        <v>23756</v>
      </c>
      <c r="E2567">
        <v>89</v>
      </c>
      <c r="F2567">
        <v>18702.05</v>
      </c>
      <c r="G2567">
        <v>11506.91</v>
      </c>
      <c r="H2567" t="str">
        <f>VLOOKUP(myynnit[[#This Row],[TuoteID]],ohjaus!$A$4:$B$20,2,FALSE)</f>
        <v>Pianotuoli</v>
      </c>
    </row>
    <row r="2568" spans="1:8" x14ac:dyDescent="0.35">
      <c r="A2568" t="s">
        <v>39</v>
      </c>
      <c r="B2568">
        <v>2015</v>
      </c>
      <c r="C2568">
        <v>2</v>
      </c>
      <c r="D2568">
        <v>24326</v>
      </c>
      <c r="E2568">
        <v>62</v>
      </c>
      <c r="F2568">
        <v>9189.7800000000007</v>
      </c>
      <c r="G2568">
        <v>2467.17</v>
      </c>
      <c r="H2568" t="str">
        <f>VLOOKUP(myynnit[[#This Row],[TuoteID]],ohjaus!$A$4:$B$20,2,FALSE)</f>
        <v>Lepotuoli</v>
      </c>
    </row>
    <row r="2569" spans="1:8" x14ac:dyDescent="0.35">
      <c r="A2569" t="s">
        <v>38</v>
      </c>
      <c r="B2569">
        <v>2015</v>
      </c>
      <c r="C2569">
        <v>2</v>
      </c>
      <c r="D2569">
        <v>12184</v>
      </c>
      <c r="E2569">
        <v>48</v>
      </c>
      <c r="F2569">
        <v>7241.57</v>
      </c>
      <c r="G2569">
        <v>4381.16</v>
      </c>
      <c r="H2569" t="str">
        <f>VLOOKUP(myynnit[[#This Row],[TuoteID]],ohjaus!$A$4:$B$20,2,FALSE)</f>
        <v>Rahi</v>
      </c>
    </row>
    <row r="2570" spans="1:8" x14ac:dyDescent="0.35">
      <c r="A2570" t="s">
        <v>38</v>
      </c>
      <c r="B2570">
        <v>2015</v>
      </c>
      <c r="C2570">
        <v>2</v>
      </c>
      <c r="D2570">
        <v>12622</v>
      </c>
      <c r="E2570">
        <v>54</v>
      </c>
      <c r="F2570">
        <v>13590.03</v>
      </c>
      <c r="G2570">
        <v>6633.16</v>
      </c>
      <c r="H2570" t="str">
        <f>VLOOKUP(myynnit[[#This Row],[TuoteID]],ohjaus!$A$4:$B$20,2,FALSE)</f>
        <v>Pianotuoli</v>
      </c>
    </row>
    <row r="2571" spans="1:8" x14ac:dyDescent="0.35">
      <c r="A2571" t="s">
        <v>38</v>
      </c>
      <c r="B2571">
        <v>2015</v>
      </c>
      <c r="C2571">
        <v>2</v>
      </c>
      <c r="D2571">
        <v>13527</v>
      </c>
      <c r="E2571">
        <v>674</v>
      </c>
      <c r="F2571">
        <v>111559.35</v>
      </c>
      <c r="G2571">
        <v>23246.34</v>
      </c>
      <c r="H2571" t="str">
        <f>VLOOKUP(myynnit[[#This Row],[TuoteID]],ohjaus!$A$4:$B$20,2,FALSE)</f>
        <v>Pinnatuoli</v>
      </c>
    </row>
    <row r="2572" spans="1:8" x14ac:dyDescent="0.35">
      <c r="A2572" t="s">
        <v>38</v>
      </c>
      <c r="B2572">
        <v>2015</v>
      </c>
      <c r="C2572">
        <v>2</v>
      </c>
      <c r="D2572">
        <v>13618</v>
      </c>
      <c r="E2572">
        <v>14</v>
      </c>
      <c r="F2572">
        <v>5335.72</v>
      </c>
      <c r="G2572">
        <v>2773.38</v>
      </c>
      <c r="H2572" t="str">
        <f>VLOOKUP(myynnit[[#This Row],[TuoteID]],ohjaus!$A$4:$B$20,2,FALSE)</f>
        <v>Pianotuoli</v>
      </c>
    </row>
    <row r="2573" spans="1:8" x14ac:dyDescent="0.35">
      <c r="A2573" t="s">
        <v>38</v>
      </c>
      <c r="B2573">
        <v>2015</v>
      </c>
      <c r="C2573">
        <v>2</v>
      </c>
      <c r="D2573">
        <v>16024</v>
      </c>
      <c r="E2573">
        <v>122</v>
      </c>
      <c r="F2573">
        <v>51125.4</v>
      </c>
      <c r="G2573">
        <v>12944.87</v>
      </c>
      <c r="H2573" t="str">
        <f>VLOOKUP(myynnit[[#This Row],[TuoteID]],ohjaus!$A$4:$B$20,2,FALSE)</f>
        <v>Työtuoli</v>
      </c>
    </row>
    <row r="2574" spans="1:8" x14ac:dyDescent="0.35">
      <c r="A2574" t="s">
        <v>38</v>
      </c>
      <c r="B2574">
        <v>2015</v>
      </c>
      <c r="C2574">
        <v>2</v>
      </c>
      <c r="D2574">
        <v>16650</v>
      </c>
      <c r="E2574">
        <v>48</v>
      </c>
      <c r="F2574">
        <v>6314.83</v>
      </c>
      <c r="G2574">
        <v>3155.84</v>
      </c>
      <c r="H2574" t="str">
        <f>VLOOKUP(myynnit[[#This Row],[TuoteID]],ohjaus!$A$4:$B$20,2,FALSE)</f>
        <v>Rahi</v>
      </c>
    </row>
    <row r="2575" spans="1:8" x14ac:dyDescent="0.35">
      <c r="A2575" t="s">
        <v>38</v>
      </c>
      <c r="B2575">
        <v>2015</v>
      </c>
      <c r="C2575">
        <v>2</v>
      </c>
      <c r="D2575">
        <v>17892</v>
      </c>
      <c r="E2575">
        <v>77</v>
      </c>
      <c r="F2575">
        <v>11513.82</v>
      </c>
      <c r="G2575">
        <v>3389.7</v>
      </c>
      <c r="H2575" t="str">
        <f>VLOOKUP(myynnit[[#This Row],[TuoteID]],ohjaus!$A$4:$B$20,2,FALSE)</f>
        <v>Lepotuoli</v>
      </c>
    </row>
    <row r="2576" spans="1:8" x14ac:dyDescent="0.35">
      <c r="A2576" t="s">
        <v>38</v>
      </c>
      <c r="B2576">
        <v>2015</v>
      </c>
      <c r="C2576">
        <v>2</v>
      </c>
      <c r="D2576">
        <v>18342</v>
      </c>
      <c r="E2576">
        <v>107</v>
      </c>
      <c r="F2576">
        <v>81587.05</v>
      </c>
      <c r="G2576">
        <v>17625.38</v>
      </c>
      <c r="H2576" t="str">
        <f>VLOOKUP(myynnit[[#This Row],[TuoteID]],ohjaus!$A$4:$B$20,2,FALSE)</f>
        <v>Työtuoli</v>
      </c>
    </row>
    <row r="2577" spans="1:8" x14ac:dyDescent="0.35">
      <c r="A2577" t="s">
        <v>38</v>
      </c>
      <c r="B2577">
        <v>2015</v>
      </c>
      <c r="C2577">
        <v>2</v>
      </c>
      <c r="D2577">
        <v>20177</v>
      </c>
      <c r="E2577">
        <v>60</v>
      </c>
      <c r="F2577">
        <v>6277.48</v>
      </c>
      <c r="G2577">
        <v>2087.7199999999998</v>
      </c>
      <c r="H2577" t="str">
        <f>VLOOKUP(myynnit[[#This Row],[TuoteID]],ohjaus!$A$4:$B$20,2,FALSE)</f>
        <v>Säkkituoli</v>
      </c>
    </row>
    <row r="2578" spans="1:8" x14ac:dyDescent="0.35">
      <c r="A2578" t="s">
        <v>38</v>
      </c>
      <c r="B2578">
        <v>2015</v>
      </c>
      <c r="C2578">
        <v>2</v>
      </c>
      <c r="D2578">
        <v>21179</v>
      </c>
      <c r="E2578">
        <v>24</v>
      </c>
      <c r="F2578">
        <v>2648.24</v>
      </c>
      <c r="G2578">
        <v>1585.75</v>
      </c>
      <c r="H2578" t="str">
        <f>VLOOKUP(myynnit[[#This Row],[TuoteID]],ohjaus!$A$4:$B$20,2,FALSE)</f>
        <v>Rahi</v>
      </c>
    </row>
    <row r="2579" spans="1:8" x14ac:dyDescent="0.35">
      <c r="A2579" t="s">
        <v>38</v>
      </c>
      <c r="B2579">
        <v>2015</v>
      </c>
      <c r="C2579">
        <v>2</v>
      </c>
      <c r="D2579">
        <v>21260</v>
      </c>
      <c r="E2579">
        <v>41</v>
      </c>
      <c r="F2579">
        <v>7760.43</v>
      </c>
      <c r="G2579">
        <v>2030.18</v>
      </c>
      <c r="H2579" t="str">
        <f>VLOOKUP(myynnit[[#This Row],[TuoteID]],ohjaus!$A$4:$B$20,2,FALSE)</f>
        <v>Lepotuoli</v>
      </c>
    </row>
    <row r="2580" spans="1:8" x14ac:dyDescent="0.35">
      <c r="A2580" t="s">
        <v>38</v>
      </c>
      <c r="B2580">
        <v>2015</v>
      </c>
      <c r="C2580">
        <v>2</v>
      </c>
      <c r="D2580">
        <v>22317</v>
      </c>
      <c r="E2580">
        <v>67</v>
      </c>
      <c r="F2580">
        <v>5225.88</v>
      </c>
      <c r="G2580">
        <v>2280.83</v>
      </c>
      <c r="H2580" t="str">
        <f>VLOOKUP(myynnit[[#This Row],[TuoteID]],ohjaus!$A$4:$B$20,2,FALSE)</f>
        <v>Säkkituoli</v>
      </c>
    </row>
    <row r="2581" spans="1:8" x14ac:dyDescent="0.35">
      <c r="A2581" t="s">
        <v>38</v>
      </c>
      <c r="B2581">
        <v>2015</v>
      </c>
      <c r="C2581">
        <v>2</v>
      </c>
      <c r="D2581">
        <v>22940</v>
      </c>
      <c r="E2581">
        <v>602</v>
      </c>
      <c r="F2581">
        <v>81358.67</v>
      </c>
      <c r="G2581">
        <v>15825.77</v>
      </c>
      <c r="H2581" t="str">
        <f>VLOOKUP(myynnit[[#This Row],[TuoteID]],ohjaus!$A$4:$B$20,2,FALSE)</f>
        <v>Pinnatuoli</v>
      </c>
    </row>
    <row r="2582" spans="1:8" x14ac:dyDescent="0.35">
      <c r="A2582" t="s">
        <v>38</v>
      </c>
      <c r="B2582">
        <v>2015</v>
      </c>
      <c r="C2582">
        <v>2</v>
      </c>
      <c r="D2582">
        <v>23178</v>
      </c>
      <c r="E2582">
        <v>138</v>
      </c>
      <c r="F2582">
        <v>25858.87</v>
      </c>
      <c r="G2582">
        <v>5654.85</v>
      </c>
      <c r="H2582" t="str">
        <f>VLOOKUP(myynnit[[#This Row],[TuoteID]],ohjaus!$A$4:$B$20,2,FALSE)</f>
        <v>Pinnatuoli</v>
      </c>
    </row>
    <row r="2583" spans="1:8" x14ac:dyDescent="0.35">
      <c r="A2583" t="s">
        <v>38</v>
      </c>
      <c r="B2583">
        <v>2015</v>
      </c>
      <c r="C2583">
        <v>2</v>
      </c>
      <c r="D2583">
        <v>23600</v>
      </c>
      <c r="E2583">
        <v>677</v>
      </c>
      <c r="F2583">
        <v>77978</v>
      </c>
      <c r="G2583">
        <v>18384.75</v>
      </c>
      <c r="H2583" t="str">
        <f>VLOOKUP(myynnit[[#This Row],[TuoteID]],ohjaus!$A$4:$B$20,2,FALSE)</f>
        <v>Pinnatuoli</v>
      </c>
    </row>
    <row r="2584" spans="1:8" x14ac:dyDescent="0.35">
      <c r="A2584" t="s">
        <v>38</v>
      </c>
      <c r="B2584">
        <v>2015</v>
      </c>
      <c r="C2584">
        <v>2</v>
      </c>
      <c r="D2584">
        <v>23756</v>
      </c>
      <c r="E2584">
        <v>50</v>
      </c>
      <c r="F2584">
        <v>7419.9</v>
      </c>
      <c r="G2584">
        <v>3178.79</v>
      </c>
      <c r="H2584" t="str">
        <f>VLOOKUP(myynnit[[#This Row],[TuoteID]],ohjaus!$A$4:$B$20,2,FALSE)</f>
        <v>Pianotuoli</v>
      </c>
    </row>
    <row r="2585" spans="1:8" x14ac:dyDescent="0.35">
      <c r="A2585" t="s">
        <v>38</v>
      </c>
      <c r="B2585">
        <v>2015</v>
      </c>
      <c r="C2585">
        <v>2</v>
      </c>
      <c r="D2585">
        <v>24326</v>
      </c>
      <c r="E2585">
        <v>92</v>
      </c>
      <c r="F2585">
        <v>13203.39</v>
      </c>
      <c r="G2585">
        <v>3376.96</v>
      </c>
      <c r="H2585" t="str">
        <f>VLOOKUP(myynnit[[#This Row],[TuoteID]],ohjaus!$A$4:$B$20,2,FALSE)</f>
        <v>Lepotuoli</v>
      </c>
    </row>
    <row r="2586" spans="1:8" x14ac:dyDescent="0.35">
      <c r="A2586" t="s">
        <v>37</v>
      </c>
      <c r="B2586">
        <v>2015</v>
      </c>
      <c r="C2586">
        <v>3</v>
      </c>
      <c r="D2586">
        <v>12184</v>
      </c>
      <c r="E2586">
        <v>70</v>
      </c>
      <c r="F2586">
        <v>8238.5300000000007</v>
      </c>
      <c r="G2586">
        <v>3661.83</v>
      </c>
      <c r="H2586" t="str">
        <f>VLOOKUP(myynnit[[#This Row],[TuoteID]],ohjaus!$A$4:$B$20,2,FALSE)</f>
        <v>Rahi</v>
      </c>
    </row>
    <row r="2587" spans="1:8" x14ac:dyDescent="0.35">
      <c r="A2587" t="s">
        <v>37</v>
      </c>
      <c r="B2587">
        <v>2015</v>
      </c>
      <c r="C2587">
        <v>3</v>
      </c>
      <c r="D2587">
        <v>12622</v>
      </c>
      <c r="E2587">
        <v>60</v>
      </c>
      <c r="F2587">
        <v>18763.3</v>
      </c>
      <c r="G2587">
        <v>7673.06</v>
      </c>
      <c r="H2587" t="str">
        <f>VLOOKUP(myynnit[[#This Row],[TuoteID]],ohjaus!$A$4:$B$20,2,FALSE)</f>
        <v>Pianotuoli</v>
      </c>
    </row>
    <row r="2588" spans="1:8" x14ac:dyDescent="0.35">
      <c r="A2588" t="s">
        <v>37</v>
      </c>
      <c r="B2588">
        <v>2015</v>
      </c>
      <c r="C2588">
        <v>3</v>
      </c>
      <c r="D2588">
        <v>13527</v>
      </c>
      <c r="E2588">
        <v>492</v>
      </c>
      <c r="F2588">
        <v>72870.87</v>
      </c>
      <c r="G2588">
        <v>14143.17</v>
      </c>
      <c r="H2588" t="str">
        <f>VLOOKUP(myynnit[[#This Row],[TuoteID]],ohjaus!$A$4:$B$20,2,FALSE)</f>
        <v>Pinnatuoli</v>
      </c>
    </row>
    <row r="2589" spans="1:8" x14ac:dyDescent="0.35">
      <c r="A2589" t="s">
        <v>37</v>
      </c>
      <c r="B2589">
        <v>2015</v>
      </c>
      <c r="C2589">
        <v>3</v>
      </c>
      <c r="D2589">
        <v>13618</v>
      </c>
      <c r="E2589">
        <v>16</v>
      </c>
      <c r="F2589">
        <v>6569.46</v>
      </c>
      <c r="G2589">
        <v>3018.15</v>
      </c>
      <c r="H2589" t="str">
        <f>VLOOKUP(myynnit[[#This Row],[TuoteID]],ohjaus!$A$4:$B$20,2,FALSE)</f>
        <v>Pianotuoli</v>
      </c>
    </row>
    <row r="2590" spans="1:8" x14ac:dyDescent="0.35">
      <c r="A2590" t="s">
        <v>37</v>
      </c>
      <c r="B2590">
        <v>2015</v>
      </c>
      <c r="C2590">
        <v>3</v>
      </c>
      <c r="D2590">
        <v>16024</v>
      </c>
      <c r="E2590">
        <v>322</v>
      </c>
      <c r="F2590">
        <v>144773.62</v>
      </c>
      <c r="G2590">
        <v>40648.31</v>
      </c>
      <c r="H2590" t="str">
        <f>VLOOKUP(myynnit[[#This Row],[TuoteID]],ohjaus!$A$4:$B$20,2,FALSE)</f>
        <v>Työtuoli</v>
      </c>
    </row>
    <row r="2591" spans="1:8" x14ac:dyDescent="0.35">
      <c r="A2591" t="s">
        <v>37</v>
      </c>
      <c r="B2591">
        <v>2015</v>
      </c>
      <c r="C2591">
        <v>3</v>
      </c>
      <c r="D2591">
        <v>16650</v>
      </c>
      <c r="E2591">
        <v>64</v>
      </c>
      <c r="F2591">
        <v>10032.74</v>
      </c>
      <c r="G2591">
        <v>5420.28</v>
      </c>
      <c r="H2591" t="str">
        <f>VLOOKUP(myynnit[[#This Row],[TuoteID]],ohjaus!$A$4:$B$20,2,FALSE)</f>
        <v>Rahi</v>
      </c>
    </row>
    <row r="2592" spans="1:8" x14ac:dyDescent="0.35">
      <c r="A2592" t="s">
        <v>37</v>
      </c>
      <c r="B2592">
        <v>2015</v>
      </c>
      <c r="C2592">
        <v>3</v>
      </c>
      <c r="D2592">
        <v>17892</v>
      </c>
      <c r="E2592">
        <v>127</v>
      </c>
      <c r="F2592">
        <v>18568.169999999998</v>
      </c>
      <c r="G2592">
        <v>5735.77</v>
      </c>
      <c r="H2592" t="str">
        <f>VLOOKUP(myynnit[[#This Row],[TuoteID]],ohjaus!$A$4:$B$20,2,FALSE)</f>
        <v>Lepotuoli</v>
      </c>
    </row>
    <row r="2593" spans="1:8" x14ac:dyDescent="0.35">
      <c r="A2593" t="s">
        <v>37</v>
      </c>
      <c r="B2593">
        <v>2015</v>
      </c>
      <c r="C2593">
        <v>3</v>
      </c>
      <c r="D2593">
        <v>18342</v>
      </c>
      <c r="E2593">
        <v>179</v>
      </c>
      <c r="F2593">
        <v>159482.89000000001</v>
      </c>
      <c r="G2593">
        <v>48173.96</v>
      </c>
      <c r="H2593" t="str">
        <f>VLOOKUP(myynnit[[#This Row],[TuoteID]],ohjaus!$A$4:$B$20,2,FALSE)</f>
        <v>Työtuoli</v>
      </c>
    </row>
    <row r="2594" spans="1:8" x14ac:dyDescent="0.35">
      <c r="A2594" t="s">
        <v>37</v>
      </c>
      <c r="B2594">
        <v>2015</v>
      </c>
      <c r="C2594">
        <v>3</v>
      </c>
      <c r="D2594">
        <v>20177</v>
      </c>
      <c r="E2594">
        <v>104</v>
      </c>
      <c r="F2594">
        <v>9418.74</v>
      </c>
      <c r="G2594">
        <v>4086.61</v>
      </c>
      <c r="H2594" t="str">
        <f>VLOOKUP(myynnit[[#This Row],[TuoteID]],ohjaus!$A$4:$B$20,2,FALSE)</f>
        <v>Säkkituoli</v>
      </c>
    </row>
    <row r="2595" spans="1:8" x14ac:dyDescent="0.35">
      <c r="A2595" t="s">
        <v>37</v>
      </c>
      <c r="B2595">
        <v>2015</v>
      </c>
      <c r="C2595">
        <v>3</v>
      </c>
      <c r="D2595">
        <v>21179</v>
      </c>
      <c r="E2595">
        <v>74</v>
      </c>
      <c r="F2595">
        <v>7485.99</v>
      </c>
      <c r="G2595">
        <v>3848.83</v>
      </c>
      <c r="H2595" t="str">
        <f>VLOOKUP(myynnit[[#This Row],[TuoteID]],ohjaus!$A$4:$B$20,2,FALSE)</f>
        <v>Rahi</v>
      </c>
    </row>
    <row r="2596" spans="1:8" x14ac:dyDescent="0.35">
      <c r="A2596" t="s">
        <v>37</v>
      </c>
      <c r="B2596">
        <v>2015</v>
      </c>
      <c r="C2596">
        <v>3</v>
      </c>
      <c r="D2596">
        <v>21260</v>
      </c>
      <c r="E2596">
        <v>46</v>
      </c>
      <c r="F2596">
        <v>8817.2900000000009</v>
      </c>
      <c r="G2596">
        <v>2588.7800000000002</v>
      </c>
      <c r="H2596" t="str">
        <f>VLOOKUP(myynnit[[#This Row],[TuoteID]],ohjaus!$A$4:$B$20,2,FALSE)</f>
        <v>Lepotuoli</v>
      </c>
    </row>
    <row r="2597" spans="1:8" x14ac:dyDescent="0.35">
      <c r="A2597" t="s">
        <v>37</v>
      </c>
      <c r="B2597">
        <v>2015</v>
      </c>
      <c r="C2597">
        <v>3</v>
      </c>
      <c r="D2597">
        <v>22317</v>
      </c>
      <c r="E2597">
        <v>88</v>
      </c>
      <c r="F2597">
        <v>8748.3799999999992</v>
      </c>
      <c r="G2597">
        <v>3453</v>
      </c>
      <c r="H2597" t="str">
        <f>VLOOKUP(myynnit[[#This Row],[TuoteID]],ohjaus!$A$4:$B$20,2,FALSE)</f>
        <v>Säkkituoli</v>
      </c>
    </row>
    <row r="2598" spans="1:8" x14ac:dyDescent="0.35">
      <c r="A2598" t="s">
        <v>37</v>
      </c>
      <c r="B2598">
        <v>2015</v>
      </c>
      <c r="C2598">
        <v>3</v>
      </c>
      <c r="D2598">
        <v>22940</v>
      </c>
      <c r="E2598">
        <v>366</v>
      </c>
      <c r="F2598">
        <v>43400.98</v>
      </c>
      <c r="G2598">
        <v>9204.2999999999993</v>
      </c>
      <c r="H2598" t="str">
        <f>VLOOKUP(myynnit[[#This Row],[TuoteID]],ohjaus!$A$4:$B$20,2,FALSE)</f>
        <v>Pinnatuoli</v>
      </c>
    </row>
    <row r="2599" spans="1:8" x14ac:dyDescent="0.35">
      <c r="A2599" t="s">
        <v>37</v>
      </c>
      <c r="B2599">
        <v>2015</v>
      </c>
      <c r="C2599">
        <v>3</v>
      </c>
      <c r="D2599">
        <v>23178</v>
      </c>
      <c r="E2599">
        <v>353</v>
      </c>
      <c r="F2599">
        <v>61649.02</v>
      </c>
      <c r="G2599">
        <v>12791.18</v>
      </c>
      <c r="H2599" t="str">
        <f>VLOOKUP(myynnit[[#This Row],[TuoteID]],ohjaus!$A$4:$B$20,2,FALSE)</f>
        <v>Pinnatuoli</v>
      </c>
    </row>
    <row r="2600" spans="1:8" x14ac:dyDescent="0.35">
      <c r="A2600" t="s">
        <v>37</v>
      </c>
      <c r="B2600">
        <v>2015</v>
      </c>
      <c r="C2600">
        <v>3</v>
      </c>
      <c r="D2600">
        <v>23600</v>
      </c>
      <c r="E2600">
        <v>1188</v>
      </c>
      <c r="F2600">
        <v>137079.88</v>
      </c>
      <c r="G2600">
        <v>30628.34</v>
      </c>
      <c r="H2600" t="str">
        <f>VLOOKUP(myynnit[[#This Row],[TuoteID]],ohjaus!$A$4:$B$20,2,FALSE)</f>
        <v>Pinnatuoli</v>
      </c>
    </row>
    <row r="2601" spans="1:8" x14ac:dyDescent="0.35">
      <c r="A2601" t="s">
        <v>37</v>
      </c>
      <c r="B2601">
        <v>2015</v>
      </c>
      <c r="C2601">
        <v>3</v>
      </c>
      <c r="D2601">
        <v>23756</v>
      </c>
      <c r="E2601">
        <v>133</v>
      </c>
      <c r="F2601">
        <v>23349.39</v>
      </c>
      <c r="G2601">
        <v>12041.37</v>
      </c>
      <c r="H2601" t="str">
        <f>VLOOKUP(myynnit[[#This Row],[TuoteID]],ohjaus!$A$4:$B$20,2,FALSE)</f>
        <v>Pianotuoli</v>
      </c>
    </row>
    <row r="2602" spans="1:8" x14ac:dyDescent="0.35">
      <c r="A2602" t="s">
        <v>37</v>
      </c>
      <c r="B2602">
        <v>2015</v>
      </c>
      <c r="C2602">
        <v>3</v>
      </c>
      <c r="D2602">
        <v>24326</v>
      </c>
      <c r="E2602">
        <v>118</v>
      </c>
      <c r="F2602">
        <v>16523.259999999998</v>
      </c>
      <c r="G2602">
        <v>4179.95</v>
      </c>
      <c r="H2602" t="str">
        <f>VLOOKUP(myynnit[[#This Row],[TuoteID]],ohjaus!$A$4:$B$20,2,FALSE)</f>
        <v>Lepotuoli</v>
      </c>
    </row>
    <row r="2603" spans="1:8" x14ac:dyDescent="0.35">
      <c r="A2603" t="s">
        <v>40</v>
      </c>
      <c r="B2603">
        <v>2015</v>
      </c>
      <c r="C2603">
        <v>3</v>
      </c>
      <c r="D2603">
        <v>12184</v>
      </c>
      <c r="E2603">
        <v>41</v>
      </c>
      <c r="F2603">
        <v>4417.8500000000004</v>
      </c>
      <c r="G2603">
        <v>2451.9699999999998</v>
      </c>
      <c r="H2603" t="str">
        <f>VLOOKUP(myynnit[[#This Row],[TuoteID]],ohjaus!$A$4:$B$20,2,FALSE)</f>
        <v>Rahi</v>
      </c>
    </row>
    <row r="2604" spans="1:8" x14ac:dyDescent="0.35">
      <c r="A2604" t="s">
        <v>40</v>
      </c>
      <c r="B2604">
        <v>2015</v>
      </c>
      <c r="C2604">
        <v>3</v>
      </c>
      <c r="D2604">
        <v>12622</v>
      </c>
      <c r="E2604">
        <v>15</v>
      </c>
      <c r="F2604">
        <v>3971.92</v>
      </c>
      <c r="G2604">
        <v>1454.54</v>
      </c>
      <c r="H2604" t="str">
        <f>VLOOKUP(myynnit[[#This Row],[TuoteID]],ohjaus!$A$4:$B$20,2,FALSE)</f>
        <v>Pianotuoli</v>
      </c>
    </row>
    <row r="2605" spans="1:8" x14ac:dyDescent="0.35">
      <c r="A2605" t="s">
        <v>40</v>
      </c>
      <c r="B2605">
        <v>2015</v>
      </c>
      <c r="C2605">
        <v>3</v>
      </c>
      <c r="D2605">
        <v>13527</v>
      </c>
      <c r="E2605">
        <v>205</v>
      </c>
      <c r="F2605">
        <v>34056.080000000002</v>
      </c>
      <c r="G2605">
        <v>6575.23</v>
      </c>
      <c r="H2605" t="str">
        <f>VLOOKUP(myynnit[[#This Row],[TuoteID]],ohjaus!$A$4:$B$20,2,FALSE)</f>
        <v>Pinnatuoli</v>
      </c>
    </row>
    <row r="2606" spans="1:8" x14ac:dyDescent="0.35">
      <c r="A2606" t="s">
        <v>40</v>
      </c>
      <c r="B2606">
        <v>2015</v>
      </c>
      <c r="C2606">
        <v>3</v>
      </c>
      <c r="D2606">
        <v>13618</v>
      </c>
      <c r="E2606">
        <v>8</v>
      </c>
      <c r="F2606">
        <v>3238.8</v>
      </c>
      <c r="G2606">
        <v>1410.3</v>
      </c>
      <c r="H2606" t="str">
        <f>VLOOKUP(myynnit[[#This Row],[TuoteID]],ohjaus!$A$4:$B$20,2,FALSE)</f>
        <v>Pianotuoli</v>
      </c>
    </row>
    <row r="2607" spans="1:8" x14ac:dyDescent="0.35">
      <c r="A2607" t="s">
        <v>40</v>
      </c>
      <c r="B2607">
        <v>2015</v>
      </c>
      <c r="C2607">
        <v>3</v>
      </c>
      <c r="D2607">
        <v>16024</v>
      </c>
      <c r="E2607">
        <v>121</v>
      </c>
      <c r="F2607">
        <v>49948.49</v>
      </c>
      <c r="G2607">
        <v>13656.36</v>
      </c>
      <c r="H2607" t="str">
        <f>VLOOKUP(myynnit[[#This Row],[TuoteID]],ohjaus!$A$4:$B$20,2,FALSE)</f>
        <v>Työtuoli</v>
      </c>
    </row>
    <row r="2608" spans="1:8" x14ac:dyDescent="0.35">
      <c r="A2608" t="s">
        <v>40</v>
      </c>
      <c r="B2608">
        <v>2015</v>
      </c>
      <c r="C2608">
        <v>3</v>
      </c>
      <c r="D2608">
        <v>16650</v>
      </c>
      <c r="E2608">
        <v>36</v>
      </c>
      <c r="F2608">
        <v>4701.5</v>
      </c>
      <c r="G2608">
        <v>3172.3</v>
      </c>
      <c r="H2608" t="str">
        <f>VLOOKUP(myynnit[[#This Row],[TuoteID]],ohjaus!$A$4:$B$20,2,FALSE)</f>
        <v>Rahi</v>
      </c>
    </row>
    <row r="2609" spans="1:8" x14ac:dyDescent="0.35">
      <c r="A2609" t="s">
        <v>40</v>
      </c>
      <c r="B2609">
        <v>2015</v>
      </c>
      <c r="C2609">
        <v>3</v>
      </c>
      <c r="D2609">
        <v>17892</v>
      </c>
      <c r="E2609">
        <v>112</v>
      </c>
      <c r="F2609">
        <v>15282.72</v>
      </c>
      <c r="G2609">
        <v>3479.2</v>
      </c>
      <c r="H2609" t="str">
        <f>VLOOKUP(myynnit[[#This Row],[TuoteID]],ohjaus!$A$4:$B$20,2,FALSE)</f>
        <v>Lepotuoli</v>
      </c>
    </row>
    <row r="2610" spans="1:8" x14ac:dyDescent="0.35">
      <c r="A2610" t="s">
        <v>40</v>
      </c>
      <c r="B2610">
        <v>2015</v>
      </c>
      <c r="C2610">
        <v>3</v>
      </c>
      <c r="D2610">
        <v>18342</v>
      </c>
      <c r="E2610">
        <v>15</v>
      </c>
      <c r="F2610">
        <v>14036.17</v>
      </c>
      <c r="G2610">
        <v>4250.2299999999996</v>
      </c>
      <c r="H2610" t="str">
        <f>VLOOKUP(myynnit[[#This Row],[TuoteID]],ohjaus!$A$4:$B$20,2,FALSE)</f>
        <v>Työtuoli</v>
      </c>
    </row>
    <row r="2611" spans="1:8" x14ac:dyDescent="0.35">
      <c r="A2611" t="s">
        <v>40</v>
      </c>
      <c r="B2611">
        <v>2015</v>
      </c>
      <c r="C2611">
        <v>3</v>
      </c>
      <c r="D2611">
        <v>20177</v>
      </c>
      <c r="E2611">
        <v>13</v>
      </c>
      <c r="F2611">
        <v>1373.5</v>
      </c>
      <c r="G2611">
        <v>565.5</v>
      </c>
      <c r="H2611" t="str">
        <f>VLOOKUP(myynnit[[#This Row],[TuoteID]],ohjaus!$A$4:$B$20,2,FALSE)</f>
        <v>Säkkituoli</v>
      </c>
    </row>
    <row r="2612" spans="1:8" x14ac:dyDescent="0.35">
      <c r="A2612" t="s">
        <v>40</v>
      </c>
      <c r="B2612">
        <v>2015</v>
      </c>
      <c r="C2612">
        <v>3</v>
      </c>
      <c r="D2612">
        <v>21179</v>
      </c>
      <c r="E2612">
        <v>36</v>
      </c>
      <c r="F2612">
        <v>5104.87</v>
      </c>
      <c r="G2612">
        <v>3276.03</v>
      </c>
      <c r="H2612" t="str">
        <f>VLOOKUP(myynnit[[#This Row],[TuoteID]],ohjaus!$A$4:$B$20,2,FALSE)</f>
        <v>Rahi</v>
      </c>
    </row>
    <row r="2613" spans="1:8" x14ac:dyDescent="0.35">
      <c r="A2613" t="s">
        <v>40</v>
      </c>
      <c r="B2613">
        <v>2015</v>
      </c>
      <c r="C2613">
        <v>3</v>
      </c>
      <c r="D2613">
        <v>21260</v>
      </c>
      <c r="E2613">
        <v>60</v>
      </c>
      <c r="F2613">
        <v>10788</v>
      </c>
      <c r="G2613">
        <v>2790.06</v>
      </c>
      <c r="H2613" t="str">
        <f>VLOOKUP(myynnit[[#This Row],[TuoteID]],ohjaus!$A$4:$B$20,2,FALSE)</f>
        <v>Lepotuoli</v>
      </c>
    </row>
    <row r="2614" spans="1:8" x14ac:dyDescent="0.35">
      <c r="A2614" t="s">
        <v>40</v>
      </c>
      <c r="B2614">
        <v>2015</v>
      </c>
      <c r="C2614">
        <v>3</v>
      </c>
      <c r="D2614">
        <v>22317</v>
      </c>
      <c r="E2614">
        <v>15</v>
      </c>
      <c r="F2614">
        <v>1165.01</v>
      </c>
      <c r="G2614">
        <v>580.45000000000005</v>
      </c>
      <c r="H2614" t="str">
        <f>VLOOKUP(myynnit[[#This Row],[TuoteID]],ohjaus!$A$4:$B$20,2,FALSE)</f>
        <v>Säkkituoli</v>
      </c>
    </row>
    <row r="2615" spans="1:8" x14ac:dyDescent="0.35">
      <c r="A2615" t="s">
        <v>40</v>
      </c>
      <c r="B2615">
        <v>2015</v>
      </c>
      <c r="C2615">
        <v>3</v>
      </c>
      <c r="D2615">
        <v>22940</v>
      </c>
      <c r="E2615">
        <v>131</v>
      </c>
      <c r="F2615">
        <v>16897.16</v>
      </c>
      <c r="G2615">
        <v>3929.29</v>
      </c>
      <c r="H2615" t="str">
        <f>VLOOKUP(myynnit[[#This Row],[TuoteID]],ohjaus!$A$4:$B$20,2,FALSE)</f>
        <v>Pinnatuoli</v>
      </c>
    </row>
    <row r="2616" spans="1:8" x14ac:dyDescent="0.35">
      <c r="A2616" t="s">
        <v>40</v>
      </c>
      <c r="B2616">
        <v>2015</v>
      </c>
      <c r="C2616">
        <v>3</v>
      </c>
      <c r="D2616">
        <v>23178</v>
      </c>
      <c r="E2616">
        <v>352</v>
      </c>
      <c r="F2616">
        <v>66907.02</v>
      </c>
      <c r="G2616">
        <v>17433.97</v>
      </c>
      <c r="H2616" t="str">
        <f>VLOOKUP(myynnit[[#This Row],[TuoteID]],ohjaus!$A$4:$B$20,2,FALSE)</f>
        <v>Pinnatuoli</v>
      </c>
    </row>
    <row r="2617" spans="1:8" x14ac:dyDescent="0.35">
      <c r="A2617" t="s">
        <v>40</v>
      </c>
      <c r="B2617">
        <v>2015</v>
      </c>
      <c r="C2617">
        <v>3</v>
      </c>
      <c r="D2617">
        <v>23600</v>
      </c>
      <c r="E2617">
        <v>458</v>
      </c>
      <c r="F2617">
        <v>52020.73</v>
      </c>
      <c r="G2617">
        <v>14747.2</v>
      </c>
      <c r="H2617" t="str">
        <f>VLOOKUP(myynnit[[#This Row],[TuoteID]],ohjaus!$A$4:$B$20,2,FALSE)</f>
        <v>Pinnatuoli</v>
      </c>
    </row>
    <row r="2618" spans="1:8" x14ac:dyDescent="0.35">
      <c r="A2618" t="s">
        <v>40</v>
      </c>
      <c r="B2618">
        <v>2015</v>
      </c>
      <c r="C2618">
        <v>3</v>
      </c>
      <c r="D2618">
        <v>23756</v>
      </c>
      <c r="E2618">
        <v>65</v>
      </c>
      <c r="F2618">
        <v>11356.9</v>
      </c>
      <c r="G2618">
        <v>4312.29</v>
      </c>
      <c r="H2618" t="str">
        <f>VLOOKUP(myynnit[[#This Row],[TuoteID]],ohjaus!$A$4:$B$20,2,FALSE)</f>
        <v>Pianotuoli</v>
      </c>
    </row>
    <row r="2619" spans="1:8" x14ac:dyDescent="0.35">
      <c r="A2619" t="s">
        <v>40</v>
      </c>
      <c r="B2619">
        <v>2015</v>
      </c>
      <c r="C2619">
        <v>3</v>
      </c>
      <c r="D2619">
        <v>24326</v>
      </c>
      <c r="E2619">
        <v>44</v>
      </c>
      <c r="F2619">
        <v>6746.62</v>
      </c>
      <c r="G2619">
        <v>1779.21</v>
      </c>
      <c r="H2619" t="str">
        <f>VLOOKUP(myynnit[[#This Row],[TuoteID]],ohjaus!$A$4:$B$20,2,FALSE)</f>
        <v>Lepotuoli</v>
      </c>
    </row>
    <row r="2620" spans="1:8" x14ac:dyDescent="0.35">
      <c r="A2620" t="s">
        <v>39</v>
      </c>
      <c r="B2620">
        <v>2015</v>
      </c>
      <c r="C2620">
        <v>3</v>
      </c>
      <c r="D2620">
        <v>12184</v>
      </c>
      <c r="E2620">
        <v>61</v>
      </c>
      <c r="F2620">
        <v>9748.58</v>
      </c>
      <c r="G2620">
        <v>7593.46</v>
      </c>
      <c r="H2620" t="str">
        <f>VLOOKUP(myynnit[[#This Row],[TuoteID]],ohjaus!$A$4:$B$20,2,FALSE)</f>
        <v>Rahi</v>
      </c>
    </row>
    <row r="2621" spans="1:8" x14ac:dyDescent="0.35">
      <c r="A2621" t="s">
        <v>39</v>
      </c>
      <c r="B2621">
        <v>2015</v>
      </c>
      <c r="C2621">
        <v>3</v>
      </c>
      <c r="D2621">
        <v>12622</v>
      </c>
      <c r="E2621">
        <v>50</v>
      </c>
      <c r="F2621">
        <v>13223.07</v>
      </c>
      <c r="G2621">
        <v>7389.16</v>
      </c>
      <c r="H2621" t="str">
        <f>VLOOKUP(myynnit[[#This Row],[TuoteID]],ohjaus!$A$4:$B$20,2,FALSE)</f>
        <v>Pianotuoli</v>
      </c>
    </row>
    <row r="2622" spans="1:8" x14ac:dyDescent="0.35">
      <c r="A2622" t="s">
        <v>39</v>
      </c>
      <c r="B2622">
        <v>2015</v>
      </c>
      <c r="C2622">
        <v>3</v>
      </c>
      <c r="D2622">
        <v>13527</v>
      </c>
      <c r="E2622">
        <v>303</v>
      </c>
      <c r="F2622">
        <v>52535.82</v>
      </c>
      <c r="G2622">
        <v>12818.48</v>
      </c>
      <c r="H2622" t="str">
        <f>VLOOKUP(myynnit[[#This Row],[TuoteID]],ohjaus!$A$4:$B$20,2,FALSE)</f>
        <v>Pinnatuoli</v>
      </c>
    </row>
    <row r="2623" spans="1:8" x14ac:dyDescent="0.35">
      <c r="A2623" t="s">
        <v>39</v>
      </c>
      <c r="B2623">
        <v>2015</v>
      </c>
      <c r="C2623">
        <v>3</v>
      </c>
      <c r="D2623">
        <v>13618</v>
      </c>
      <c r="E2623">
        <v>11</v>
      </c>
      <c r="F2623">
        <v>3946.36</v>
      </c>
      <c r="G2623">
        <v>2002.36</v>
      </c>
      <c r="H2623" t="str">
        <f>VLOOKUP(myynnit[[#This Row],[TuoteID]],ohjaus!$A$4:$B$20,2,FALSE)</f>
        <v>Pianotuoli</v>
      </c>
    </row>
    <row r="2624" spans="1:8" x14ac:dyDescent="0.35">
      <c r="A2624" t="s">
        <v>39</v>
      </c>
      <c r="B2624">
        <v>2015</v>
      </c>
      <c r="C2624">
        <v>3</v>
      </c>
      <c r="D2624">
        <v>16024</v>
      </c>
      <c r="E2624">
        <v>144</v>
      </c>
      <c r="F2624">
        <v>69737.19</v>
      </c>
      <c r="G2624">
        <v>21866.17</v>
      </c>
      <c r="H2624" t="str">
        <f>VLOOKUP(myynnit[[#This Row],[TuoteID]],ohjaus!$A$4:$B$20,2,FALSE)</f>
        <v>Työtuoli</v>
      </c>
    </row>
    <row r="2625" spans="1:8" x14ac:dyDescent="0.35">
      <c r="A2625" t="s">
        <v>39</v>
      </c>
      <c r="B2625">
        <v>2015</v>
      </c>
      <c r="C2625">
        <v>3</v>
      </c>
      <c r="D2625">
        <v>16650</v>
      </c>
      <c r="E2625">
        <v>25</v>
      </c>
      <c r="F2625">
        <v>3543.76</v>
      </c>
      <c r="G2625">
        <v>2256.0300000000002</v>
      </c>
      <c r="H2625" t="str">
        <f>VLOOKUP(myynnit[[#This Row],[TuoteID]],ohjaus!$A$4:$B$20,2,FALSE)</f>
        <v>Rahi</v>
      </c>
    </row>
    <row r="2626" spans="1:8" x14ac:dyDescent="0.35">
      <c r="A2626" t="s">
        <v>39</v>
      </c>
      <c r="B2626">
        <v>2015</v>
      </c>
      <c r="C2626">
        <v>3</v>
      </c>
      <c r="D2626">
        <v>17892</v>
      </c>
      <c r="E2626">
        <v>135</v>
      </c>
      <c r="F2626">
        <v>20632.45</v>
      </c>
      <c r="G2626">
        <v>7144.87</v>
      </c>
      <c r="H2626" t="str">
        <f>VLOOKUP(myynnit[[#This Row],[TuoteID]],ohjaus!$A$4:$B$20,2,FALSE)</f>
        <v>Lepotuoli</v>
      </c>
    </row>
    <row r="2627" spans="1:8" x14ac:dyDescent="0.35">
      <c r="A2627" t="s">
        <v>39</v>
      </c>
      <c r="B2627">
        <v>2015</v>
      </c>
      <c r="C2627">
        <v>3</v>
      </c>
      <c r="D2627">
        <v>18342</v>
      </c>
      <c r="E2627">
        <v>133</v>
      </c>
      <c r="F2627">
        <v>123058.64</v>
      </c>
      <c r="G2627">
        <v>39846.339999999997</v>
      </c>
      <c r="H2627" t="str">
        <f>VLOOKUP(myynnit[[#This Row],[TuoteID]],ohjaus!$A$4:$B$20,2,FALSE)</f>
        <v>Työtuoli</v>
      </c>
    </row>
    <row r="2628" spans="1:8" x14ac:dyDescent="0.35">
      <c r="A2628" t="s">
        <v>39</v>
      </c>
      <c r="B2628">
        <v>2015</v>
      </c>
      <c r="C2628">
        <v>3</v>
      </c>
      <c r="D2628">
        <v>20177</v>
      </c>
      <c r="E2628">
        <v>48</v>
      </c>
      <c r="F2628">
        <v>5308.56</v>
      </c>
      <c r="G2628">
        <v>2355.88</v>
      </c>
      <c r="H2628" t="str">
        <f>VLOOKUP(myynnit[[#This Row],[TuoteID]],ohjaus!$A$4:$B$20,2,FALSE)</f>
        <v>Säkkituoli</v>
      </c>
    </row>
    <row r="2629" spans="1:8" x14ac:dyDescent="0.35">
      <c r="A2629" t="s">
        <v>39</v>
      </c>
      <c r="B2629">
        <v>2015</v>
      </c>
      <c r="C2629">
        <v>3</v>
      </c>
      <c r="D2629">
        <v>21179</v>
      </c>
      <c r="E2629">
        <v>37</v>
      </c>
      <c r="F2629">
        <v>4031.16</v>
      </c>
      <c r="G2629">
        <v>2886.08</v>
      </c>
      <c r="H2629" t="str">
        <f>VLOOKUP(myynnit[[#This Row],[TuoteID]],ohjaus!$A$4:$B$20,2,FALSE)</f>
        <v>Rahi</v>
      </c>
    </row>
    <row r="2630" spans="1:8" x14ac:dyDescent="0.35">
      <c r="A2630" t="s">
        <v>39</v>
      </c>
      <c r="B2630">
        <v>2015</v>
      </c>
      <c r="C2630">
        <v>3</v>
      </c>
      <c r="D2630">
        <v>21260</v>
      </c>
      <c r="E2630">
        <v>63</v>
      </c>
      <c r="F2630">
        <v>11129.58</v>
      </c>
      <c r="G2630">
        <v>3112.24</v>
      </c>
      <c r="H2630" t="str">
        <f>VLOOKUP(myynnit[[#This Row],[TuoteID]],ohjaus!$A$4:$B$20,2,FALSE)</f>
        <v>Lepotuoli</v>
      </c>
    </row>
    <row r="2631" spans="1:8" x14ac:dyDescent="0.35">
      <c r="A2631" t="s">
        <v>39</v>
      </c>
      <c r="B2631">
        <v>2015</v>
      </c>
      <c r="C2631">
        <v>3</v>
      </c>
      <c r="D2631">
        <v>22317</v>
      </c>
      <c r="E2631">
        <v>54</v>
      </c>
      <c r="F2631">
        <v>4125.9799999999996</v>
      </c>
      <c r="G2631">
        <v>1683.08</v>
      </c>
      <c r="H2631" t="str">
        <f>VLOOKUP(myynnit[[#This Row],[TuoteID]],ohjaus!$A$4:$B$20,2,FALSE)</f>
        <v>Säkkituoli</v>
      </c>
    </row>
    <row r="2632" spans="1:8" x14ac:dyDescent="0.35">
      <c r="A2632" t="s">
        <v>39</v>
      </c>
      <c r="B2632">
        <v>2015</v>
      </c>
      <c r="C2632">
        <v>3</v>
      </c>
      <c r="D2632">
        <v>22940</v>
      </c>
      <c r="E2632">
        <v>539</v>
      </c>
      <c r="F2632">
        <v>68405.320000000007</v>
      </c>
      <c r="G2632">
        <v>15527.92</v>
      </c>
      <c r="H2632" t="str">
        <f>VLOOKUP(myynnit[[#This Row],[TuoteID]],ohjaus!$A$4:$B$20,2,FALSE)</f>
        <v>Pinnatuoli</v>
      </c>
    </row>
    <row r="2633" spans="1:8" x14ac:dyDescent="0.35">
      <c r="A2633" t="s">
        <v>39</v>
      </c>
      <c r="B2633">
        <v>2015</v>
      </c>
      <c r="C2633">
        <v>3</v>
      </c>
      <c r="D2633">
        <v>23178</v>
      </c>
      <c r="E2633">
        <v>132</v>
      </c>
      <c r="F2633">
        <v>23056.52</v>
      </c>
      <c r="G2633">
        <v>6539.25</v>
      </c>
      <c r="H2633" t="str">
        <f>VLOOKUP(myynnit[[#This Row],[TuoteID]],ohjaus!$A$4:$B$20,2,FALSE)</f>
        <v>Pinnatuoli</v>
      </c>
    </row>
    <row r="2634" spans="1:8" x14ac:dyDescent="0.35">
      <c r="A2634" t="s">
        <v>39</v>
      </c>
      <c r="B2634">
        <v>2015</v>
      </c>
      <c r="C2634">
        <v>3</v>
      </c>
      <c r="D2634">
        <v>23600</v>
      </c>
      <c r="E2634">
        <v>796</v>
      </c>
      <c r="F2634">
        <v>99188.19</v>
      </c>
      <c r="G2634">
        <v>31180.7</v>
      </c>
      <c r="H2634" t="str">
        <f>VLOOKUP(myynnit[[#This Row],[TuoteID]],ohjaus!$A$4:$B$20,2,FALSE)</f>
        <v>Pinnatuoli</v>
      </c>
    </row>
    <row r="2635" spans="1:8" x14ac:dyDescent="0.35">
      <c r="A2635" t="s">
        <v>39</v>
      </c>
      <c r="B2635">
        <v>2015</v>
      </c>
      <c r="C2635">
        <v>3</v>
      </c>
      <c r="D2635">
        <v>23756</v>
      </c>
      <c r="E2635">
        <v>124</v>
      </c>
      <c r="F2635">
        <v>22009.56</v>
      </c>
      <c r="G2635">
        <v>11047.42</v>
      </c>
      <c r="H2635" t="str">
        <f>VLOOKUP(myynnit[[#This Row],[TuoteID]],ohjaus!$A$4:$B$20,2,FALSE)</f>
        <v>Pianotuoli</v>
      </c>
    </row>
    <row r="2636" spans="1:8" x14ac:dyDescent="0.35">
      <c r="A2636" t="s">
        <v>39</v>
      </c>
      <c r="B2636">
        <v>2015</v>
      </c>
      <c r="C2636">
        <v>3</v>
      </c>
      <c r="D2636">
        <v>24326</v>
      </c>
      <c r="E2636">
        <v>156</v>
      </c>
      <c r="F2636">
        <v>19561.32</v>
      </c>
      <c r="G2636">
        <v>6320.41</v>
      </c>
      <c r="H2636" t="str">
        <f>VLOOKUP(myynnit[[#This Row],[TuoteID]],ohjaus!$A$4:$B$20,2,FALSE)</f>
        <v>Lepotuoli</v>
      </c>
    </row>
    <row r="2637" spans="1:8" x14ac:dyDescent="0.35">
      <c r="A2637" t="s">
        <v>38</v>
      </c>
      <c r="B2637">
        <v>2015</v>
      </c>
      <c r="C2637">
        <v>3</v>
      </c>
      <c r="D2637">
        <v>12184</v>
      </c>
      <c r="E2637">
        <v>80</v>
      </c>
      <c r="F2637">
        <v>11377.07</v>
      </c>
      <c r="G2637">
        <v>7425.26</v>
      </c>
      <c r="H2637" t="str">
        <f>VLOOKUP(myynnit[[#This Row],[TuoteID]],ohjaus!$A$4:$B$20,2,FALSE)</f>
        <v>Rahi</v>
      </c>
    </row>
    <row r="2638" spans="1:8" x14ac:dyDescent="0.35">
      <c r="A2638" t="s">
        <v>38</v>
      </c>
      <c r="B2638">
        <v>2015</v>
      </c>
      <c r="C2638">
        <v>3</v>
      </c>
      <c r="D2638">
        <v>12622</v>
      </c>
      <c r="E2638">
        <v>23</v>
      </c>
      <c r="F2638">
        <v>5498.45</v>
      </c>
      <c r="G2638">
        <v>2279.75</v>
      </c>
      <c r="H2638" t="str">
        <f>VLOOKUP(myynnit[[#This Row],[TuoteID]],ohjaus!$A$4:$B$20,2,FALSE)</f>
        <v>Pianotuoli</v>
      </c>
    </row>
    <row r="2639" spans="1:8" x14ac:dyDescent="0.35">
      <c r="A2639" t="s">
        <v>38</v>
      </c>
      <c r="B2639">
        <v>2015</v>
      </c>
      <c r="C2639">
        <v>3</v>
      </c>
      <c r="D2639">
        <v>13527</v>
      </c>
      <c r="E2639">
        <v>535</v>
      </c>
      <c r="F2639">
        <v>80307.88</v>
      </c>
      <c r="G2639">
        <v>16673.419999999998</v>
      </c>
      <c r="H2639" t="str">
        <f>VLOOKUP(myynnit[[#This Row],[TuoteID]],ohjaus!$A$4:$B$20,2,FALSE)</f>
        <v>Pinnatuoli</v>
      </c>
    </row>
    <row r="2640" spans="1:8" x14ac:dyDescent="0.35">
      <c r="A2640" t="s">
        <v>38</v>
      </c>
      <c r="B2640">
        <v>2015</v>
      </c>
      <c r="C2640">
        <v>3</v>
      </c>
      <c r="D2640">
        <v>13618</v>
      </c>
      <c r="E2640">
        <v>6</v>
      </c>
      <c r="F2640">
        <v>2645.03</v>
      </c>
      <c r="G2640">
        <v>1414.24</v>
      </c>
      <c r="H2640" t="str">
        <f>VLOOKUP(myynnit[[#This Row],[TuoteID]],ohjaus!$A$4:$B$20,2,FALSE)</f>
        <v>Pianotuoli</v>
      </c>
    </row>
    <row r="2641" spans="1:8" x14ac:dyDescent="0.35">
      <c r="A2641" t="s">
        <v>38</v>
      </c>
      <c r="B2641">
        <v>2015</v>
      </c>
      <c r="C2641">
        <v>3</v>
      </c>
      <c r="D2641">
        <v>16024</v>
      </c>
      <c r="E2641">
        <v>232</v>
      </c>
      <c r="F2641">
        <v>95138.84</v>
      </c>
      <c r="G2641">
        <v>24520.25</v>
      </c>
      <c r="H2641" t="str">
        <f>VLOOKUP(myynnit[[#This Row],[TuoteID]],ohjaus!$A$4:$B$20,2,FALSE)</f>
        <v>Työtuoli</v>
      </c>
    </row>
    <row r="2642" spans="1:8" x14ac:dyDescent="0.35">
      <c r="A2642" t="s">
        <v>38</v>
      </c>
      <c r="B2642">
        <v>2015</v>
      </c>
      <c r="C2642">
        <v>3</v>
      </c>
      <c r="D2642">
        <v>16650</v>
      </c>
      <c r="E2642">
        <v>60</v>
      </c>
      <c r="F2642">
        <v>10665.22</v>
      </c>
      <c r="G2642">
        <v>6276.72</v>
      </c>
      <c r="H2642" t="str">
        <f>VLOOKUP(myynnit[[#This Row],[TuoteID]],ohjaus!$A$4:$B$20,2,FALSE)</f>
        <v>Rahi</v>
      </c>
    </row>
    <row r="2643" spans="1:8" x14ac:dyDescent="0.35">
      <c r="A2643" t="s">
        <v>38</v>
      </c>
      <c r="B2643">
        <v>2015</v>
      </c>
      <c r="C2643">
        <v>3</v>
      </c>
      <c r="D2643">
        <v>17892</v>
      </c>
      <c r="E2643">
        <v>67</v>
      </c>
      <c r="F2643">
        <v>9028.24</v>
      </c>
      <c r="G2643">
        <v>2024.97</v>
      </c>
      <c r="H2643" t="str">
        <f>VLOOKUP(myynnit[[#This Row],[TuoteID]],ohjaus!$A$4:$B$20,2,FALSE)</f>
        <v>Lepotuoli</v>
      </c>
    </row>
    <row r="2644" spans="1:8" x14ac:dyDescent="0.35">
      <c r="A2644" t="s">
        <v>38</v>
      </c>
      <c r="B2644">
        <v>2015</v>
      </c>
      <c r="C2644">
        <v>3</v>
      </c>
      <c r="D2644">
        <v>18342</v>
      </c>
      <c r="E2644">
        <v>168</v>
      </c>
      <c r="F2644">
        <v>127131.52</v>
      </c>
      <c r="G2644">
        <v>30794.21</v>
      </c>
      <c r="H2644" t="str">
        <f>VLOOKUP(myynnit[[#This Row],[TuoteID]],ohjaus!$A$4:$B$20,2,FALSE)</f>
        <v>Työtuoli</v>
      </c>
    </row>
    <row r="2645" spans="1:8" x14ac:dyDescent="0.35">
      <c r="A2645" t="s">
        <v>38</v>
      </c>
      <c r="B2645">
        <v>2015</v>
      </c>
      <c r="C2645">
        <v>3</v>
      </c>
      <c r="D2645">
        <v>20177</v>
      </c>
      <c r="E2645">
        <v>90</v>
      </c>
      <c r="F2645">
        <v>8394.83</v>
      </c>
      <c r="G2645">
        <v>2929.31</v>
      </c>
      <c r="H2645" t="str">
        <f>VLOOKUP(myynnit[[#This Row],[TuoteID]],ohjaus!$A$4:$B$20,2,FALSE)</f>
        <v>Säkkituoli</v>
      </c>
    </row>
    <row r="2646" spans="1:8" x14ac:dyDescent="0.35">
      <c r="A2646" t="s">
        <v>38</v>
      </c>
      <c r="B2646">
        <v>2015</v>
      </c>
      <c r="C2646">
        <v>3</v>
      </c>
      <c r="D2646">
        <v>21179</v>
      </c>
      <c r="E2646">
        <v>27</v>
      </c>
      <c r="F2646">
        <v>3823.32</v>
      </c>
      <c r="G2646">
        <v>2126.13</v>
      </c>
      <c r="H2646" t="str">
        <f>VLOOKUP(myynnit[[#This Row],[TuoteID]],ohjaus!$A$4:$B$20,2,FALSE)</f>
        <v>Rahi</v>
      </c>
    </row>
    <row r="2647" spans="1:8" x14ac:dyDescent="0.35">
      <c r="A2647" t="s">
        <v>38</v>
      </c>
      <c r="B2647">
        <v>2015</v>
      </c>
      <c r="C2647">
        <v>3</v>
      </c>
      <c r="D2647">
        <v>21260</v>
      </c>
      <c r="E2647">
        <v>81</v>
      </c>
      <c r="F2647">
        <v>16708.03</v>
      </c>
      <c r="G2647">
        <v>4106.3599999999997</v>
      </c>
      <c r="H2647" t="str">
        <f>VLOOKUP(myynnit[[#This Row],[TuoteID]],ohjaus!$A$4:$B$20,2,FALSE)</f>
        <v>Lepotuoli</v>
      </c>
    </row>
    <row r="2648" spans="1:8" x14ac:dyDescent="0.35">
      <c r="A2648" t="s">
        <v>38</v>
      </c>
      <c r="B2648">
        <v>2015</v>
      </c>
      <c r="C2648">
        <v>3</v>
      </c>
      <c r="D2648">
        <v>22317</v>
      </c>
      <c r="E2648">
        <v>84</v>
      </c>
      <c r="F2648">
        <v>7722.9</v>
      </c>
      <c r="G2648">
        <v>3030.58</v>
      </c>
      <c r="H2648" t="str">
        <f>VLOOKUP(myynnit[[#This Row],[TuoteID]],ohjaus!$A$4:$B$20,2,FALSE)</f>
        <v>Säkkituoli</v>
      </c>
    </row>
    <row r="2649" spans="1:8" x14ac:dyDescent="0.35">
      <c r="A2649" t="s">
        <v>38</v>
      </c>
      <c r="B2649">
        <v>2015</v>
      </c>
      <c r="C2649">
        <v>3</v>
      </c>
      <c r="D2649">
        <v>22940</v>
      </c>
      <c r="E2649">
        <v>664</v>
      </c>
      <c r="F2649">
        <v>82593.820000000007</v>
      </c>
      <c r="G2649">
        <v>18310.16</v>
      </c>
      <c r="H2649" t="str">
        <f>VLOOKUP(myynnit[[#This Row],[TuoteID]],ohjaus!$A$4:$B$20,2,FALSE)</f>
        <v>Pinnatuoli</v>
      </c>
    </row>
    <row r="2650" spans="1:8" x14ac:dyDescent="0.35">
      <c r="A2650" t="s">
        <v>38</v>
      </c>
      <c r="B2650">
        <v>2015</v>
      </c>
      <c r="C2650">
        <v>3</v>
      </c>
      <c r="D2650">
        <v>23178</v>
      </c>
      <c r="E2650">
        <v>235</v>
      </c>
      <c r="F2650">
        <v>38283.269999999997</v>
      </c>
      <c r="G2650">
        <v>8572.2199999999993</v>
      </c>
      <c r="H2650" t="str">
        <f>VLOOKUP(myynnit[[#This Row],[TuoteID]],ohjaus!$A$4:$B$20,2,FALSE)</f>
        <v>Pinnatuoli</v>
      </c>
    </row>
    <row r="2651" spans="1:8" x14ac:dyDescent="0.35">
      <c r="A2651" t="s">
        <v>38</v>
      </c>
      <c r="B2651">
        <v>2015</v>
      </c>
      <c r="C2651">
        <v>3</v>
      </c>
      <c r="D2651">
        <v>23600</v>
      </c>
      <c r="E2651">
        <v>924</v>
      </c>
      <c r="F2651">
        <v>100380.08</v>
      </c>
      <c r="G2651">
        <v>25294.91</v>
      </c>
      <c r="H2651" t="str">
        <f>VLOOKUP(myynnit[[#This Row],[TuoteID]],ohjaus!$A$4:$B$20,2,FALSE)</f>
        <v>Pinnatuoli</v>
      </c>
    </row>
    <row r="2652" spans="1:8" x14ac:dyDescent="0.35">
      <c r="A2652" t="s">
        <v>38</v>
      </c>
      <c r="B2652">
        <v>2015</v>
      </c>
      <c r="C2652">
        <v>3</v>
      </c>
      <c r="D2652">
        <v>23756</v>
      </c>
      <c r="E2652">
        <v>129</v>
      </c>
      <c r="F2652">
        <v>22543.26</v>
      </c>
      <c r="G2652">
        <v>10579</v>
      </c>
      <c r="H2652" t="str">
        <f>VLOOKUP(myynnit[[#This Row],[TuoteID]],ohjaus!$A$4:$B$20,2,FALSE)</f>
        <v>Pianotuoli</v>
      </c>
    </row>
    <row r="2653" spans="1:8" x14ac:dyDescent="0.35">
      <c r="A2653" t="s">
        <v>38</v>
      </c>
      <c r="B2653">
        <v>2015</v>
      </c>
      <c r="C2653">
        <v>3</v>
      </c>
      <c r="D2653">
        <v>24326</v>
      </c>
      <c r="E2653">
        <v>61</v>
      </c>
      <c r="F2653">
        <v>8174.44</v>
      </c>
      <c r="G2653">
        <v>2064.29</v>
      </c>
      <c r="H2653" t="str">
        <f>VLOOKUP(myynnit[[#This Row],[TuoteID]],ohjaus!$A$4:$B$20,2,FALSE)</f>
        <v>Lepotuoli</v>
      </c>
    </row>
    <row r="2654" spans="1:8" x14ac:dyDescent="0.35">
      <c r="A2654" t="s">
        <v>37</v>
      </c>
      <c r="B2654">
        <v>2015</v>
      </c>
      <c r="C2654">
        <v>4</v>
      </c>
      <c r="D2654">
        <v>12184</v>
      </c>
      <c r="E2654">
        <v>65</v>
      </c>
      <c r="F2654">
        <v>8845.75</v>
      </c>
      <c r="G2654">
        <v>3950.1</v>
      </c>
      <c r="H2654" t="str">
        <f>VLOOKUP(myynnit[[#This Row],[TuoteID]],ohjaus!$A$4:$B$20,2,FALSE)</f>
        <v>Rahi</v>
      </c>
    </row>
    <row r="2655" spans="1:8" x14ac:dyDescent="0.35">
      <c r="A2655" t="s">
        <v>37</v>
      </c>
      <c r="B2655">
        <v>2015</v>
      </c>
      <c r="C2655">
        <v>4</v>
      </c>
      <c r="D2655">
        <v>12622</v>
      </c>
      <c r="E2655">
        <v>71</v>
      </c>
      <c r="F2655">
        <v>21009.77</v>
      </c>
      <c r="G2655">
        <v>9889.24</v>
      </c>
      <c r="H2655" t="str">
        <f>VLOOKUP(myynnit[[#This Row],[TuoteID]],ohjaus!$A$4:$B$20,2,FALSE)</f>
        <v>Pianotuoli</v>
      </c>
    </row>
    <row r="2656" spans="1:8" x14ac:dyDescent="0.35">
      <c r="A2656" t="s">
        <v>37</v>
      </c>
      <c r="B2656">
        <v>2015</v>
      </c>
      <c r="C2656">
        <v>4</v>
      </c>
      <c r="D2656">
        <v>13527</v>
      </c>
      <c r="E2656">
        <v>557</v>
      </c>
      <c r="F2656">
        <v>82167.490000000005</v>
      </c>
      <c r="G2656">
        <v>15773.65</v>
      </c>
      <c r="H2656" t="str">
        <f>VLOOKUP(myynnit[[#This Row],[TuoteID]],ohjaus!$A$4:$B$20,2,FALSE)</f>
        <v>Pinnatuoli</v>
      </c>
    </row>
    <row r="2657" spans="1:8" x14ac:dyDescent="0.35">
      <c r="A2657" t="s">
        <v>37</v>
      </c>
      <c r="B2657">
        <v>2015</v>
      </c>
      <c r="C2657">
        <v>4</v>
      </c>
      <c r="D2657">
        <v>13618</v>
      </c>
      <c r="E2657">
        <v>13</v>
      </c>
      <c r="F2657">
        <v>5066.25</v>
      </c>
      <c r="G2657">
        <v>2256.41</v>
      </c>
      <c r="H2657" t="str">
        <f>VLOOKUP(myynnit[[#This Row],[TuoteID]],ohjaus!$A$4:$B$20,2,FALSE)</f>
        <v>Pianotuoli</v>
      </c>
    </row>
    <row r="2658" spans="1:8" x14ac:dyDescent="0.35">
      <c r="A2658" t="s">
        <v>37</v>
      </c>
      <c r="B2658">
        <v>2015</v>
      </c>
      <c r="C2658">
        <v>4</v>
      </c>
      <c r="D2658">
        <v>16024</v>
      </c>
      <c r="E2658">
        <v>336</v>
      </c>
      <c r="F2658">
        <v>136474.09</v>
      </c>
      <c r="G2658">
        <v>35651.370000000003</v>
      </c>
      <c r="H2658" t="str">
        <f>VLOOKUP(myynnit[[#This Row],[TuoteID]],ohjaus!$A$4:$B$20,2,FALSE)</f>
        <v>Työtuoli</v>
      </c>
    </row>
    <row r="2659" spans="1:8" x14ac:dyDescent="0.35">
      <c r="A2659" t="s">
        <v>37</v>
      </c>
      <c r="B2659">
        <v>2015</v>
      </c>
      <c r="C2659">
        <v>4</v>
      </c>
      <c r="D2659">
        <v>16650</v>
      </c>
      <c r="E2659">
        <v>29</v>
      </c>
      <c r="F2659">
        <v>4198.9399999999996</v>
      </c>
      <c r="G2659">
        <v>1679.64</v>
      </c>
      <c r="H2659" t="str">
        <f>VLOOKUP(myynnit[[#This Row],[TuoteID]],ohjaus!$A$4:$B$20,2,FALSE)</f>
        <v>Rahi</v>
      </c>
    </row>
    <row r="2660" spans="1:8" x14ac:dyDescent="0.35">
      <c r="A2660" t="s">
        <v>37</v>
      </c>
      <c r="B2660">
        <v>2015</v>
      </c>
      <c r="C2660">
        <v>4</v>
      </c>
      <c r="D2660">
        <v>17892</v>
      </c>
      <c r="E2660">
        <v>105</v>
      </c>
      <c r="F2660">
        <v>13154.57</v>
      </c>
      <c r="G2660">
        <v>3256.89</v>
      </c>
      <c r="H2660" t="str">
        <f>VLOOKUP(myynnit[[#This Row],[TuoteID]],ohjaus!$A$4:$B$20,2,FALSE)</f>
        <v>Lepotuoli</v>
      </c>
    </row>
    <row r="2661" spans="1:8" x14ac:dyDescent="0.35">
      <c r="A2661" t="s">
        <v>37</v>
      </c>
      <c r="B2661">
        <v>2015</v>
      </c>
      <c r="C2661">
        <v>4</v>
      </c>
      <c r="D2661">
        <v>18342</v>
      </c>
      <c r="E2661">
        <v>241</v>
      </c>
      <c r="F2661">
        <v>195488.62</v>
      </c>
      <c r="G2661">
        <v>52904.07</v>
      </c>
      <c r="H2661" t="str">
        <f>VLOOKUP(myynnit[[#This Row],[TuoteID]],ohjaus!$A$4:$B$20,2,FALSE)</f>
        <v>Työtuoli</v>
      </c>
    </row>
    <row r="2662" spans="1:8" x14ac:dyDescent="0.35">
      <c r="A2662" t="s">
        <v>37</v>
      </c>
      <c r="B2662">
        <v>2015</v>
      </c>
      <c r="C2662">
        <v>4</v>
      </c>
      <c r="D2662">
        <v>20177</v>
      </c>
      <c r="E2662">
        <v>138</v>
      </c>
      <c r="F2662">
        <v>15545.11</v>
      </c>
      <c r="G2662">
        <v>5938.31</v>
      </c>
      <c r="H2662" t="str">
        <f>VLOOKUP(myynnit[[#This Row],[TuoteID]],ohjaus!$A$4:$B$20,2,FALSE)</f>
        <v>Säkkituoli</v>
      </c>
    </row>
    <row r="2663" spans="1:8" x14ac:dyDescent="0.35">
      <c r="A2663" t="s">
        <v>37</v>
      </c>
      <c r="B2663">
        <v>2015</v>
      </c>
      <c r="C2663">
        <v>4</v>
      </c>
      <c r="D2663">
        <v>21179</v>
      </c>
      <c r="E2663">
        <v>78</v>
      </c>
      <c r="F2663">
        <v>7893.13</v>
      </c>
      <c r="G2663">
        <v>4306.32</v>
      </c>
      <c r="H2663" t="str">
        <f>VLOOKUP(myynnit[[#This Row],[TuoteID]],ohjaus!$A$4:$B$20,2,FALSE)</f>
        <v>Rahi</v>
      </c>
    </row>
    <row r="2664" spans="1:8" x14ac:dyDescent="0.35">
      <c r="A2664" t="s">
        <v>37</v>
      </c>
      <c r="B2664">
        <v>2015</v>
      </c>
      <c r="C2664">
        <v>4</v>
      </c>
      <c r="D2664">
        <v>21260</v>
      </c>
      <c r="E2664">
        <v>80</v>
      </c>
      <c r="F2664">
        <v>14172.94</v>
      </c>
      <c r="G2664">
        <v>4578.22</v>
      </c>
      <c r="H2664" t="str">
        <f>VLOOKUP(myynnit[[#This Row],[TuoteID]],ohjaus!$A$4:$B$20,2,FALSE)</f>
        <v>Lepotuoli</v>
      </c>
    </row>
    <row r="2665" spans="1:8" x14ac:dyDescent="0.35">
      <c r="A2665" t="s">
        <v>37</v>
      </c>
      <c r="B2665">
        <v>2015</v>
      </c>
      <c r="C2665">
        <v>4</v>
      </c>
      <c r="D2665">
        <v>22317</v>
      </c>
      <c r="E2665">
        <v>112</v>
      </c>
      <c r="F2665">
        <v>9654.6</v>
      </c>
      <c r="G2665">
        <v>3141.69</v>
      </c>
      <c r="H2665" t="str">
        <f>VLOOKUP(myynnit[[#This Row],[TuoteID]],ohjaus!$A$4:$B$20,2,FALSE)</f>
        <v>Säkkituoli</v>
      </c>
    </row>
    <row r="2666" spans="1:8" x14ac:dyDescent="0.35">
      <c r="A2666" t="s">
        <v>37</v>
      </c>
      <c r="B2666">
        <v>2015</v>
      </c>
      <c r="C2666">
        <v>4</v>
      </c>
      <c r="D2666">
        <v>22940</v>
      </c>
      <c r="E2666">
        <v>564</v>
      </c>
      <c r="F2666">
        <v>77711.649999999994</v>
      </c>
      <c r="G2666">
        <v>14631.78</v>
      </c>
      <c r="H2666" t="str">
        <f>VLOOKUP(myynnit[[#This Row],[TuoteID]],ohjaus!$A$4:$B$20,2,FALSE)</f>
        <v>Pinnatuoli</v>
      </c>
    </row>
    <row r="2667" spans="1:8" x14ac:dyDescent="0.35">
      <c r="A2667" t="s">
        <v>37</v>
      </c>
      <c r="B2667">
        <v>2015</v>
      </c>
      <c r="C2667">
        <v>4</v>
      </c>
      <c r="D2667">
        <v>23178</v>
      </c>
      <c r="E2667">
        <v>393</v>
      </c>
      <c r="F2667">
        <v>69095.72</v>
      </c>
      <c r="G2667">
        <v>14800.33</v>
      </c>
      <c r="H2667" t="str">
        <f>VLOOKUP(myynnit[[#This Row],[TuoteID]],ohjaus!$A$4:$B$20,2,FALSE)</f>
        <v>Pinnatuoli</v>
      </c>
    </row>
    <row r="2668" spans="1:8" x14ac:dyDescent="0.35">
      <c r="A2668" t="s">
        <v>37</v>
      </c>
      <c r="B2668">
        <v>2015</v>
      </c>
      <c r="C2668">
        <v>4</v>
      </c>
      <c r="D2668">
        <v>23600</v>
      </c>
      <c r="E2668">
        <v>982</v>
      </c>
      <c r="F2668">
        <v>110857.22</v>
      </c>
      <c r="G2668">
        <v>30211.15</v>
      </c>
      <c r="H2668" t="str">
        <f>VLOOKUP(myynnit[[#This Row],[TuoteID]],ohjaus!$A$4:$B$20,2,FALSE)</f>
        <v>Pinnatuoli</v>
      </c>
    </row>
    <row r="2669" spans="1:8" x14ac:dyDescent="0.35">
      <c r="A2669" t="s">
        <v>37</v>
      </c>
      <c r="B2669">
        <v>2015</v>
      </c>
      <c r="C2669">
        <v>4</v>
      </c>
      <c r="D2669">
        <v>23756</v>
      </c>
      <c r="E2669">
        <v>66</v>
      </c>
      <c r="F2669">
        <v>11006.74</v>
      </c>
      <c r="G2669">
        <v>5705.23</v>
      </c>
      <c r="H2669" t="str">
        <f>VLOOKUP(myynnit[[#This Row],[TuoteID]],ohjaus!$A$4:$B$20,2,FALSE)</f>
        <v>Pianotuoli</v>
      </c>
    </row>
    <row r="2670" spans="1:8" x14ac:dyDescent="0.35">
      <c r="A2670" t="s">
        <v>37</v>
      </c>
      <c r="B2670">
        <v>2015</v>
      </c>
      <c r="C2670">
        <v>4</v>
      </c>
      <c r="D2670">
        <v>24326</v>
      </c>
      <c r="E2670">
        <v>185</v>
      </c>
      <c r="F2670">
        <v>24603.96</v>
      </c>
      <c r="G2670">
        <v>6261.97</v>
      </c>
      <c r="H2670" t="str">
        <f>VLOOKUP(myynnit[[#This Row],[TuoteID]],ohjaus!$A$4:$B$20,2,FALSE)</f>
        <v>Lepotuoli</v>
      </c>
    </row>
    <row r="2671" spans="1:8" x14ac:dyDescent="0.35">
      <c r="A2671" t="s">
        <v>40</v>
      </c>
      <c r="B2671">
        <v>2015</v>
      </c>
      <c r="C2671">
        <v>4</v>
      </c>
      <c r="D2671">
        <v>12184</v>
      </c>
      <c r="E2671">
        <v>21</v>
      </c>
      <c r="F2671">
        <v>2323.34</v>
      </c>
      <c r="G2671">
        <v>989.05</v>
      </c>
      <c r="H2671" t="str">
        <f>VLOOKUP(myynnit[[#This Row],[TuoteID]],ohjaus!$A$4:$B$20,2,FALSE)</f>
        <v>Rahi</v>
      </c>
    </row>
    <row r="2672" spans="1:8" x14ac:dyDescent="0.35">
      <c r="A2672" t="s">
        <v>40</v>
      </c>
      <c r="B2672">
        <v>2015</v>
      </c>
      <c r="C2672">
        <v>4</v>
      </c>
      <c r="D2672">
        <v>12622</v>
      </c>
      <c r="E2672">
        <v>10</v>
      </c>
      <c r="F2672">
        <v>2567.9699999999998</v>
      </c>
      <c r="G2672">
        <v>1225.5999999999999</v>
      </c>
      <c r="H2672" t="str">
        <f>VLOOKUP(myynnit[[#This Row],[TuoteID]],ohjaus!$A$4:$B$20,2,FALSE)</f>
        <v>Pianotuoli</v>
      </c>
    </row>
    <row r="2673" spans="1:8" x14ac:dyDescent="0.35">
      <c r="A2673" t="s">
        <v>40</v>
      </c>
      <c r="B2673">
        <v>2015</v>
      </c>
      <c r="C2673">
        <v>4</v>
      </c>
      <c r="D2673">
        <v>13527</v>
      </c>
      <c r="E2673">
        <v>204</v>
      </c>
      <c r="F2673">
        <v>34533.620000000003</v>
      </c>
      <c r="G2673">
        <v>5938.49</v>
      </c>
      <c r="H2673" t="str">
        <f>VLOOKUP(myynnit[[#This Row],[TuoteID]],ohjaus!$A$4:$B$20,2,FALSE)</f>
        <v>Pinnatuoli</v>
      </c>
    </row>
    <row r="2674" spans="1:8" x14ac:dyDescent="0.35">
      <c r="A2674" t="s">
        <v>40</v>
      </c>
      <c r="B2674">
        <v>2015</v>
      </c>
      <c r="C2674">
        <v>4</v>
      </c>
      <c r="D2674">
        <v>13618</v>
      </c>
      <c r="E2674">
        <v>8</v>
      </c>
      <c r="F2674">
        <v>3148.37</v>
      </c>
      <c r="G2674">
        <v>1434.74</v>
      </c>
      <c r="H2674" t="str">
        <f>VLOOKUP(myynnit[[#This Row],[TuoteID]],ohjaus!$A$4:$B$20,2,FALSE)</f>
        <v>Pianotuoli</v>
      </c>
    </row>
    <row r="2675" spans="1:8" x14ac:dyDescent="0.35">
      <c r="A2675" t="s">
        <v>40</v>
      </c>
      <c r="B2675">
        <v>2015</v>
      </c>
      <c r="C2675">
        <v>4</v>
      </c>
      <c r="D2675">
        <v>16024</v>
      </c>
      <c r="E2675">
        <v>106</v>
      </c>
      <c r="F2675">
        <v>42399.16</v>
      </c>
      <c r="G2675">
        <v>12819.88</v>
      </c>
      <c r="H2675" t="str">
        <f>VLOOKUP(myynnit[[#This Row],[TuoteID]],ohjaus!$A$4:$B$20,2,FALSE)</f>
        <v>Työtuoli</v>
      </c>
    </row>
    <row r="2676" spans="1:8" x14ac:dyDescent="0.35">
      <c r="A2676" t="s">
        <v>40</v>
      </c>
      <c r="B2676">
        <v>2015</v>
      </c>
      <c r="C2676">
        <v>4</v>
      </c>
      <c r="D2676">
        <v>16650</v>
      </c>
      <c r="E2676">
        <v>35</v>
      </c>
      <c r="F2676">
        <v>4768.3500000000004</v>
      </c>
      <c r="G2676">
        <v>3157.74</v>
      </c>
      <c r="H2676" t="str">
        <f>VLOOKUP(myynnit[[#This Row],[TuoteID]],ohjaus!$A$4:$B$20,2,FALSE)</f>
        <v>Rahi</v>
      </c>
    </row>
    <row r="2677" spans="1:8" x14ac:dyDescent="0.35">
      <c r="A2677" t="s">
        <v>40</v>
      </c>
      <c r="B2677">
        <v>2015</v>
      </c>
      <c r="C2677">
        <v>4</v>
      </c>
      <c r="D2677">
        <v>17892</v>
      </c>
      <c r="E2677">
        <v>113</v>
      </c>
      <c r="F2677">
        <v>16599.77</v>
      </c>
      <c r="G2677">
        <v>4616.66</v>
      </c>
      <c r="H2677" t="str">
        <f>VLOOKUP(myynnit[[#This Row],[TuoteID]],ohjaus!$A$4:$B$20,2,FALSE)</f>
        <v>Lepotuoli</v>
      </c>
    </row>
    <row r="2678" spans="1:8" x14ac:dyDescent="0.35">
      <c r="A2678" t="s">
        <v>40</v>
      </c>
      <c r="B2678">
        <v>2015</v>
      </c>
      <c r="C2678">
        <v>4</v>
      </c>
      <c r="D2678">
        <v>18342</v>
      </c>
      <c r="E2678">
        <v>14</v>
      </c>
      <c r="F2678">
        <v>10468.59</v>
      </c>
      <c r="G2678">
        <v>2896.04</v>
      </c>
      <c r="H2678" t="str">
        <f>VLOOKUP(myynnit[[#This Row],[TuoteID]],ohjaus!$A$4:$B$20,2,FALSE)</f>
        <v>Työtuoli</v>
      </c>
    </row>
    <row r="2679" spans="1:8" x14ac:dyDescent="0.35">
      <c r="A2679" t="s">
        <v>40</v>
      </c>
      <c r="B2679">
        <v>2015</v>
      </c>
      <c r="C2679">
        <v>4</v>
      </c>
      <c r="D2679">
        <v>20177</v>
      </c>
      <c r="E2679">
        <v>18</v>
      </c>
      <c r="F2679">
        <v>1666.65</v>
      </c>
      <c r="G2679">
        <v>677.99</v>
      </c>
      <c r="H2679" t="str">
        <f>VLOOKUP(myynnit[[#This Row],[TuoteID]],ohjaus!$A$4:$B$20,2,FALSE)</f>
        <v>Säkkituoli</v>
      </c>
    </row>
    <row r="2680" spans="1:8" x14ac:dyDescent="0.35">
      <c r="A2680" t="s">
        <v>40</v>
      </c>
      <c r="B2680">
        <v>2015</v>
      </c>
      <c r="C2680">
        <v>4</v>
      </c>
      <c r="D2680">
        <v>21179</v>
      </c>
      <c r="E2680">
        <v>31</v>
      </c>
      <c r="F2680">
        <v>4212.76</v>
      </c>
      <c r="G2680">
        <v>2733.77</v>
      </c>
      <c r="H2680" t="str">
        <f>VLOOKUP(myynnit[[#This Row],[TuoteID]],ohjaus!$A$4:$B$20,2,FALSE)</f>
        <v>Rahi</v>
      </c>
    </row>
    <row r="2681" spans="1:8" x14ac:dyDescent="0.35">
      <c r="A2681" t="s">
        <v>40</v>
      </c>
      <c r="B2681">
        <v>2015</v>
      </c>
      <c r="C2681">
        <v>4</v>
      </c>
      <c r="D2681">
        <v>21260</v>
      </c>
      <c r="E2681">
        <v>48</v>
      </c>
      <c r="F2681">
        <v>8484.5499999999993</v>
      </c>
      <c r="G2681">
        <v>2004.56</v>
      </c>
      <c r="H2681" t="str">
        <f>VLOOKUP(myynnit[[#This Row],[TuoteID]],ohjaus!$A$4:$B$20,2,FALSE)</f>
        <v>Lepotuoli</v>
      </c>
    </row>
    <row r="2682" spans="1:8" x14ac:dyDescent="0.35">
      <c r="A2682" t="s">
        <v>40</v>
      </c>
      <c r="B2682">
        <v>2015</v>
      </c>
      <c r="C2682">
        <v>4</v>
      </c>
      <c r="D2682">
        <v>22317</v>
      </c>
      <c r="E2682">
        <v>7</v>
      </c>
      <c r="F2682">
        <v>744.6</v>
      </c>
      <c r="G2682">
        <v>339.71</v>
      </c>
      <c r="H2682" t="str">
        <f>VLOOKUP(myynnit[[#This Row],[TuoteID]],ohjaus!$A$4:$B$20,2,FALSE)</f>
        <v>Säkkituoli</v>
      </c>
    </row>
    <row r="2683" spans="1:8" x14ac:dyDescent="0.35">
      <c r="A2683" t="s">
        <v>40</v>
      </c>
      <c r="B2683">
        <v>2015</v>
      </c>
      <c r="C2683">
        <v>4</v>
      </c>
      <c r="D2683">
        <v>22940</v>
      </c>
      <c r="E2683">
        <v>110</v>
      </c>
      <c r="F2683">
        <v>14339.69</v>
      </c>
      <c r="G2683">
        <v>4279.7299999999996</v>
      </c>
      <c r="H2683" t="str">
        <f>VLOOKUP(myynnit[[#This Row],[TuoteID]],ohjaus!$A$4:$B$20,2,FALSE)</f>
        <v>Pinnatuoli</v>
      </c>
    </row>
    <row r="2684" spans="1:8" x14ac:dyDescent="0.35">
      <c r="A2684" t="s">
        <v>40</v>
      </c>
      <c r="B2684">
        <v>2015</v>
      </c>
      <c r="C2684">
        <v>4</v>
      </c>
      <c r="D2684">
        <v>23178</v>
      </c>
      <c r="E2684">
        <v>231</v>
      </c>
      <c r="F2684">
        <v>41616.32</v>
      </c>
      <c r="G2684">
        <v>11847.84</v>
      </c>
      <c r="H2684" t="str">
        <f>VLOOKUP(myynnit[[#This Row],[TuoteID]],ohjaus!$A$4:$B$20,2,FALSE)</f>
        <v>Pinnatuoli</v>
      </c>
    </row>
    <row r="2685" spans="1:8" x14ac:dyDescent="0.35">
      <c r="A2685" t="s">
        <v>40</v>
      </c>
      <c r="B2685">
        <v>2015</v>
      </c>
      <c r="C2685">
        <v>4</v>
      </c>
      <c r="D2685">
        <v>23600</v>
      </c>
      <c r="E2685">
        <v>643</v>
      </c>
      <c r="F2685">
        <v>75019.210000000006</v>
      </c>
      <c r="G2685">
        <v>22807.919999999998</v>
      </c>
      <c r="H2685" t="str">
        <f>VLOOKUP(myynnit[[#This Row],[TuoteID]],ohjaus!$A$4:$B$20,2,FALSE)</f>
        <v>Pinnatuoli</v>
      </c>
    </row>
    <row r="2686" spans="1:8" x14ac:dyDescent="0.35">
      <c r="A2686" t="s">
        <v>40</v>
      </c>
      <c r="B2686">
        <v>2015</v>
      </c>
      <c r="C2686">
        <v>4</v>
      </c>
      <c r="D2686">
        <v>23756</v>
      </c>
      <c r="E2686">
        <v>88</v>
      </c>
      <c r="F2686">
        <v>14324.14</v>
      </c>
      <c r="G2686">
        <v>7026.68</v>
      </c>
      <c r="H2686" t="str">
        <f>VLOOKUP(myynnit[[#This Row],[TuoteID]],ohjaus!$A$4:$B$20,2,FALSE)</f>
        <v>Pianotuoli</v>
      </c>
    </row>
    <row r="2687" spans="1:8" x14ac:dyDescent="0.35">
      <c r="A2687" t="s">
        <v>40</v>
      </c>
      <c r="B2687">
        <v>2015</v>
      </c>
      <c r="C2687">
        <v>4</v>
      </c>
      <c r="D2687">
        <v>24326</v>
      </c>
      <c r="E2687">
        <v>18</v>
      </c>
      <c r="F2687">
        <v>2458.52</v>
      </c>
      <c r="G2687">
        <v>692.26</v>
      </c>
      <c r="H2687" t="str">
        <f>VLOOKUP(myynnit[[#This Row],[TuoteID]],ohjaus!$A$4:$B$20,2,FALSE)</f>
        <v>Lepotuoli</v>
      </c>
    </row>
    <row r="2688" spans="1:8" x14ac:dyDescent="0.35">
      <c r="A2688" t="s">
        <v>39</v>
      </c>
      <c r="B2688">
        <v>2015</v>
      </c>
      <c r="C2688">
        <v>4</v>
      </c>
      <c r="D2688">
        <v>12184</v>
      </c>
      <c r="E2688">
        <v>101</v>
      </c>
      <c r="F2688">
        <v>16120.31</v>
      </c>
      <c r="G2688">
        <v>10131.68</v>
      </c>
      <c r="H2688" t="str">
        <f>VLOOKUP(myynnit[[#This Row],[TuoteID]],ohjaus!$A$4:$B$20,2,FALSE)</f>
        <v>Rahi</v>
      </c>
    </row>
    <row r="2689" spans="1:8" x14ac:dyDescent="0.35">
      <c r="A2689" t="s">
        <v>39</v>
      </c>
      <c r="B2689">
        <v>2015</v>
      </c>
      <c r="C2689">
        <v>4</v>
      </c>
      <c r="D2689">
        <v>12622</v>
      </c>
      <c r="E2689">
        <v>27</v>
      </c>
      <c r="F2689">
        <v>7419.05</v>
      </c>
      <c r="G2689">
        <v>4567.13</v>
      </c>
      <c r="H2689" t="str">
        <f>VLOOKUP(myynnit[[#This Row],[TuoteID]],ohjaus!$A$4:$B$20,2,FALSE)</f>
        <v>Pianotuoli</v>
      </c>
    </row>
    <row r="2690" spans="1:8" x14ac:dyDescent="0.35">
      <c r="A2690" t="s">
        <v>39</v>
      </c>
      <c r="B2690">
        <v>2015</v>
      </c>
      <c r="C2690">
        <v>4</v>
      </c>
      <c r="D2690">
        <v>13527</v>
      </c>
      <c r="E2690">
        <v>339</v>
      </c>
      <c r="F2690">
        <v>56977</v>
      </c>
      <c r="G2690">
        <v>13308.9</v>
      </c>
      <c r="H2690" t="str">
        <f>VLOOKUP(myynnit[[#This Row],[TuoteID]],ohjaus!$A$4:$B$20,2,FALSE)</f>
        <v>Pinnatuoli</v>
      </c>
    </row>
    <row r="2691" spans="1:8" x14ac:dyDescent="0.35">
      <c r="A2691" t="s">
        <v>39</v>
      </c>
      <c r="B2691">
        <v>2015</v>
      </c>
      <c r="C2691">
        <v>4</v>
      </c>
      <c r="D2691">
        <v>13618</v>
      </c>
      <c r="E2691">
        <v>28</v>
      </c>
      <c r="F2691">
        <v>12987.9</v>
      </c>
      <c r="G2691">
        <v>6254.93</v>
      </c>
      <c r="H2691" t="str">
        <f>VLOOKUP(myynnit[[#This Row],[TuoteID]],ohjaus!$A$4:$B$20,2,FALSE)</f>
        <v>Pianotuoli</v>
      </c>
    </row>
    <row r="2692" spans="1:8" x14ac:dyDescent="0.35">
      <c r="A2692" t="s">
        <v>39</v>
      </c>
      <c r="B2692">
        <v>2015</v>
      </c>
      <c r="C2692">
        <v>4</v>
      </c>
      <c r="D2692">
        <v>16024</v>
      </c>
      <c r="E2692">
        <v>323</v>
      </c>
      <c r="F2692">
        <v>140346.68</v>
      </c>
      <c r="G2692">
        <v>46302.09</v>
      </c>
      <c r="H2692" t="str">
        <f>VLOOKUP(myynnit[[#This Row],[TuoteID]],ohjaus!$A$4:$B$20,2,FALSE)</f>
        <v>Työtuoli</v>
      </c>
    </row>
    <row r="2693" spans="1:8" x14ac:dyDescent="0.35">
      <c r="A2693" t="s">
        <v>39</v>
      </c>
      <c r="B2693">
        <v>2015</v>
      </c>
      <c r="C2693">
        <v>4</v>
      </c>
      <c r="D2693">
        <v>16650</v>
      </c>
      <c r="E2693">
        <v>32</v>
      </c>
      <c r="F2693">
        <v>4149.1499999999996</v>
      </c>
      <c r="G2693">
        <v>3210.98</v>
      </c>
      <c r="H2693" t="str">
        <f>VLOOKUP(myynnit[[#This Row],[TuoteID]],ohjaus!$A$4:$B$20,2,FALSE)</f>
        <v>Rahi</v>
      </c>
    </row>
    <row r="2694" spans="1:8" x14ac:dyDescent="0.35">
      <c r="A2694" t="s">
        <v>39</v>
      </c>
      <c r="B2694">
        <v>2015</v>
      </c>
      <c r="C2694">
        <v>4</v>
      </c>
      <c r="D2694">
        <v>17892</v>
      </c>
      <c r="E2694">
        <v>126</v>
      </c>
      <c r="F2694">
        <v>20132.5</v>
      </c>
      <c r="G2694">
        <v>6683.79</v>
      </c>
      <c r="H2694" t="str">
        <f>VLOOKUP(myynnit[[#This Row],[TuoteID]],ohjaus!$A$4:$B$20,2,FALSE)</f>
        <v>Lepotuoli</v>
      </c>
    </row>
    <row r="2695" spans="1:8" x14ac:dyDescent="0.35">
      <c r="A2695" t="s">
        <v>39</v>
      </c>
      <c r="B2695">
        <v>2015</v>
      </c>
      <c r="C2695">
        <v>4</v>
      </c>
      <c r="D2695">
        <v>18342</v>
      </c>
      <c r="E2695">
        <v>150</v>
      </c>
      <c r="F2695">
        <v>128026.07</v>
      </c>
      <c r="G2695">
        <v>41419.43</v>
      </c>
      <c r="H2695" t="str">
        <f>VLOOKUP(myynnit[[#This Row],[TuoteID]],ohjaus!$A$4:$B$20,2,FALSE)</f>
        <v>Työtuoli</v>
      </c>
    </row>
    <row r="2696" spans="1:8" x14ac:dyDescent="0.35">
      <c r="A2696" t="s">
        <v>39</v>
      </c>
      <c r="B2696">
        <v>2015</v>
      </c>
      <c r="C2696">
        <v>4</v>
      </c>
      <c r="D2696">
        <v>20177</v>
      </c>
      <c r="E2696">
        <v>50</v>
      </c>
      <c r="F2696">
        <v>6106.8</v>
      </c>
      <c r="G2696">
        <v>2655.68</v>
      </c>
      <c r="H2696" t="str">
        <f>VLOOKUP(myynnit[[#This Row],[TuoteID]],ohjaus!$A$4:$B$20,2,FALSE)</f>
        <v>Säkkituoli</v>
      </c>
    </row>
    <row r="2697" spans="1:8" x14ac:dyDescent="0.35">
      <c r="A2697" t="s">
        <v>39</v>
      </c>
      <c r="B2697">
        <v>2015</v>
      </c>
      <c r="C2697">
        <v>4</v>
      </c>
      <c r="D2697">
        <v>21179</v>
      </c>
      <c r="E2697">
        <v>59</v>
      </c>
      <c r="F2697">
        <v>9101.42</v>
      </c>
      <c r="G2697">
        <v>5809.31</v>
      </c>
      <c r="H2697" t="str">
        <f>VLOOKUP(myynnit[[#This Row],[TuoteID]],ohjaus!$A$4:$B$20,2,FALSE)</f>
        <v>Rahi</v>
      </c>
    </row>
    <row r="2698" spans="1:8" x14ac:dyDescent="0.35">
      <c r="A2698" t="s">
        <v>39</v>
      </c>
      <c r="B2698">
        <v>2015</v>
      </c>
      <c r="C2698">
        <v>4</v>
      </c>
      <c r="D2698">
        <v>21260</v>
      </c>
      <c r="E2698">
        <v>32</v>
      </c>
      <c r="F2698">
        <v>5810</v>
      </c>
      <c r="G2698">
        <v>1640.49</v>
      </c>
      <c r="H2698" t="str">
        <f>VLOOKUP(myynnit[[#This Row],[TuoteID]],ohjaus!$A$4:$B$20,2,FALSE)</f>
        <v>Lepotuoli</v>
      </c>
    </row>
    <row r="2699" spans="1:8" x14ac:dyDescent="0.35">
      <c r="A2699" t="s">
        <v>39</v>
      </c>
      <c r="B2699">
        <v>2015</v>
      </c>
      <c r="C2699">
        <v>4</v>
      </c>
      <c r="D2699">
        <v>22317</v>
      </c>
      <c r="E2699">
        <v>49</v>
      </c>
      <c r="F2699">
        <v>5045.4399999999996</v>
      </c>
      <c r="G2699">
        <v>2315.3000000000002</v>
      </c>
      <c r="H2699" t="str">
        <f>VLOOKUP(myynnit[[#This Row],[TuoteID]],ohjaus!$A$4:$B$20,2,FALSE)</f>
        <v>Säkkituoli</v>
      </c>
    </row>
    <row r="2700" spans="1:8" x14ac:dyDescent="0.35">
      <c r="A2700" t="s">
        <v>39</v>
      </c>
      <c r="B2700">
        <v>2015</v>
      </c>
      <c r="C2700">
        <v>4</v>
      </c>
      <c r="D2700">
        <v>22940</v>
      </c>
      <c r="E2700">
        <v>461</v>
      </c>
      <c r="F2700">
        <v>65235.87</v>
      </c>
      <c r="G2700">
        <v>17145.759999999998</v>
      </c>
      <c r="H2700" t="str">
        <f>VLOOKUP(myynnit[[#This Row],[TuoteID]],ohjaus!$A$4:$B$20,2,FALSE)</f>
        <v>Pinnatuoli</v>
      </c>
    </row>
    <row r="2701" spans="1:8" x14ac:dyDescent="0.35">
      <c r="A2701" t="s">
        <v>39</v>
      </c>
      <c r="B2701">
        <v>2015</v>
      </c>
      <c r="C2701">
        <v>4</v>
      </c>
      <c r="D2701">
        <v>23178</v>
      </c>
      <c r="E2701">
        <v>120</v>
      </c>
      <c r="F2701">
        <v>22541.79</v>
      </c>
      <c r="G2701">
        <v>6202.38</v>
      </c>
      <c r="H2701" t="str">
        <f>VLOOKUP(myynnit[[#This Row],[TuoteID]],ohjaus!$A$4:$B$20,2,FALSE)</f>
        <v>Pinnatuoli</v>
      </c>
    </row>
    <row r="2702" spans="1:8" x14ac:dyDescent="0.35">
      <c r="A2702" t="s">
        <v>39</v>
      </c>
      <c r="B2702">
        <v>2015</v>
      </c>
      <c r="C2702">
        <v>4</v>
      </c>
      <c r="D2702">
        <v>23600</v>
      </c>
      <c r="E2702">
        <v>586</v>
      </c>
      <c r="F2702">
        <v>63555.77</v>
      </c>
      <c r="G2702">
        <v>17004.04</v>
      </c>
      <c r="H2702" t="str">
        <f>VLOOKUP(myynnit[[#This Row],[TuoteID]],ohjaus!$A$4:$B$20,2,FALSE)</f>
        <v>Pinnatuoli</v>
      </c>
    </row>
    <row r="2703" spans="1:8" x14ac:dyDescent="0.35">
      <c r="A2703" t="s">
        <v>39</v>
      </c>
      <c r="B2703">
        <v>2015</v>
      </c>
      <c r="C2703">
        <v>4</v>
      </c>
      <c r="D2703">
        <v>23756</v>
      </c>
      <c r="E2703">
        <v>98</v>
      </c>
      <c r="F2703">
        <v>21220.57</v>
      </c>
      <c r="G2703">
        <v>11387.62</v>
      </c>
      <c r="H2703" t="str">
        <f>VLOOKUP(myynnit[[#This Row],[TuoteID]],ohjaus!$A$4:$B$20,2,FALSE)</f>
        <v>Pianotuoli</v>
      </c>
    </row>
    <row r="2704" spans="1:8" x14ac:dyDescent="0.35">
      <c r="A2704" t="s">
        <v>39</v>
      </c>
      <c r="B2704">
        <v>2015</v>
      </c>
      <c r="C2704">
        <v>4</v>
      </c>
      <c r="D2704">
        <v>24326</v>
      </c>
      <c r="E2704">
        <v>119</v>
      </c>
      <c r="F2704">
        <v>15106.01</v>
      </c>
      <c r="G2704">
        <v>4609.75</v>
      </c>
      <c r="H2704" t="str">
        <f>VLOOKUP(myynnit[[#This Row],[TuoteID]],ohjaus!$A$4:$B$20,2,FALSE)</f>
        <v>Lepotuoli</v>
      </c>
    </row>
    <row r="2705" spans="1:8" x14ac:dyDescent="0.35">
      <c r="A2705" t="s">
        <v>38</v>
      </c>
      <c r="B2705">
        <v>2015</v>
      </c>
      <c r="C2705">
        <v>4</v>
      </c>
      <c r="D2705">
        <v>12184</v>
      </c>
      <c r="E2705">
        <v>93</v>
      </c>
      <c r="F2705">
        <v>13202.46</v>
      </c>
      <c r="G2705">
        <v>6698.54</v>
      </c>
      <c r="H2705" t="str">
        <f>VLOOKUP(myynnit[[#This Row],[TuoteID]],ohjaus!$A$4:$B$20,2,FALSE)</f>
        <v>Rahi</v>
      </c>
    </row>
    <row r="2706" spans="1:8" x14ac:dyDescent="0.35">
      <c r="A2706" t="s">
        <v>38</v>
      </c>
      <c r="B2706">
        <v>2015</v>
      </c>
      <c r="C2706">
        <v>4</v>
      </c>
      <c r="D2706">
        <v>12622</v>
      </c>
      <c r="E2706">
        <v>56</v>
      </c>
      <c r="F2706">
        <v>16589.32</v>
      </c>
      <c r="G2706">
        <v>8242.9500000000007</v>
      </c>
      <c r="H2706" t="str">
        <f>VLOOKUP(myynnit[[#This Row],[TuoteID]],ohjaus!$A$4:$B$20,2,FALSE)</f>
        <v>Pianotuoli</v>
      </c>
    </row>
    <row r="2707" spans="1:8" x14ac:dyDescent="0.35">
      <c r="A2707" t="s">
        <v>38</v>
      </c>
      <c r="B2707">
        <v>2015</v>
      </c>
      <c r="C2707">
        <v>4</v>
      </c>
      <c r="D2707">
        <v>13527</v>
      </c>
      <c r="E2707">
        <v>494</v>
      </c>
      <c r="F2707">
        <v>82018.100000000006</v>
      </c>
      <c r="G2707">
        <v>18026.22</v>
      </c>
      <c r="H2707" t="str">
        <f>VLOOKUP(myynnit[[#This Row],[TuoteID]],ohjaus!$A$4:$B$20,2,FALSE)</f>
        <v>Pinnatuoli</v>
      </c>
    </row>
    <row r="2708" spans="1:8" x14ac:dyDescent="0.35">
      <c r="A2708" t="s">
        <v>38</v>
      </c>
      <c r="B2708">
        <v>2015</v>
      </c>
      <c r="C2708">
        <v>4</v>
      </c>
      <c r="D2708">
        <v>13618</v>
      </c>
      <c r="E2708">
        <v>6</v>
      </c>
      <c r="F2708">
        <v>2589.15</v>
      </c>
      <c r="G2708">
        <v>1388.94</v>
      </c>
      <c r="H2708" t="str">
        <f>VLOOKUP(myynnit[[#This Row],[TuoteID]],ohjaus!$A$4:$B$20,2,FALSE)</f>
        <v>Pianotuoli</v>
      </c>
    </row>
    <row r="2709" spans="1:8" x14ac:dyDescent="0.35">
      <c r="A2709" t="s">
        <v>38</v>
      </c>
      <c r="B2709">
        <v>2015</v>
      </c>
      <c r="C2709">
        <v>4</v>
      </c>
      <c r="D2709">
        <v>16024</v>
      </c>
      <c r="E2709">
        <v>130</v>
      </c>
      <c r="F2709">
        <v>57435.96</v>
      </c>
      <c r="G2709">
        <v>12931.64</v>
      </c>
      <c r="H2709" t="str">
        <f>VLOOKUP(myynnit[[#This Row],[TuoteID]],ohjaus!$A$4:$B$20,2,FALSE)</f>
        <v>Työtuoli</v>
      </c>
    </row>
    <row r="2710" spans="1:8" x14ac:dyDescent="0.35">
      <c r="A2710" t="s">
        <v>38</v>
      </c>
      <c r="B2710">
        <v>2015</v>
      </c>
      <c r="C2710">
        <v>4</v>
      </c>
      <c r="D2710">
        <v>16650</v>
      </c>
      <c r="E2710">
        <v>24</v>
      </c>
      <c r="F2710">
        <v>3397.38</v>
      </c>
      <c r="G2710">
        <v>1817.25</v>
      </c>
      <c r="H2710" t="str">
        <f>VLOOKUP(myynnit[[#This Row],[TuoteID]],ohjaus!$A$4:$B$20,2,FALSE)</f>
        <v>Rahi</v>
      </c>
    </row>
    <row r="2711" spans="1:8" x14ac:dyDescent="0.35">
      <c r="A2711" t="s">
        <v>38</v>
      </c>
      <c r="B2711">
        <v>2015</v>
      </c>
      <c r="C2711">
        <v>4</v>
      </c>
      <c r="D2711">
        <v>17892</v>
      </c>
      <c r="E2711">
        <v>56</v>
      </c>
      <c r="F2711">
        <v>7894.83</v>
      </c>
      <c r="G2711">
        <v>1981.16</v>
      </c>
      <c r="H2711" t="str">
        <f>VLOOKUP(myynnit[[#This Row],[TuoteID]],ohjaus!$A$4:$B$20,2,FALSE)</f>
        <v>Lepotuoli</v>
      </c>
    </row>
    <row r="2712" spans="1:8" x14ac:dyDescent="0.35">
      <c r="A2712" t="s">
        <v>38</v>
      </c>
      <c r="B2712">
        <v>2015</v>
      </c>
      <c r="C2712">
        <v>4</v>
      </c>
      <c r="D2712">
        <v>18342</v>
      </c>
      <c r="E2712">
        <v>138</v>
      </c>
      <c r="F2712">
        <v>113880.53</v>
      </c>
      <c r="G2712">
        <v>25356.74</v>
      </c>
      <c r="H2712" t="str">
        <f>VLOOKUP(myynnit[[#This Row],[TuoteID]],ohjaus!$A$4:$B$20,2,FALSE)</f>
        <v>Työtuoli</v>
      </c>
    </row>
    <row r="2713" spans="1:8" x14ac:dyDescent="0.35">
      <c r="A2713" t="s">
        <v>38</v>
      </c>
      <c r="B2713">
        <v>2015</v>
      </c>
      <c r="C2713">
        <v>4</v>
      </c>
      <c r="D2713">
        <v>20177</v>
      </c>
      <c r="E2713">
        <v>78</v>
      </c>
      <c r="F2713">
        <v>8341.07</v>
      </c>
      <c r="G2713">
        <v>2993.86</v>
      </c>
      <c r="H2713" t="str">
        <f>VLOOKUP(myynnit[[#This Row],[TuoteID]],ohjaus!$A$4:$B$20,2,FALSE)</f>
        <v>Säkkituoli</v>
      </c>
    </row>
    <row r="2714" spans="1:8" x14ac:dyDescent="0.35">
      <c r="A2714" t="s">
        <v>38</v>
      </c>
      <c r="B2714">
        <v>2015</v>
      </c>
      <c r="C2714">
        <v>4</v>
      </c>
      <c r="D2714">
        <v>21179</v>
      </c>
      <c r="E2714">
        <v>45</v>
      </c>
      <c r="F2714">
        <v>4538.91</v>
      </c>
      <c r="G2714">
        <v>2282.86</v>
      </c>
      <c r="H2714" t="str">
        <f>VLOOKUP(myynnit[[#This Row],[TuoteID]],ohjaus!$A$4:$B$20,2,FALSE)</f>
        <v>Rahi</v>
      </c>
    </row>
    <row r="2715" spans="1:8" x14ac:dyDescent="0.35">
      <c r="A2715" t="s">
        <v>38</v>
      </c>
      <c r="B2715">
        <v>2015</v>
      </c>
      <c r="C2715">
        <v>4</v>
      </c>
      <c r="D2715">
        <v>21260</v>
      </c>
      <c r="E2715">
        <v>49</v>
      </c>
      <c r="F2715">
        <v>9113.23</v>
      </c>
      <c r="G2715">
        <v>2118.61</v>
      </c>
      <c r="H2715" t="str">
        <f>VLOOKUP(myynnit[[#This Row],[TuoteID]],ohjaus!$A$4:$B$20,2,FALSE)</f>
        <v>Lepotuoli</v>
      </c>
    </row>
    <row r="2716" spans="1:8" x14ac:dyDescent="0.35">
      <c r="A2716" t="s">
        <v>38</v>
      </c>
      <c r="B2716">
        <v>2015</v>
      </c>
      <c r="C2716">
        <v>4</v>
      </c>
      <c r="D2716">
        <v>22317</v>
      </c>
      <c r="E2716">
        <v>79</v>
      </c>
      <c r="F2716">
        <v>6825.55</v>
      </c>
      <c r="G2716">
        <v>2889.19</v>
      </c>
      <c r="H2716" t="str">
        <f>VLOOKUP(myynnit[[#This Row],[TuoteID]],ohjaus!$A$4:$B$20,2,FALSE)</f>
        <v>Säkkituoli</v>
      </c>
    </row>
    <row r="2717" spans="1:8" x14ac:dyDescent="0.35">
      <c r="A2717" t="s">
        <v>38</v>
      </c>
      <c r="B2717">
        <v>2015</v>
      </c>
      <c r="C2717">
        <v>4</v>
      </c>
      <c r="D2717">
        <v>22940</v>
      </c>
      <c r="E2717">
        <v>369</v>
      </c>
      <c r="F2717">
        <v>50942.45</v>
      </c>
      <c r="G2717">
        <v>11462.85</v>
      </c>
      <c r="H2717" t="str">
        <f>VLOOKUP(myynnit[[#This Row],[TuoteID]],ohjaus!$A$4:$B$20,2,FALSE)</f>
        <v>Pinnatuoli</v>
      </c>
    </row>
    <row r="2718" spans="1:8" x14ac:dyDescent="0.35">
      <c r="A2718" t="s">
        <v>38</v>
      </c>
      <c r="B2718">
        <v>2015</v>
      </c>
      <c r="C2718">
        <v>4</v>
      </c>
      <c r="D2718">
        <v>23178</v>
      </c>
      <c r="E2718">
        <v>298</v>
      </c>
      <c r="F2718">
        <v>56053.87</v>
      </c>
      <c r="G2718">
        <v>10476.65</v>
      </c>
      <c r="H2718" t="str">
        <f>VLOOKUP(myynnit[[#This Row],[TuoteID]],ohjaus!$A$4:$B$20,2,FALSE)</f>
        <v>Pinnatuoli</v>
      </c>
    </row>
    <row r="2719" spans="1:8" x14ac:dyDescent="0.35">
      <c r="A2719" t="s">
        <v>38</v>
      </c>
      <c r="B2719">
        <v>2015</v>
      </c>
      <c r="C2719">
        <v>4</v>
      </c>
      <c r="D2719">
        <v>23600</v>
      </c>
      <c r="E2719">
        <v>569</v>
      </c>
      <c r="F2719">
        <v>58759.65</v>
      </c>
      <c r="G2719">
        <v>13572.08</v>
      </c>
      <c r="H2719" t="str">
        <f>VLOOKUP(myynnit[[#This Row],[TuoteID]],ohjaus!$A$4:$B$20,2,FALSE)</f>
        <v>Pinnatuoli</v>
      </c>
    </row>
    <row r="2720" spans="1:8" x14ac:dyDescent="0.35">
      <c r="A2720" t="s">
        <v>38</v>
      </c>
      <c r="B2720">
        <v>2015</v>
      </c>
      <c r="C2720">
        <v>4</v>
      </c>
      <c r="D2720">
        <v>23756</v>
      </c>
      <c r="E2720">
        <v>52</v>
      </c>
      <c r="F2720">
        <v>8738.66</v>
      </c>
      <c r="G2720">
        <v>4233.82</v>
      </c>
      <c r="H2720" t="str">
        <f>VLOOKUP(myynnit[[#This Row],[TuoteID]],ohjaus!$A$4:$B$20,2,FALSE)</f>
        <v>Pianotuoli</v>
      </c>
    </row>
    <row r="2721" spans="1:8" x14ac:dyDescent="0.35">
      <c r="A2721" t="s">
        <v>38</v>
      </c>
      <c r="B2721">
        <v>2015</v>
      </c>
      <c r="C2721">
        <v>4</v>
      </c>
      <c r="D2721">
        <v>24326</v>
      </c>
      <c r="E2721">
        <v>131</v>
      </c>
      <c r="F2721">
        <v>18376</v>
      </c>
      <c r="G2721">
        <v>4109.53</v>
      </c>
      <c r="H2721" t="str">
        <f>VLOOKUP(myynnit[[#This Row],[TuoteID]],ohjaus!$A$4:$B$20,2,FALSE)</f>
        <v>Lepotuoli</v>
      </c>
    </row>
    <row r="2722" spans="1:8" x14ac:dyDescent="0.35">
      <c r="A2722" t="s">
        <v>37</v>
      </c>
      <c r="B2722">
        <v>2015</v>
      </c>
      <c r="C2722">
        <v>5</v>
      </c>
      <c r="D2722">
        <v>12184</v>
      </c>
      <c r="E2722">
        <v>51</v>
      </c>
      <c r="F2722">
        <v>6749.21</v>
      </c>
      <c r="G2722">
        <v>3468.18</v>
      </c>
      <c r="H2722" t="str">
        <f>VLOOKUP(myynnit[[#This Row],[TuoteID]],ohjaus!$A$4:$B$20,2,FALSE)</f>
        <v>Rahi</v>
      </c>
    </row>
    <row r="2723" spans="1:8" x14ac:dyDescent="0.35">
      <c r="A2723" t="s">
        <v>37</v>
      </c>
      <c r="B2723">
        <v>2015</v>
      </c>
      <c r="C2723">
        <v>5</v>
      </c>
      <c r="D2723">
        <v>12622</v>
      </c>
      <c r="E2723">
        <v>54</v>
      </c>
      <c r="F2723">
        <v>14837.44</v>
      </c>
      <c r="G2723">
        <v>7812.19</v>
      </c>
      <c r="H2723" t="str">
        <f>VLOOKUP(myynnit[[#This Row],[TuoteID]],ohjaus!$A$4:$B$20,2,FALSE)</f>
        <v>Pianotuoli</v>
      </c>
    </row>
    <row r="2724" spans="1:8" x14ac:dyDescent="0.35">
      <c r="A2724" t="s">
        <v>37</v>
      </c>
      <c r="B2724">
        <v>2015</v>
      </c>
      <c r="C2724">
        <v>5</v>
      </c>
      <c r="D2724">
        <v>13527</v>
      </c>
      <c r="E2724">
        <v>317</v>
      </c>
      <c r="F2724">
        <v>50921.35</v>
      </c>
      <c r="G2724">
        <v>11167.58</v>
      </c>
      <c r="H2724" t="str">
        <f>VLOOKUP(myynnit[[#This Row],[TuoteID]],ohjaus!$A$4:$B$20,2,FALSE)</f>
        <v>Pinnatuoli</v>
      </c>
    </row>
    <row r="2725" spans="1:8" x14ac:dyDescent="0.35">
      <c r="A2725" t="s">
        <v>37</v>
      </c>
      <c r="B2725">
        <v>2015</v>
      </c>
      <c r="C2725">
        <v>5</v>
      </c>
      <c r="D2725">
        <v>13618</v>
      </c>
      <c r="E2725">
        <v>25</v>
      </c>
      <c r="F2725">
        <v>9027.33</v>
      </c>
      <c r="G2725">
        <v>4214.29</v>
      </c>
      <c r="H2725" t="str">
        <f>VLOOKUP(myynnit[[#This Row],[TuoteID]],ohjaus!$A$4:$B$20,2,FALSE)</f>
        <v>Pianotuoli</v>
      </c>
    </row>
    <row r="2726" spans="1:8" x14ac:dyDescent="0.35">
      <c r="A2726" t="s">
        <v>37</v>
      </c>
      <c r="B2726">
        <v>2015</v>
      </c>
      <c r="C2726">
        <v>5</v>
      </c>
      <c r="D2726">
        <v>16024</v>
      </c>
      <c r="E2726">
        <v>277</v>
      </c>
      <c r="F2726">
        <v>105305.19</v>
      </c>
      <c r="G2726">
        <v>30503.8</v>
      </c>
      <c r="H2726" t="str">
        <f>VLOOKUP(myynnit[[#This Row],[TuoteID]],ohjaus!$A$4:$B$20,2,FALSE)</f>
        <v>Työtuoli</v>
      </c>
    </row>
    <row r="2727" spans="1:8" x14ac:dyDescent="0.35">
      <c r="A2727" t="s">
        <v>37</v>
      </c>
      <c r="B2727">
        <v>2015</v>
      </c>
      <c r="C2727">
        <v>5</v>
      </c>
      <c r="D2727">
        <v>16650</v>
      </c>
      <c r="E2727">
        <v>34</v>
      </c>
      <c r="F2727">
        <v>4447.1499999999996</v>
      </c>
      <c r="G2727">
        <v>1937.75</v>
      </c>
      <c r="H2727" t="str">
        <f>VLOOKUP(myynnit[[#This Row],[TuoteID]],ohjaus!$A$4:$B$20,2,FALSE)</f>
        <v>Rahi</v>
      </c>
    </row>
    <row r="2728" spans="1:8" x14ac:dyDescent="0.35">
      <c r="A2728" t="s">
        <v>37</v>
      </c>
      <c r="B2728">
        <v>2015</v>
      </c>
      <c r="C2728">
        <v>5</v>
      </c>
      <c r="D2728">
        <v>17892</v>
      </c>
      <c r="E2728">
        <v>163</v>
      </c>
      <c r="F2728">
        <v>21586.639999999999</v>
      </c>
      <c r="G2728">
        <v>6716.79</v>
      </c>
      <c r="H2728" t="str">
        <f>VLOOKUP(myynnit[[#This Row],[TuoteID]],ohjaus!$A$4:$B$20,2,FALSE)</f>
        <v>Lepotuoli</v>
      </c>
    </row>
    <row r="2729" spans="1:8" x14ac:dyDescent="0.35">
      <c r="A2729" t="s">
        <v>37</v>
      </c>
      <c r="B2729">
        <v>2015</v>
      </c>
      <c r="C2729">
        <v>5</v>
      </c>
      <c r="D2729">
        <v>18342</v>
      </c>
      <c r="E2729">
        <v>177</v>
      </c>
      <c r="F2729">
        <v>162792.9</v>
      </c>
      <c r="G2729">
        <v>43512.72</v>
      </c>
      <c r="H2729" t="str">
        <f>VLOOKUP(myynnit[[#This Row],[TuoteID]],ohjaus!$A$4:$B$20,2,FALSE)</f>
        <v>Työtuoli</v>
      </c>
    </row>
    <row r="2730" spans="1:8" x14ac:dyDescent="0.35">
      <c r="A2730" t="s">
        <v>37</v>
      </c>
      <c r="B2730">
        <v>2015</v>
      </c>
      <c r="C2730">
        <v>5</v>
      </c>
      <c r="D2730">
        <v>20177</v>
      </c>
      <c r="E2730">
        <v>98</v>
      </c>
      <c r="F2730">
        <v>10679.12</v>
      </c>
      <c r="G2730">
        <v>3571.63</v>
      </c>
      <c r="H2730" t="str">
        <f>VLOOKUP(myynnit[[#This Row],[TuoteID]],ohjaus!$A$4:$B$20,2,FALSE)</f>
        <v>Säkkituoli</v>
      </c>
    </row>
    <row r="2731" spans="1:8" x14ac:dyDescent="0.35">
      <c r="A2731" t="s">
        <v>37</v>
      </c>
      <c r="B2731">
        <v>2015</v>
      </c>
      <c r="C2731">
        <v>5</v>
      </c>
      <c r="D2731">
        <v>21179</v>
      </c>
      <c r="E2731">
        <v>32</v>
      </c>
      <c r="F2731">
        <v>4236.74</v>
      </c>
      <c r="G2731">
        <v>2013.89</v>
      </c>
      <c r="H2731" t="str">
        <f>VLOOKUP(myynnit[[#This Row],[TuoteID]],ohjaus!$A$4:$B$20,2,FALSE)</f>
        <v>Rahi</v>
      </c>
    </row>
    <row r="2732" spans="1:8" x14ac:dyDescent="0.35">
      <c r="A2732" t="s">
        <v>37</v>
      </c>
      <c r="B2732">
        <v>2015</v>
      </c>
      <c r="C2732">
        <v>5</v>
      </c>
      <c r="D2732">
        <v>21260</v>
      </c>
      <c r="E2732">
        <v>77</v>
      </c>
      <c r="F2732">
        <v>16466.32</v>
      </c>
      <c r="G2732">
        <v>4124.43</v>
      </c>
      <c r="H2732" t="str">
        <f>VLOOKUP(myynnit[[#This Row],[TuoteID]],ohjaus!$A$4:$B$20,2,FALSE)</f>
        <v>Lepotuoli</v>
      </c>
    </row>
    <row r="2733" spans="1:8" x14ac:dyDescent="0.35">
      <c r="A2733" t="s">
        <v>37</v>
      </c>
      <c r="B2733">
        <v>2015</v>
      </c>
      <c r="C2733">
        <v>5</v>
      </c>
      <c r="D2733">
        <v>22317</v>
      </c>
      <c r="E2733">
        <v>46</v>
      </c>
      <c r="F2733">
        <v>4403.24</v>
      </c>
      <c r="G2733">
        <v>1551.55</v>
      </c>
      <c r="H2733" t="str">
        <f>VLOOKUP(myynnit[[#This Row],[TuoteID]],ohjaus!$A$4:$B$20,2,FALSE)</f>
        <v>Säkkituoli</v>
      </c>
    </row>
    <row r="2734" spans="1:8" x14ac:dyDescent="0.35">
      <c r="A2734" t="s">
        <v>37</v>
      </c>
      <c r="B2734">
        <v>2015</v>
      </c>
      <c r="C2734">
        <v>5</v>
      </c>
      <c r="D2734">
        <v>22940</v>
      </c>
      <c r="E2734">
        <v>760</v>
      </c>
      <c r="F2734">
        <v>95688.97</v>
      </c>
      <c r="G2734">
        <v>15754.93</v>
      </c>
      <c r="H2734" t="str">
        <f>VLOOKUP(myynnit[[#This Row],[TuoteID]],ohjaus!$A$4:$B$20,2,FALSE)</f>
        <v>Pinnatuoli</v>
      </c>
    </row>
    <row r="2735" spans="1:8" x14ac:dyDescent="0.35">
      <c r="A2735" t="s">
        <v>37</v>
      </c>
      <c r="B2735">
        <v>2015</v>
      </c>
      <c r="C2735">
        <v>5</v>
      </c>
      <c r="D2735">
        <v>23178</v>
      </c>
      <c r="E2735">
        <v>217</v>
      </c>
      <c r="F2735">
        <v>35281.07</v>
      </c>
      <c r="G2735">
        <v>6645.57</v>
      </c>
      <c r="H2735" t="str">
        <f>VLOOKUP(myynnit[[#This Row],[TuoteID]],ohjaus!$A$4:$B$20,2,FALSE)</f>
        <v>Pinnatuoli</v>
      </c>
    </row>
    <row r="2736" spans="1:8" x14ac:dyDescent="0.35">
      <c r="A2736" t="s">
        <v>37</v>
      </c>
      <c r="B2736">
        <v>2015</v>
      </c>
      <c r="C2736">
        <v>5</v>
      </c>
      <c r="D2736">
        <v>23600</v>
      </c>
      <c r="E2736">
        <v>1329</v>
      </c>
      <c r="F2736">
        <v>159439.59</v>
      </c>
      <c r="G2736">
        <v>33747.07</v>
      </c>
      <c r="H2736" t="str">
        <f>VLOOKUP(myynnit[[#This Row],[TuoteID]],ohjaus!$A$4:$B$20,2,FALSE)</f>
        <v>Pinnatuoli</v>
      </c>
    </row>
    <row r="2737" spans="1:8" x14ac:dyDescent="0.35">
      <c r="A2737" t="s">
        <v>37</v>
      </c>
      <c r="B2737">
        <v>2015</v>
      </c>
      <c r="C2737">
        <v>5</v>
      </c>
      <c r="D2737">
        <v>23756</v>
      </c>
      <c r="E2737">
        <v>80</v>
      </c>
      <c r="F2737">
        <v>14883.66</v>
      </c>
      <c r="G2737">
        <v>7112.43</v>
      </c>
      <c r="H2737" t="str">
        <f>VLOOKUP(myynnit[[#This Row],[TuoteID]],ohjaus!$A$4:$B$20,2,FALSE)</f>
        <v>Pianotuoli</v>
      </c>
    </row>
    <row r="2738" spans="1:8" x14ac:dyDescent="0.35">
      <c r="A2738" t="s">
        <v>37</v>
      </c>
      <c r="B2738">
        <v>2015</v>
      </c>
      <c r="C2738">
        <v>5</v>
      </c>
      <c r="D2738">
        <v>24326</v>
      </c>
      <c r="E2738">
        <v>163</v>
      </c>
      <c r="F2738">
        <v>23917</v>
      </c>
      <c r="G2738">
        <v>6733.38</v>
      </c>
      <c r="H2738" t="str">
        <f>VLOOKUP(myynnit[[#This Row],[TuoteID]],ohjaus!$A$4:$B$20,2,FALSE)</f>
        <v>Lepotuoli</v>
      </c>
    </row>
    <row r="2739" spans="1:8" x14ac:dyDescent="0.35">
      <c r="A2739" t="s">
        <v>40</v>
      </c>
      <c r="B2739">
        <v>2015</v>
      </c>
      <c r="C2739">
        <v>5</v>
      </c>
      <c r="D2739">
        <v>12184</v>
      </c>
      <c r="E2739">
        <v>37</v>
      </c>
      <c r="F2739">
        <v>4139.83</v>
      </c>
      <c r="G2739">
        <v>2070.67</v>
      </c>
      <c r="H2739" t="str">
        <f>VLOOKUP(myynnit[[#This Row],[TuoteID]],ohjaus!$A$4:$B$20,2,FALSE)</f>
        <v>Rahi</v>
      </c>
    </row>
    <row r="2740" spans="1:8" x14ac:dyDescent="0.35">
      <c r="A2740" t="s">
        <v>40</v>
      </c>
      <c r="B2740">
        <v>2015</v>
      </c>
      <c r="C2740">
        <v>5</v>
      </c>
      <c r="D2740">
        <v>12622</v>
      </c>
      <c r="E2740">
        <v>9</v>
      </c>
      <c r="F2740">
        <v>2424.2800000000002</v>
      </c>
      <c r="G2740">
        <v>1135.43</v>
      </c>
      <c r="H2740" t="str">
        <f>VLOOKUP(myynnit[[#This Row],[TuoteID]],ohjaus!$A$4:$B$20,2,FALSE)</f>
        <v>Pianotuoli</v>
      </c>
    </row>
    <row r="2741" spans="1:8" x14ac:dyDescent="0.35">
      <c r="A2741" t="s">
        <v>40</v>
      </c>
      <c r="B2741">
        <v>2015</v>
      </c>
      <c r="C2741">
        <v>5</v>
      </c>
      <c r="D2741">
        <v>13527</v>
      </c>
      <c r="E2741">
        <v>361</v>
      </c>
      <c r="F2741">
        <v>58357.05</v>
      </c>
      <c r="G2741">
        <v>11785.43</v>
      </c>
      <c r="H2741" t="str">
        <f>VLOOKUP(myynnit[[#This Row],[TuoteID]],ohjaus!$A$4:$B$20,2,FALSE)</f>
        <v>Pinnatuoli</v>
      </c>
    </row>
    <row r="2742" spans="1:8" x14ac:dyDescent="0.35">
      <c r="A2742" t="s">
        <v>40</v>
      </c>
      <c r="B2742">
        <v>2015</v>
      </c>
      <c r="C2742">
        <v>5</v>
      </c>
      <c r="D2742">
        <v>13618</v>
      </c>
      <c r="E2742">
        <v>3</v>
      </c>
      <c r="F2742">
        <v>1338.52</v>
      </c>
      <c r="G2742">
        <v>567.39</v>
      </c>
      <c r="H2742" t="str">
        <f>VLOOKUP(myynnit[[#This Row],[TuoteID]],ohjaus!$A$4:$B$20,2,FALSE)</f>
        <v>Pianotuoli</v>
      </c>
    </row>
    <row r="2743" spans="1:8" x14ac:dyDescent="0.35">
      <c r="A2743" t="s">
        <v>40</v>
      </c>
      <c r="B2743">
        <v>2015</v>
      </c>
      <c r="C2743">
        <v>5</v>
      </c>
      <c r="D2743">
        <v>16024</v>
      </c>
      <c r="E2743">
        <v>202</v>
      </c>
      <c r="F2743">
        <v>95163.66</v>
      </c>
      <c r="G2743">
        <v>31185.360000000001</v>
      </c>
      <c r="H2743" t="str">
        <f>VLOOKUP(myynnit[[#This Row],[TuoteID]],ohjaus!$A$4:$B$20,2,FALSE)</f>
        <v>Työtuoli</v>
      </c>
    </row>
    <row r="2744" spans="1:8" x14ac:dyDescent="0.35">
      <c r="A2744" t="s">
        <v>40</v>
      </c>
      <c r="B2744">
        <v>2015</v>
      </c>
      <c r="C2744">
        <v>5</v>
      </c>
      <c r="D2744">
        <v>16650</v>
      </c>
      <c r="E2744">
        <v>22</v>
      </c>
      <c r="F2744">
        <v>2938.03</v>
      </c>
      <c r="G2744">
        <v>1616.02</v>
      </c>
      <c r="H2744" t="str">
        <f>VLOOKUP(myynnit[[#This Row],[TuoteID]],ohjaus!$A$4:$B$20,2,FALSE)</f>
        <v>Rahi</v>
      </c>
    </row>
    <row r="2745" spans="1:8" x14ac:dyDescent="0.35">
      <c r="A2745" t="s">
        <v>40</v>
      </c>
      <c r="B2745">
        <v>2015</v>
      </c>
      <c r="C2745">
        <v>5</v>
      </c>
      <c r="D2745">
        <v>17892</v>
      </c>
      <c r="E2745">
        <v>45</v>
      </c>
      <c r="F2745">
        <v>6629.04</v>
      </c>
      <c r="G2745">
        <v>1379.85</v>
      </c>
      <c r="H2745" t="str">
        <f>VLOOKUP(myynnit[[#This Row],[TuoteID]],ohjaus!$A$4:$B$20,2,FALSE)</f>
        <v>Lepotuoli</v>
      </c>
    </row>
    <row r="2746" spans="1:8" x14ac:dyDescent="0.35">
      <c r="A2746" t="s">
        <v>40</v>
      </c>
      <c r="B2746">
        <v>2015</v>
      </c>
      <c r="C2746">
        <v>5</v>
      </c>
      <c r="D2746">
        <v>18342</v>
      </c>
      <c r="E2746">
        <v>30</v>
      </c>
      <c r="F2746">
        <v>25647.95</v>
      </c>
      <c r="G2746">
        <v>8884.16</v>
      </c>
      <c r="H2746" t="str">
        <f>VLOOKUP(myynnit[[#This Row],[TuoteID]],ohjaus!$A$4:$B$20,2,FALSE)</f>
        <v>Työtuoli</v>
      </c>
    </row>
    <row r="2747" spans="1:8" x14ac:dyDescent="0.35">
      <c r="A2747" t="s">
        <v>40</v>
      </c>
      <c r="B2747">
        <v>2015</v>
      </c>
      <c r="C2747">
        <v>5</v>
      </c>
      <c r="D2747">
        <v>20177</v>
      </c>
      <c r="E2747">
        <v>18</v>
      </c>
      <c r="F2747">
        <v>1737.12</v>
      </c>
      <c r="G2747">
        <v>768.4</v>
      </c>
      <c r="H2747" t="str">
        <f>VLOOKUP(myynnit[[#This Row],[TuoteID]],ohjaus!$A$4:$B$20,2,FALSE)</f>
        <v>Säkkituoli</v>
      </c>
    </row>
    <row r="2748" spans="1:8" x14ac:dyDescent="0.35">
      <c r="A2748" t="s">
        <v>40</v>
      </c>
      <c r="B2748">
        <v>2015</v>
      </c>
      <c r="C2748">
        <v>5</v>
      </c>
      <c r="D2748">
        <v>21179</v>
      </c>
      <c r="E2748">
        <v>38</v>
      </c>
      <c r="F2748">
        <v>4496.45</v>
      </c>
      <c r="G2748">
        <v>2244.27</v>
      </c>
      <c r="H2748" t="str">
        <f>VLOOKUP(myynnit[[#This Row],[TuoteID]],ohjaus!$A$4:$B$20,2,FALSE)</f>
        <v>Rahi</v>
      </c>
    </row>
    <row r="2749" spans="1:8" x14ac:dyDescent="0.35">
      <c r="A2749" t="s">
        <v>40</v>
      </c>
      <c r="B2749">
        <v>2015</v>
      </c>
      <c r="C2749">
        <v>5</v>
      </c>
      <c r="D2749">
        <v>21260</v>
      </c>
      <c r="E2749">
        <v>29</v>
      </c>
      <c r="F2749">
        <v>5482.01</v>
      </c>
      <c r="G2749">
        <v>1242.49</v>
      </c>
      <c r="H2749" t="str">
        <f>VLOOKUP(myynnit[[#This Row],[TuoteID]],ohjaus!$A$4:$B$20,2,FALSE)</f>
        <v>Lepotuoli</v>
      </c>
    </row>
    <row r="2750" spans="1:8" x14ac:dyDescent="0.35">
      <c r="A2750" t="s">
        <v>40</v>
      </c>
      <c r="B2750">
        <v>2015</v>
      </c>
      <c r="C2750">
        <v>5</v>
      </c>
      <c r="D2750">
        <v>22317</v>
      </c>
      <c r="E2750">
        <v>7</v>
      </c>
      <c r="F2750">
        <v>657.18</v>
      </c>
      <c r="G2750">
        <v>285.16000000000003</v>
      </c>
      <c r="H2750" t="str">
        <f>VLOOKUP(myynnit[[#This Row],[TuoteID]],ohjaus!$A$4:$B$20,2,FALSE)</f>
        <v>Säkkituoli</v>
      </c>
    </row>
    <row r="2751" spans="1:8" x14ac:dyDescent="0.35">
      <c r="A2751" t="s">
        <v>40</v>
      </c>
      <c r="B2751">
        <v>2015</v>
      </c>
      <c r="C2751">
        <v>5</v>
      </c>
      <c r="D2751">
        <v>22940</v>
      </c>
      <c r="E2751">
        <v>154</v>
      </c>
      <c r="F2751">
        <v>21070.87</v>
      </c>
      <c r="G2751">
        <v>6278.11</v>
      </c>
      <c r="H2751" t="str">
        <f>VLOOKUP(myynnit[[#This Row],[TuoteID]],ohjaus!$A$4:$B$20,2,FALSE)</f>
        <v>Pinnatuoli</v>
      </c>
    </row>
    <row r="2752" spans="1:8" x14ac:dyDescent="0.35">
      <c r="A2752" t="s">
        <v>40</v>
      </c>
      <c r="B2752">
        <v>2015</v>
      </c>
      <c r="C2752">
        <v>5</v>
      </c>
      <c r="D2752">
        <v>23178</v>
      </c>
      <c r="E2752">
        <v>227</v>
      </c>
      <c r="F2752">
        <v>41126.879999999997</v>
      </c>
      <c r="G2752">
        <v>11066.95</v>
      </c>
      <c r="H2752" t="str">
        <f>VLOOKUP(myynnit[[#This Row],[TuoteID]],ohjaus!$A$4:$B$20,2,FALSE)</f>
        <v>Pinnatuoli</v>
      </c>
    </row>
    <row r="2753" spans="1:8" x14ac:dyDescent="0.35">
      <c r="A2753" t="s">
        <v>40</v>
      </c>
      <c r="B2753">
        <v>2015</v>
      </c>
      <c r="C2753">
        <v>5</v>
      </c>
      <c r="D2753">
        <v>23600</v>
      </c>
      <c r="E2753">
        <v>299</v>
      </c>
      <c r="F2753">
        <v>33435.980000000003</v>
      </c>
      <c r="G2753">
        <v>10398.9</v>
      </c>
      <c r="H2753" t="str">
        <f>VLOOKUP(myynnit[[#This Row],[TuoteID]],ohjaus!$A$4:$B$20,2,FALSE)</f>
        <v>Pinnatuoli</v>
      </c>
    </row>
    <row r="2754" spans="1:8" x14ac:dyDescent="0.35">
      <c r="A2754" t="s">
        <v>40</v>
      </c>
      <c r="B2754">
        <v>2015</v>
      </c>
      <c r="C2754">
        <v>5</v>
      </c>
      <c r="D2754">
        <v>23756</v>
      </c>
      <c r="E2754">
        <v>65</v>
      </c>
      <c r="F2754">
        <v>10157.73</v>
      </c>
      <c r="G2754">
        <v>4977.18</v>
      </c>
      <c r="H2754" t="str">
        <f>VLOOKUP(myynnit[[#This Row],[TuoteID]],ohjaus!$A$4:$B$20,2,FALSE)</f>
        <v>Pianotuoli</v>
      </c>
    </row>
    <row r="2755" spans="1:8" x14ac:dyDescent="0.35">
      <c r="A2755" t="s">
        <v>40</v>
      </c>
      <c r="B2755">
        <v>2015</v>
      </c>
      <c r="C2755">
        <v>5</v>
      </c>
      <c r="D2755">
        <v>24326</v>
      </c>
      <c r="E2755">
        <v>42</v>
      </c>
      <c r="F2755">
        <v>6357.52</v>
      </c>
      <c r="G2755">
        <v>1614.12</v>
      </c>
      <c r="H2755" t="str">
        <f>VLOOKUP(myynnit[[#This Row],[TuoteID]],ohjaus!$A$4:$B$20,2,FALSE)</f>
        <v>Lepotuoli</v>
      </c>
    </row>
    <row r="2756" spans="1:8" x14ac:dyDescent="0.35">
      <c r="A2756" t="s">
        <v>39</v>
      </c>
      <c r="B2756">
        <v>2015</v>
      </c>
      <c r="C2756">
        <v>5</v>
      </c>
      <c r="D2756">
        <v>12184</v>
      </c>
      <c r="E2756">
        <v>90</v>
      </c>
      <c r="F2756">
        <v>11365.02</v>
      </c>
      <c r="G2756">
        <v>7978.16</v>
      </c>
      <c r="H2756" t="str">
        <f>VLOOKUP(myynnit[[#This Row],[TuoteID]],ohjaus!$A$4:$B$20,2,FALSE)</f>
        <v>Rahi</v>
      </c>
    </row>
    <row r="2757" spans="1:8" x14ac:dyDescent="0.35">
      <c r="A2757" t="s">
        <v>39</v>
      </c>
      <c r="B2757">
        <v>2015</v>
      </c>
      <c r="C2757">
        <v>5</v>
      </c>
      <c r="D2757">
        <v>12622</v>
      </c>
      <c r="E2757">
        <v>59</v>
      </c>
      <c r="F2757">
        <v>13607.53</v>
      </c>
      <c r="G2757">
        <v>7103.57</v>
      </c>
      <c r="H2757" t="str">
        <f>VLOOKUP(myynnit[[#This Row],[TuoteID]],ohjaus!$A$4:$B$20,2,FALSE)</f>
        <v>Pianotuoli</v>
      </c>
    </row>
    <row r="2758" spans="1:8" x14ac:dyDescent="0.35">
      <c r="A2758" t="s">
        <v>39</v>
      </c>
      <c r="B2758">
        <v>2015</v>
      </c>
      <c r="C2758">
        <v>5</v>
      </c>
      <c r="D2758">
        <v>13527</v>
      </c>
      <c r="E2758">
        <v>247</v>
      </c>
      <c r="F2758">
        <v>39512.43</v>
      </c>
      <c r="G2758">
        <v>9227.44</v>
      </c>
      <c r="H2758" t="str">
        <f>VLOOKUP(myynnit[[#This Row],[TuoteID]],ohjaus!$A$4:$B$20,2,FALSE)</f>
        <v>Pinnatuoli</v>
      </c>
    </row>
    <row r="2759" spans="1:8" x14ac:dyDescent="0.35">
      <c r="A2759" t="s">
        <v>39</v>
      </c>
      <c r="B2759">
        <v>2015</v>
      </c>
      <c r="C2759">
        <v>5</v>
      </c>
      <c r="D2759">
        <v>13618</v>
      </c>
      <c r="E2759">
        <v>19</v>
      </c>
      <c r="F2759">
        <v>9053.42</v>
      </c>
      <c r="G2759">
        <v>5143.5200000000004</v>
      </c>
      <c r="H2759" t="str">
        <f>VLOOKUP(myynnit[[#This Row],[TuoteID]],ohjaus!$A$4:$B$20,2,FALSE)</f>
        <v>Pianotuoli</v>
      </c>
    </row>
    <row r="2760" spans="1:8" x14ac:dyDescent="0.35">
      <c r="A2760" t="s">
        <v>39</v>
      </c>
      <c r="B2760">
        <v>2015</v>
      </c>
      <c r="C2760">
        <v>5</v>
      </c>
      <c r="D2760">
        <v>16024</v>
      </c>
      <c r="E2760">
        <v>347</v>
      </c>
      <c r="F2760">
        <v>163847.54</v>
      </c>
      <c r="G2760">
        <v>50635.61</v>
      </c>
      <c r="H2760" t="str">
        <f>VLOOKUP(myynnit[[#This Row],[TuoteID]],ohjaus!$A$4:$B$20,2,FALSE)</f>
        <v>Työtuoli</v>
      </c>
    </row>
    <row r="2761" spans="1:8" x14ac:dyDescent="0.35">
      <c r="A2761" t="s">
        <v>39</v>
      </c>
      <c r="B2761">
        <v>2015</v>
      </c>
      <c r="C2761">
        <v>5</v>
      </c>
      <c r="D2761">
        <v>16650</v>
      </c>
      <c r="E2761">
        <v>34</v>
      </c>
      <c r="F2761">
        <v>6576.37</v>
      </c>
      <c r="G2761">
        <v>5095.8900000000003</v>
      </c>
      <c r="H2761" t="str">
        <f>VLOOKUP(myynnit[[#This Row],[TuoteID]],ohjaus!$A$4:$B$20,2,FALSE)</f>
        <v>Rahi</v>
      </c>
    </row>
    <row r="2762" spans="1:8" x14ac:dyDescent="0.35">
      <c r="A2762" t="s">
        <v>39</v>
      </c>
      <c r="B2762">
        <v>2015</v>
      </c>
      <c r="C2762">
        <v>5</v>
      </c>
      <c r="D2762">
        <v>17892</v>
      </c>
      <c r="E2762">
        <v>93</v>
      </c>
      <c r="F2762">
        <v>14026.53</v>
      </c>
      <c r="G2762">
        <v>4137.47</v>
      </c>
      <c r="H2762" t="str">
        <f>VLOOKUP(myynnit[[#This Row],[TuoteID]],ohjaus!$A$4:$B$20,2,FALSE)</f>
        <v>Lepotuoli</v>
      </c>
    </row>
    <row r="2763" spans="1:8" x14ac:dyDescent="0.35">
      <c r="A2763" t="s">
        <v>39</v>
      </c>
      <c r="B2763">
        <v>2015</v>
      </c>
      <c r="C2763">
        <v>5</v>
      </c>
      <c r="D2763">
        <v>18342</v>
      </c>
      <c r="E2763">
        <v>147</v>
      </c>
      <c r="F2763">
        <v>117921.81</v>
      </c>
      <c r="G2763">
        <v>29462.18</v>
      </c>
      <c r="H2763" t="str">
        <f>VLOOKUP(myynnit[[#This Row],[TuoteID]],ohjaus!$A$4:$B$20,2,FALSE)</f>
        <v>Työtuoli</v>
      </c>
    </row>
    <row r="2764" spans="1:8" x14ac:dyDescent="0.35">
      <c r="A2764" t="s">
        <v>39</v>
      </c>
      <c r="B2764">
        <v>2015</v>
      </c>
      <c r="C2764">
        <v>5</v>
      </c>
      <c r="D2764">
        <v>20177</v>
      </c>
      <c r="E2764">
        <v>42</v>
      </c>
      <c r="F2764">
        <v>4206.3</v>
      </c>
      <c r="G2764">
        <v>2037.72</v>
      </c>
      <c r="H2764" t="str">
        <f>VLOOKUP(myynnit[[#This Row],[TuoteID]],ohjaus!$A$4:$B$20,2,FALSE)</f>
        <v>Säkkituoli</v>
      </c>
    </row>
    <row r="2765" spans="1:8" x14ac:dyDescent="0.35">
      <c r="A2765" t="s">
        <v>39</v>
      </c>
      <c r="B2765">
        <v>2015</v>
      </c>
      <c r="C2765">
        <v>5</v>
      </c>
      <c r="D2765">
        <v>21179</v>
      </c>
      <c r="E2765">
        <v>50</v>
      </c>
      <c r="F2765">
        <v>7148.55</v>
      </c>
      <c r="G2765">
        <v>5352.91</v>
      </c>
      <c r="H2765" t="str">
        <f>VLOOKUP(myynnit[[#This Row],[TuoteID]],ohjaus!$A$4:$B$20,2,FALSE)</f>
        <v>Rahi</v>
      </c>
    </row>
    <row r="2766" spans="1:8" x14ac:dyDescent="0.35">
      <c r="A2766" t="s">
        <v>39</v>
      </c>
      <c r="B2766">
        <v>2015</v>
      </c>
      <c r="C2766">
        <v>5</v>
      </c>
      <c r="D2766">
        <v>21260</v>
      </c>
      <c r="E2766">
        <v>66</v>
      </c>
      <c r="F2766">
        <v>13788.3</v>
      </c>
      <c r="G2766">
        <v>3695.62</v>
      </c>
      <c r="H2766" t="str">
        <f>VLOOKUP(myynnit[[#This Row],[TuoteID]],ohjaus!$A$4:$B$20,2,FALSE)</f>
        <v>Lepotuoli</v>
      </c>
    </row>
    <row r="2767" spans="1:8" x14ac:dyDescent="0.35">
      <c r="A2767" t="s">
        <v>39</v>
      </c>
      <c r="B2767">
        <v>2015</v>
      </c>
      <c r="C2767">
        <v>5</v>
      </c>
      <c r="D2767">
        <v>22317</v>
      </c>
      <c r="E2767">
        <v>37</v>
      </c>
      <c r="F2767">
        <v>3646.31</v>
      </c>
      <c r="G2767">
        <v>1676.29</v>
      </c>
      <c r="H2767" t="str">
        <f>VLOOKUP(myynnit[[#This Row],[TuoteID]],ohjaus!$A$4:$B$20,2,FALSE)</f>
        <v>Säkkituoli</v>
      </c>
    </row>
    <row r="2768" spans="1:8" x14ac:dyDescent="0.35">
      <c r="A2768" t="s">
        <v>39</v>
      </c>
      <c r="B2768">
        <v>2015</v>
      </c>
      <c r="C2768">
        <v>5</v>
      </c>
      <c r="D2768">
        <v>22940</v>
      </c>
      <c r="E2768">
        <v>267</v>
      </c>
      <c r="F2768">
        <v>35379.339999999997</v>
      </c>
      <c r="G2768">
        <v>8837.5400000000009</v>
      </c>
      <c r="H2768" t="str">
        <f>VLOOKUP(myynnit[[#This Row],[TuoteID]],ohjaus!$A$4:$B$20,2,FALSE)</f>
        <v>Pinnatuoli</v>
      </c>
    </row>
    <row r="2769" spans="1:8" x14ac:dyDescent="0.35">
      <c r="A2769" t="s">
        <v>39</v>
      </c>
      <c r="B2769">
        <v>2015</v>
      </c>
      <c r="C2769">
        <v>5</v>
      </c>
      <c r="D2769">
        <v>23178</v>
      </c>
      <c r="E2769">
        <v>213</v>
      </c>
      <c r="F2769">
        <v>38351.589999999997</v>
      </c>
      <c r="G2769">
        <v>10957.55</v>
      </c>
      <c r="H2769" t="str">
        <f>VLOOKUP(myynnit[[#This Row],[TuoteID]],ohjaus!$A$4:$B$20,2,FALSE)</f>
        <v>Pinnatuoli</v>
      </c>
    </row>
    <row r="2770" spans="1:8" x14ac:dyDescent="0.35">
      <c r="A2770" t="s">
        <v>39</v>
      </c>
      <c r="B2770">
        <v>2015</v>
      </c>
      <c r="C2770">
        <v>5</v>
      </c>
      <c r="D2770">
        <v>23600</v>
      </c>
      <c r="E2770">
        <v>481</v>
      </c>
      <c r="F2770">
        <v>53237.9</v>
      </c>
      <c r="G2770">
        <v>16899.63</v>
      </c>
      <c r="H2770" t="str">
        <f>VLOOKUP(myynnit[[#This Row],[TuoteID]],ohjaus!$A$4:$B$20,2,FALSE)</f>
        <v>Pinnatuoli</v>
      </c>
    </row>
    <row r="2771" spans="1:8" x14ac:dyDescent="0.35">
      <c r="A2771" t="s">
        <v>39</v>
      </c>
      <c r="B2771">
        <v>2015</v>
      </c>
      <c r="C2771">
        <v>5</v>
      </c>
      <c r="D2771">
        <v>23756</v>
      </c>
      <c r="E2771">
        <v>120</v>
      </c>
      <c r="F2771">
        <v>23460.53</v>
      </c>
      <c r="G2771">
        <v>11535.88</v>
      </c>
      <c r="H2771" t="str">
        <f>VLOOKUP(myynnit[[#This Row],[TuoteID]],ohjaus!$A$4:$B$20,2,FALSE)</f>
        <v>Pianotuoli</v>
      </c>
    </row>
    <row r="2772" spans="1:8" x14ac:dyDescent="0.35">
      <c r="A2772" t="s">
        <v>39</v>
      </c>
      <c r="B2772">
        <v>2015</v>
      </c>
      <c r="C2772">
        <v>5</v>
      </c>
      <c r="D2772">
        <v>24326</v>
      </c>
      <c r="E2772">
        <v>88</v>
      </c>
      <c r="F2772">
        <v>11217.7</v>
      </c>
      <c r="G2772">
        <v>3806.54</v>
      </c>
      <c r="H2772" t="str">
        <f>VLOOKUP(myynnit[[#This Row],[TuoteID]],ohjaus!$A$4:$B$20,2,FALSE)</f>
        <v>Lepotuoli</v>
      </c>
    </row>
    <row r="2773" spans="1:8" x14ac:dyDescent="0.35">
      <c r="A2773" t="s">
        <v>38</v>
      </c>
      <c r="B2773">
        <v>2015</v>
      </c>
      <c r="C2773">
        <v>5</v>
      </c>
      <c r="D2773">
        <v>12184</v>
      </c>
      <c r="E2773">
        <v>63</v>
      </c>
      <c r="F2773">
        <v>8169.73</v>
      </c>
      <c r="G2773">
        <v>4227.3100000000004</v>
      </c>
      <c r="H2773" t="str">
        <f>VLOOKUP(myynnit[[#This Row],[TuoteID]],ohjaus!$A$4:$B$20,2,FALSE)</f>
        <v>Rahi</v>
      </c>
    </row>
    <row r="2774" spans="1:8" x14ac:dyDescent="0.35">
      <c r="A2774" t="s">
        <v>38</v>
      </c>
      <c r="B2774">
        <v>2015</v>
      </c>
      <c r="C2774">
        <v>5</v>
      </c>
      <c r="D2774">
        <v>12622</v>
      </c>
      <c r="E2774">
        <v>56</v>
      </c>
      <c r="F2774">
        <v>16355.71</v>
      </c>
      <c r="G2774">
        <v>7228.57</v>
      </c>
      <c r="H2774" t="str">
        <f>VLOOKUP(myynnit[[#This Row],[TuoteID]],ohjaus!$A$4:$B$20,2,FALSE)</f>
        <v>Pianotuoli</v>
      </c>
    </row>
    <row r="2775" spans="1:8" x14ac:dyDescent="0.35">
      <c r="A2775" t="s">
        <v>38</v>
      </c>
      <c r="B2775">
        <v>2015</v>
      </c>
      <c r="C2775">
        <v>5</v>
      </c>
      <c r="D2775">
        <v>13527</v>
      </c>
      <c r="E2775">
        <v>258</v>
      </c>
      <c r="F2775">
        <v>43600.5</v>
      </c>
      <c r="G2775">
        <v>8447.09</v>
      </c>
      <c r="H2775" t="str">
        <f>VLOOKUP(myynnit[[#This Row],[TuoteID]],ohjaus!$A$4:$B$20,2,FALSE)</f>
        <v>Pinnatuoli</v>
      </c>
    </row>
    <row r="2776" spans="1:8" x14ac:dyDescent="0.35">
      <c r="A2776" t="s">
        <v>38</v>
      </c>
      <c r="B2776">
        <v>2015</v>
      </c>
      <c r="C2776">
        <v>5</v>
      </c>
      <c r="D2776">
        <v>13618</v>
      </c>
      <c r="E2776">
        <v>13</v>
      </c>
      <c r="F2776">
        <v>5164.43</v>
      </c>
      <c r="G2776">
        <v>2321.9699999999998</v>
      </c>
      <c r="H2776" t="str">
        <f>VLOOKUP(myynnit[[#This Row],[TuoteID]],ohjaus!$A$4:$B$20,2,FALSE)</f>
        <v>Pianotuoli</v>
      </c>
    </row>
    <row r="2777" spans="1:8" x14ac:dyDescent="0.35">
      <c r="A2777" t="s">
        <v>38</v>
      </c>
      <c r="B2777">
        <v>2015</v>
      </c>
      <c r="C2777">
        <v>5</v>
      </c>
      <c r="D2777">
        <v>16024</v>
      </c>
      <c r="E2777">
        <v>109</v>
      </c>
      <c r="F2777">
        <v>42804.7</v>
      </c>
      <c r="G2777">
        <v>11498.67</v>
      </c>
      <c r="H2777" t="str">
        <f>VLOOKUP(myynnit[[#This Row],[TuoteID]],ohjaus!$A$4:$B$20,2,FALSE)</f>
        <v>Työtuoli</v>
      </c>
    </row>
    <row r="2778" spans="1:8" x14ac:dyDescent="0.35">
      <c r="A2778" t="s">
        <v>38</v>
      </c>
      <c r="B2778">
        <v>2015</v>
      </c>
      <c r="C2778">
        <v>5</v>
      </c>
      <c r="D2778">
        <v>16650</v>
      </c>
      <c r="E2778">
        <v>39</v>
      </c>
      <c r="F2778">
        <v>6756.94</v>
      </c>
      <c r="G2778">
        <v>4393.99</v>
      </c>
      <c r="H2778" t="str">
        <f>VLOOKUP(myynnit[[#This Row],[TuoteID]],ohjaus!$A$4:$B$20,2,FALSE)</f>
        <v>Rahi</v>
      </c>
    </row>
    <row r="2779" spans="1:8" x14ac:dyDescent="0.35">
      <c r="A2779" t="s">
        <v>38</v>
      </c>
      <c r="B2779">
        <v>2015</v>
      </c>
      <c r="C2779">
        <v>5</v>
      </c>
      <c r="D2779">
        <v>17892</v>
      </c>
      <c r="E2779">
        <v>88</v>
      </c>
      <c r="F2779">
        <v>12967.06</v>
      </c>
      <c r="G2779">
        <v>3470.29</v>
      </c>
      <c r="H2779" t="str">
        <f>VLOOKUP(myynnit[[#This Row],[TuoteID]],ohjaus!$A$4:$B$20,2,FALSE)</f>
        <v>Lepotuoli</v>
      </c>
    </row>
    <row r="2780" spans="1:8" x14ac:dyDescent="0.35">
      <c r="A2780" t="s">
        <v>38</v>
      </c>
      <c r="B2780">
        <v>2015</v>
      </c>
      <c r="C2780">
        <v>5</v>
      </c>
      <c r="D2780">
        <v>18342</v>
      </c>
      <c r="E2780">
        <v>189</v>
      </c>
      <c r="F2780">
        <v>160573.82999999999</v>
      </c>
      <c r="G2780">
        <v>45813.06</v>
      </c>
      <c r="H2780" t="str">
        <f>VLOOKUP(myynnit[[#This Row],[TuoteID]],ohjaus!$A$4:$B$20,2,FALSE)</f>
        <v>Työtuoli</v>
      </c>
    </row>
    <row r="2781" spans="1:8" x14ac:dyDescent="0.35">
      <c r="A2781" t="s">
        <v>38</v>
      </c>
      <c r="B2781">
        <v>2015</v>
      </c>
      <c r="C2781">
        <v>5</v>
      </c>
      <c r="D2781">
        <v>20177</v>
      </c>
      <c r="E2781">
        <v>85</v>
      </c>
      <c r="F2781">
        <v>9442.24</v>
      </c>
      <c r="G2781">
        <v>3904.88</v>
      </c>
      <c r="H2781" t="str">
        <f>VLOOKUP(myynnit[[#This Row],[TuoteID]],ohjaus!$A$4:$B$20,2,FALSE)</f>
        <v>Säkkituoli</v>
      </c>
    </row>
    <row r="2782" spans="1:8" x14ac:dyDescent="0.35">
      <c r="A2782" t="s">
        <v>38</v>
      </c>
      <c r="B2782">
        <v>2015</v>
      </c>
      <c r="C2782">
        <v>5</v>
      </c>
      <c r="D2782">
        <v>21179</v>
      </c>
      <c r="E2782">
        <v>40</v>
      </c>
      <c r="F2782">
        <v>4011.47</v>
      </c>
      <c r="G2782">
        <v>2578.0300000000002</v>
      </c>
      <c r="H2782" t="str">
        <f>VLOOKUP(myynnit[[#This Row],[TuoteID]],ohjaus!$A$4:$B$20,2,FALSE)</f>
        <v>Rahi</v>
      </c>
    </row>
    <row r="2783" spans="1:8" x14ac:dyDescent="0.35">
      <c r="A2783" t="s">
        <v>38</v>
      </c>
      <c r="B2783">
        <v>2015</v>
      </c>
      <c r="C2783">
        <v>5</v>
      </c>
      <c r="D2783">
        <v>21260</v>
      </c>
      <c r="E2783">
        <v>65</v>
      </c>
      <c r="F2783">
        <v>11391.3</v>
      </c>
      <c r="G2783">
        <v>2871.82</v>
      </c>
      <c r="H2783" t="str">
        <f>VLOOKUP(myynnit[[#This Row],[TuoteID]],ohjaus!$A$4:$B$20,2,FALSE)</f>
        <v>Lepotuoli</v>
      </c>
    </row>
    <row r="2784" spans="1:8" x14ac:dyDescent="0.35">
      <c r="A2784" t="s">
        <v>38</v>
      </c>
      <c r="B2784">
        <v>2015</v>
      </c>
      <c r="C2784">
        <v>5</v>
      </c>
      <c r="D2784">
        <v>22317</v>
      </c>
      <c r="E2784">
        <v>34</v>
      </c>
      <c r="F2784">
        <v>2692.58</v>
      </c>
      <c r="G2784">
        <v>933.1</v>
      </c>
      <c r="H2784" t="str">
        <f>VLOOKUP(myynnit[[#This Row],[TuoteID]],ohjaus!$A$4:$B$20,2,FALSE)</f>
        <v>Säkkituoli</v>
      </c>
    </row>
    <row r="2785" spans="1:8" x14ac:dyDescent="0.35">
      <c r="A2785" t="s">
        <v>38</v>
      </c>
      <c r="B2785">
        <v>2015</v>
      </c>
      <c r="C2785">
        <v>5</v>
      </c>
      <c r="D2785">
        <v>22940</v>
      </c>
      <c r="E2785">
        <v>260</v>
      </c>
      <c r="F2785">
        <v>31147.69</v>
      </c>
      <c r="G2785">
        <v>6664.68</v>
      </c>
      <c r="H2785" t="str">
        <f>VLOOKUP(myynnit[[#This Row],[TuoteID]],ohjaus!$A$4:$B$20,2,FALSE)</f>
        <v>Pinnatuoli</v>
      </c>
    </row>
    <row r="2786" spans="1:8" x14ac:dyDescent="0.35">
      <c r="A2786" t="s">
        <v>38</v>
      </c>
      <c r="B2786">
        <v>2015</v>
      </c>
      <c r="C2786">
        <v>5</v>
      </c>
      <c r="D2786">
        <v>23178</v>
      </c>
      <c r="E2786">
        <v>313</v>
      </c>
      <c r="F2786">
        <v>51920.12</v>
      </c>
      <c r="G2786">
        <v>9543.08</v>
      </c>
      <c r="H2786" t="str">
        <f>VLOOKUP(myynnit[[#This Row],[TuoteID]],ohjaus!$A$4:$B$20,2,FALSE)</f>
        <v>Pinnatuoli</v>
      </c>
    </row>
    <row r="2787" spans="1:8" x14ac:dyDescent="0.35">
      <c r="A2787" t="s">
        <v>38</v>
      </c>
      <c r="B2787">
        <v>2015</v>
      </c>
      <c r="C2787">
        <v>5</v>
      </c>
      <c r="D2787">
        <v>23600</v>
      </c>
      <c r="E2787">
        <v>861</v>
      </c>
      <c r="F2787">
        <v>91289.31</v>
      </c>
      <c r="G2787">
        <v>23942.29</v>
      </c>
      <c r="H2787" t="str">
        <f>VLOOKUP(myynnit[[#This Row],[TuoteID]],ohjaus!$A$4:$B$20,2,FALSE)</f>
        <v>Pinnatuoli</v>
      </c>
    </row>
    <row r="2788" spans="1:8" x14ac:dyDescent="0.35">
      <c r="A2788" t="s">
        <v>38</v>
      </c>
      <c r="B2788">
        <v>2015</v>
      </c>
      <c r="C2788">
        <v>5</v>
      </c>
      <c r="D2788">
        <v>23756</v>
      </c>
      <c r="E2788">
        <v>64</v>
      </c>
      <c r="F2788">
        <v>12532.06</v>
      </c>
      <c r="G2788">
        <v>5610.73</v>
      </c>
      <c r="H2788" t="str">
        <f>VLOOKUP(myynnit[[#This Row],[TuoteID]],ohjaus!$A$4:$B$20,2,FALSE)</f>
        <v>Pianotuoli</v>
      </c>
    </row>
    <row r="2789" spans="1:8" x14ac:dyDescent="0.35">
      <c r="A2789" t="s">
        <v>38</v>
      </c>
      <c r="B2789">
        <v>2015</v>
      </c>
      <c r="C2789">
        <v>5</v>
      </c>
      <c r="D2789">
        <v>24326</v>
      </c>
      <c r="E2789">
        <v>74</v>
      </c>
      <c r="F2789">
        <v>9215.36</v>
      </c>
      <c r="G2789">
        <v>2365.41</v>
      </c>
      <c r="H2789" t="str">
        <f>VLOOKUP(myynnit[[#This Row],[TuoteID]],ohjaus!$A$4:$B$20,2,FALSE)</f>
        <v>Lepotuoli</v>
      </c>
    </row>
    <row r="2790" spans="1:8" x14ac:dyDescent="0.35">
      <c r="A2790" t="s">
        <v>37</v>
      </c>
      <c r="B2790">
        <v>2015</v>
      </c>
      <c r="C2790">
        <v>6</v>
      </c>
      <c r="D2790">
        <v>12184</v>
      </c>
      <c r="E2790">
        <v>105</v>
      </c>
      <c r="F2790">
        <v>13673.27</v>
      </c>
      <c r="G2790">
        <v>7101.77</v>
      </c>
      <c r="H2790" t="str">
        <f>VLOOKUP(myynnit[[#This Row],[TuoteID]],ohjaus!$A$4:$B$20,2,FALSE)</f>
        <v>Rahi</v>
      </c>
    </row>
    <row r="2791" spans="1:8" x14ac:dyDescent="0.35">
      <c r="A2791" t="s">
        <v>37</v>
      </c>
      <c r="B2791">
        <v>2015</v>
      </c>
      <c r="C2791">
        <v>6</v>
      </c>
      <c r="D2791">
        <v>12622</v>
      </c>
      <c r="E2791">
        <v>30</v>
      </c>
      <c r="F2791">
        <v>8918.0300000000007</v>
      </c>
      <c r="G2791">
        <v>4059.29</v>
      </c>
      <c r="H2791" t="str">
        <f>VLOOKUP(myynnit[[#This Row],[TuoteID]],ohjaus!$A$4:$B$20,2,FALSE)</f>
        <v>Pianotuoli</v>
      </c>
    </row>
    <row r="2792" spans="1:8" x14ac:dyDescent="0.35">
      <c r="A2792" t="s">
        <v>37</v>
      </c>
      <c r="B2792">
        <v>2015</v>
      </c>
      <c r="C2792">
        <v>6</v>
      </c>
      <c r="D2792">
        <v>13527</v>
      </c>
      <c r="E2792">
        <v>506</v>
      </c>
      <c r="F2792">
        <v>80869.86</v>
      </c>
      <c r="G2792">
        <v>14927.44</v>
      </c>
      <c r="H2792" t="str">
        <f>VLOOKUP(myynnit[[#This Row],[TuoteID]],ohjaus!$A$4:$B$20,2,FALSE)</f>
        <v>Pinnatuoli</v>
      </c>
    </row>
    <row r="2793" spans="1:8" x14ac:dyDescent="0.35">
      <c r="A2793" t="s">
        <v>37</v>
      </c>
      <c r="B2793">
        <v>2015</v>
      </c>
      <c r="C2793">
        <v>6</v>
      </c>
      <c r="D2793">
        <v>13618</v>
      </c>
      <c r="E2793">
        <v>30</v>
      </c>
      <c r="F2793">
        <v>11203.33</v>
      </c>
      <c r="G2793">
        <v>5955.83</v>
      </c>
      <c r="H2793" t="str">
        <f>VLOOKUP(myynnit[[#This Row],[TuoteID]],ohjaus!$A$4:$B$20,2,FALSE)</f>
        <v>Pianotuoli</v>
      </c>
    </row>
    <row r="2794" spans="1:8" x14ac:dyDescent="0.35">
      <c r="A2794" t="s">
        <v>37</v>
      </c>
      <c r="B2794">
        <v>2015</v>
      </c>
      <c r="C2794">
        <v>6</v>
      </c>
      <c r="D2794">
        <v>16024</v>
      </c>
      <c r="E2794">
        <v>296</v>
      </c>
      <c r="F2794">
        <v>126945.95</v>
      </c>
      <c r="G2794">
        <v>34743.21</v>
      </c>
      <c r="H2794" t="str">
        <f>VLOOKUP(myynnit[[#This Row],[TuoteID]],ohjaus!$A$4:$B$20,2,FALSE)</f>
        <v>Työtuoli</v>
      </c>
    </row>
    <row r="2795" spans="1:8" x14ac:dyDescent="0.35">
      <c r="A2795" t="s">
        <v>37</v>
      </c>
      <c r="B2795">
        <v>2015</v>
      </c>
      <c r="C2795">
        <v>6</v>
      </c>
      <c r="D2795">
        <v>16650</v>
      </c>
      <c r="E2795">
        <v>60</v>
      </c>
      <c r="F2795">
        <v>7639.55</v>
      </c>
      <c r="G2795">
        <v>3118.85</v>
      </c>
      <c r="H2795" t="str">
        <f>VLOOKUP(myynnit[[#This Row],[TuoteID]],ohjaus!$A$4:$B$20,2,FALSE)</f>
        <v>Rahi</v>
      </c>
    </row>
    <row r="2796" spans="1:8" x14ac:dyDescent="0.35">
      <c r="A2796" t="s">
        <v>37</v>
      </c>
      <c r="B2796">
        <v>2015</v>
      </c>
      <c r="C2796">
        <v>6</v>
      </c>
      <c r="D2796">
        <v>17892</v>
      </c>
      <c r="E2796">
        <v>105</v>
      </c>
      <c r="F2796">
        <v>13748.74</v>
      </c>
      <c r="G2796">
        <v>4112.99</v>
      </c>
      <c r="H2796" t="str">
        <f>VLOOKUP(myynnit[[#This Row],[TuoteID]],ohjaus!$A$4:$B$20,2,FALSE)</f>
        <v>Lepotuoli</v>
      </c>
    </row>
    <row r="2797" spans="1:8" x14ac:dyDescent="0.35">
      <c r="A2797" t="s">
        <v>37</v>
      </c>
      <c r="B2797">
        <v>2015</v>
      </c>
      <c r="C2797">
        <v>6</v>
      </c>
      <c r="D2797">
        <v>18342</v>
      </c>
      <c r="E2797">
        <v>230</v>
      </c>
      <c r="F2797">
        <v>195285.8</v>
      </c>
      <c r="G2797">
        <v>63429.760000000002</v>
      </c>
      <c r="H2797" t="str">
        <f>VLOOKUP(myynnit[[#This Row],[TuoteID]],ohjaus!$A$4:$B$20,2,FALSE)</f>
        <v>Työtuoli</v>
      </c>
    </row>
    <row r="2798" spans="1:8" x14ac:dyDescent="0.35">
      <c r="A2798" t="s">
        <v>37</v>
      </c>
      <c r="B2798">
        <v>2015</v>
      </c>
      <c r="C2798">
        <v>6</v>
      </c>
      <c r="D2798">
        <v>20177</v>
      </c>
      <c r="E2798">
        <v>83</v>
      </c>
      <c r="F2798">
        <v>8522.17</v>
      </c>
      <c r="G2798">
        <v>3483.24</v>
      </c>
      <c r="H2798" t="str">
        <f>VLOOKUP(myynnit[[#This Row],[TuoteID]],ohjaus!$A$4:$B$20,2,FALSE)</f>
        <v>Säkkituoli</v>
      </c>
    </row>
    <row r="2799" spans="1:8" x14ac:dyDescent="0.35">
      <c r="A2799" t="s">
        <v>37</v>
      </c>
      <c r="B2799">
        <v>2015</v>
      </c>
      <c r="C2799">
        <v>6</v>
      </c>
      <c r="D2799">
        <v>21179</v>
      </c>
      <c r="E2799">
        <v>29</v>
      </c>
      <c r="F2799">
        <v>3511.63</v>
      </c>
      <c r="G2799">
        <v>1695.42</v>
      </c>
      <c r="H2799" t="str">
        <f>VLOOKUP(myynnit[[#This Row],[TuoteID]],ohjaus!$A$4:$B$20,2,FALSE)</f>
        <v>Rahi</v>
      </c>
    </row>
    <row r="2800" spans="1:8" x14ac:dyDescent="0.35">
      <c r="A2800" t="s">
        <v>37</v>
      </c>
      <c r="B2800">
        <v>2015</v>
      </c>
      <c r="C2800">
        <v>6</v>
      </c>
      <c r="D2800">
        <v>21260</v>
      </c>
      <c r="E2800">
        <v>78</v>
      </c>
      <c r="F2800">
        <v>16281.61</v>
      </c>
      <c r="G2800">
        <v>4056.53</v>
      </c>
      <c r="H2800" t="str">
        <f>VLOOKUP(myynnit[[#This Row],[TuoteID]],ohjaus!$A$4:$B$20,2,FALSE)</f>
        <v>Lepotuoli</v>
      </c>
    </row>
    <row r="2801" spans="1:8" x14ac:dyDescent="0.35">
      <c r="A2801" t="s">
        <v>37</v>
      </c>
      <c r="B2801">
        <v>2015</v>
      </c>
      <c r="C2801">
        <v>6</v>
      </c>
      <c r="D2801">
        <v>22317</v>
      </c>
      <c r="E2801">
        <v>59</v>
      </c>
      <c r="F2801">
        <v>5763.19</v>
      </c>
      <c r="G2801">
        <v>1896.66</v>
      </c>
      <c r="H2801" t="str">
        <f>VLOOKUP(myynnit[[#This Row],[TuoteID]],ohjaus!$A$4:$B$20,2,FALSE)</f>
        <v>Säkkituoli</v>
      </c>
    </row>
    <row r="2802" spans="1:8" x14ac:dyDescent="0.35">
      <c r="A2802" t="s">
        <v>37</v>
      </c>
      <c r="B2802">
        <v>2015</v>
      </c>
      <c r="C2802">
        <v>6</v>
      </c>
      <c r="D2802">
        <v>22940</v>
      </c>
      <c r="E2802">
        <v>892</v>
      </c>
      <c r="F2802">
        <v>111517.18</v>
      </c>
      <c r="G2802">
        <v>17955.240000000002</v>
      </c>
      <c r="H2802" t="str">
        <f>VLOOKUP(myynnit[[#This Row],[TuoteID]],ohjaus!$A$4:$B$20,2,FALSE)</f>
        <v>Pinnatuoli</v>
      </c>
    </row>
    <row r="2803" spans="1:8" x14ac:dyDescent="0.35">
      <c r="A2803" t="s">
        <v>37</v>
      </c>
      <c r="B2803">
        <v>2015</v>
      </c>
      <c r="C2803">
        <v>6</v>
      </c>
      <c r="D2803">
        <v>23178</v>
      </c>
      <c r="E2803">
        <v>325</v>
      </c>
      <c r="F2803">
        <v>52367.7</v>
      </c>
      <c r="G2803">
        <v>10296.77</v>
      </c>
      <c r="H2803" t="str">
        <f>VLOOKUP(myynnit[[#This Row],[TuoteID]],ohjaus!$A$4:$B$20,2,FALSE)</f>
        <v>Pinnatuoli</v>
      </c>
    </row>
    <row r="2804" spans="1:8" x14ac:dyDescent="0.35">
      <c r="A2804" t="s">
        <v>37</v>
      </c>
      <c r="B2804">
        <v>2015</v>
      </c>
      <c r="C2804">
        <v>6</v>
      </c>
      <c r="D2804">
        <v>23600</v>
      </c>
      <c r="E2804">
        <v>903</v>
      </c>
      <c r="F2804">
        <v>104500.84</v>
      </c>
      <c r="G2804">
        <v>22301.89</v>
      </c>
      <c r="H2804" t="str">
        <f>VLOOKUP(myynnit[[#This Row],[TuoteID]],ohjaus!$A$4:$B$20,2,FALSE)</f>
        <v>Pinnatuoli</v>
      </c>
    </row>
    <row r="2805" spans="1:8" x14ac:dyDescent="0.35">
      <c r="A2805" t="s">
        <v>37</v>
      </c>
      <c r="B2805">
        <v>2015</v>
      </c>
      <c r="C2805">
        <v>6</v>
      </c>
      <c r="D2805">
        <v>23756</v>
      </c>
      <c r="E2805">
        <v>72</v>
      </c>
      <c r="F2805">
        <v>11431.88</v>
      </c>
      <c r="G2805">
        <v>5961.43</v>
      </c>
      <c r="H2805" t="str">
        <f>VLOOKUP(myynnit[[#This Row],[TuoteID]],ohjaus!$A$4:$B$20,2,FALSE)</f>
        <v>Pianotuoli</v>
      </c>
    </row>
    <row r="2806" spans="1:8" x14ac:dyDescent="0.35">
      <c r="A2806" t="s">
        <v>37</v>
      </c>
      <c r="B2806">
        <v>2015</v>
      </c>
      <c r="C2806">
        <v>6</v>
      </c>
      <c r="D2806">
        <v>24326</v>
      </c>
      <c r="E2806">
        <v>206</v>
      </c>
      <c r="F2806">
        <v>30124.47</v>
      </c>
      <c r="G2806">
        <v>9645.5</v>
      </c>
      <c r="H2806" t="str">
        <f>VLOOKUP(myynnit[[#This Row],[TuoteID]],ohjaus!$A$4:$B$20,2,FALSE)</f>
        <v>Lepotuoli</v>
      </c>
    </row>
    <row r="2807" spans="1:8" x14ac:dyDescent="0.35">
      <c r="A2807" t="s">
        <v>40</v>
      </c>
      <c r="B2807">
        <v>2015</v>
      </c>
      <c r="C2807">
        <v>6</v>
      </c>
      <c r="D2807">
        <v>12184</v>
      </c>
      <c r="E2807">
        <v>27</v>
      </c>
      <c r="F2807">
        <v>3181</v>
      </c>
      <c r="G2807">
        <v>1493.64</v>
      </c>
      <c r="H2807" t="str">
        <f>VLOOKUP(myynnit[[#This Row],[TuoteID]],ohjaus!$A$4:$B$20,2,FALSE)</f>
        <v>Rahi</v>
      </c>
    </row>
    <row r="2808" spans="1:8" x14ac:dyDescent="0.35">
      <c r="A2808" t="s">
        <v>40</v>
      </c>
      <c r="B2808">
        <v>2015</v>
      </c>
      <c r="C2808">
        <v>6</v>
      </c>
      <c r="D2808">
        <v>12622</v>
      </c>
      <c r="E2808">
        <v>15</v>
      </c>
      <c r="F2808">
        <v>3745.74</v>
      </c>
      <c r="G2808">
        <v>1414.96</v>
      </c>
      <c r="H2808" t="str">
        <f>VLOOKUP(myynnit[[#This Row],[TuoteID]],ohjaus!$A$4:$B$20,2,FALSE)</f>
        <v>Pianotuoli</v>
      </c>
    </row>
    <row r="2809" spans="1:8" x14ac:dyDescent="0.35">
      <c r="A2809" t="s">
        <v>40</v>
      </c>
      <c r="B2809">
        <v>2015</v>
      </c>
      <c r="C2809">
        <v>6</v>
      </c>
      <c r="D2809">
        <v>13527</v>
      </c>
      <c r="E2809">
        <v>335</v>
      </c>
      <c r="F2809">
        <v>52191.040000000001</v>
      </c>
      <c r="G2809">
        <v>10558.61</v>
      </c>
      <c r="H2809" t="str">
        <f>VLOOKUP(myynnit[[#This Row],[TuoteID]],ohjaus!$A$4:$B$20,2,FALSE)</f>
        <v>Pinnatuoli</v>
      </c>
    </row>
    <row r="2810" spans="1:8" x14ac:dyDescent="0.35">
      <c r="A2810" t="s">
        <v>40</v>
      </c>
      <c r="B2810">
        <v>2015</v>
      </c>
      <c r="C2810">
        <v>6</v>
      </c>
      <c r="D2810">
        <v>13618</v>
      </c>
      <c r="E2810">
        <v>8</v>
      </c>
      <c r="F2810">
        <v>2768.99</v>
      </c>
      <c r="G2810">
        <v>1141.77</v>
      </c>
      <c r="H2810" t="str">
        <f>VLOOKUP(myynnit[[#This Row],[TuoteID]],ohjaus!$A$4:$B$20,2,FALSE)</f>
        <v>Pianotuoli</v>
      </c>
    </row>
    <row r="2811" spans="1:8" x14ac:dyDescent="0.35">
      <c r="A2811" t="s">
        <v>40</v>
      </c>
      <c r="B2811">
        <v>2015</v>
      </c>
      <c r="C2811">
        <v>6</v>
      </c>
      <c r="D2811">
        <v>16024</v>
      </c>
      <c r="E2811">
        <v>204</v>
      </c>
      <c r="F2811">
        <v>91676.91</v>
      </c>
      <c r="G2811">
        <v>27715.5</v>
      </c>
      <c r="H2811" t="str">
        <f>VLOOKUP(myynnit[[#This Row],[TuoteID]],ohjaus!$A$4:$B$20,2,FALSE)</f>
        <v>Työtuoli</v>
      </c>
    </row>
    <row r="2812" spans="1:8" x14ac:dyDescent="0.35">
      <c r="A2812" t="s">
        <v>40</v>
      </c>
      <c r="B2812">
        <v>2015</v>
      </c>
      <c r="C2812">
        <v>6</v>
      </c>
      <c r="D2812">
        <v>16650</v>
      </c>
      <c r="E2812">
        <v>35</v>
      </c>
      <c r="F2812">
        <v>5724.39</v>
      </c>
      <c r="G2812">
        <v>3926.69</v>
      </c>
      <c r="H2812" t="str">
        <f>VLOOKUP(myynnit[[#This Row],[TuoteID]],ohjaus!$A$4:$B$20,2,FALSE)</f>
        <v>Rahi</v>
      </c>
    </row>
    <row r="2813" spans="1:8" x14ac:dyDescent="0.35">
      <c r="A2813" t="s">
        <v>40</v>
      </c>
      <c r="B2813">
        <v>2015</v>
      </c>
      <c r="C2813">
        <v>6</v>
      </c>
      <c r="D2813">
        <v>17892</v>
      </c>
      <c r="E2813">
        <v>104</v>
      </c>
      <c r="F2813">
        <v>15447.6</v>
      </c>
      <c r="G2813">
        <v>3245.07</v>
      </c>
      <c r="H2813" t="str">
        <f>VLOOKUP(myynnit[[#This Row],[TuoteID]],ohjaus!$A$4:$B$20,2,FALSE)</f>
        <v>Lepotuoli</v>
      </c>
    </row>
    <row r="2814" spans="1:8" x14ac:dyDescent="0.35">
      <c r="A2814" t="s">
        <v>40</v>
      </c>
      <c r="B2814">
        <v>2015</v>
      </c>
      <c r="C2814">
        <v>6</v>
      </c>
      <c r="D2814">
        <v>18342</v>
      </c>
      <c r="E2814">
        <v>30</v>
      </c>
      <c r="F2814">
        <v>23991.48</v>
      </c>
      <c r="G2814">
        <v>7062.11</v>
      </c>
      <c r="H2814" t="str">
        <f>VLOOKUP(myynnit[[#This Row],[TuoteID]],ohjaus!$A$4:$B$20,2,FALSE)</f>
        <v>Työtuoli</v>
      </c>
    </row>
    <row r="2815" spans="1:8" x14ac:dyDescent="0.35">
      <c r="A2815" t="s">
        <v>40</v>
      </c>
      <c r="B2815">
        <v>2015</v>
      </c>
      <c r="C2815">
        <v>6</v>
      </c>
      <c r="D2815">
        <v>20177</v>
      </c>
      <c r="E2815">
        <v>28</v>
      </c>
      <c r="F2815">
        <v>2904.88</v>
      </c>
      <c r="G2815">
        <v>1171.44</v>
      </c>
      <c r="H2815" t="str">
        <f>VLOOKUP(myynnit[[#This Row],[TuoteID]],ohjaus!$A$4:$B$20,2,FALSE)</f>
        <v>Säkkituoli</v>
      </c>
    </row>
    <row r="2816" spans="1:8" x14ac:dyDescent="0.35">
      <c r="A2816" t="s">
        <v>40</v>
      </c>
      <c r="B2816">
        <v>2015</v>
      </c>
      <c r="C2816">
        <v>6</v>
      </c>
      <c r="D2816">
        <v>21179</v>
      </c>
      <c r="E2816">
        <v>28</v>
      </c>
      <c r="F2816">
        <v>3385.84</v>
      </c>
      <c r="G2816">
        <v>2025.3</v>
      </c>
      <c r="H2816" t="str">
        <f>VLOOKUP(myynnit[[#This Row],[TuoteID]],ohjaus!$A$4:$B$20,2,FALSE)</f>
        <v>Rahi</v>
      </c>
    </row>
    <row r="2817" spans="1:8" x14ac:dyDescent="0.35">
      <c r="A2817" t="s">
        <v>40</v>
      </c>
      <c r="B2817">
        <v>2015</v>
      </c>
      <c r="C2817">
        <v>6</v>
      </c>
      <c r="D2817">
        <v>21260</v>
      </c>
      <c r="E2817">
        <v>39</v>
      </c>
      <c r="F2817">
        <v>7676.24</v>
      </c>
      <c r="G2817">
        <v>1901.77</v>
      </c>
      <c r="H2817" t="str">
        <f>VLOOKUP(myynnit[[#This Row],[TuoteID]],ohjaus!$A$4:$B$20,2,FALSE)</f>
        <v>Lepotuoli</v>
      </c>
    </row>
    <row r="2818" spans="1:8" x14ac:dyDescent="0.35">
      <c r="A2818" t="s">
        <v>40</v>
      </c>
      <c r="B2818">
        <v>2015</v>
      </c>
      <c r="C2818">
        <v>6</v>
      </c>
      <c r="D2818">
        <v>22317</v>
      </c>
      <c r="E2818">
        <v>18</v>
      </c>
      <c r="F2818">
        <v>1365.4</v>
      </c>
      <c r="G2818">
        <v>643.41</v>
      </c>
      <c r="H2818" t="str">
        <f>VLOOKUP(myynnit[[#This Row],[TuoteID]],ohjaus!$A$4:$B$20,2,FALSE)</f>
        <v>Säkkituoli</v>
      </c>
    </row>
    <row r="2819" spans="1:8" x14ac:dyDescent="0.35">
      <c r="A2819" t="s">
        <v>40</v>
      </c>
      <c r="B2819">
        <v>2015</v>
      </c>
      <c r="C2819">
        <v>6</v>
      </c>
      <c r="D2819">
        <v>22940</v>
      </c>
      <c r="E2819">
        <v>198</v>
      </c>
      <c r="F2819">
        <v>28730.17</v>
      </c>
      <c r="G2819">
        <v>8485.5400000000009</v>
      </c>
      <c r="H2819" t="str">
        <f>VLOOKUP(myynnit[[#This Row],[TuoteID]],ohjaus!$A$4:$B$20,2,FALSE)</f>
        <v>Pinnatuoli</v>
      </c>
    </row>
    <row r="2820" spans="1:8" x14ac:dyDescent="0.35">
      <c r="A2820" t="s">
        <v>40</v>
      </c>
      <c r="B2820">
        <v>2015</v>
      </c>
      <c r="C2820">
        <v>6</v>
      </c>
      <c r="D2820">
        <v>23178</v>
      </c>
      <c r="E2820">
        <v>278</v>
      </c>
      <c r="F2820">
        <v>51616.18</v>
      </c>
      <c r="G2820">
        <v>12552.86</v>
      </c>
      <c r="H2820" t="str">
        <f>VLOOKUP(myynnit[[#This Row],[TuoteID]],ohjaus!$A$4:$B$20,2,FALSE)</f>
        <v>Pinnatuoli</v>
      </c>
    </row>
    <row r="2821" spans="1:8" x14ac:dyDescent="0.35">
      <c r="A2821" t="s">
        <v>40</v>
      </c>
      <c r="B2821">
        <v>2015</v>
      </c>
      <c r="C2821">
        <v>6</v>
      </c>
      <c r="D2821">
        <v>23600</v>
      </c>
      <c r="E2821">
        <v>584</v>
      </c>
      <c r="F2821">
        <v>66830.460000000006</v>
      </c>
      <c r="G2821">
        <v>18478.419999999998</v>
      </c>
      <c r="H2821" t="str">
        <f>VLOOKUP(myynnit[[#This Row],[TuoteID]],ohjaus!$A$4:$B$20,2,FALSE)</f>
        <v>Pinnatuoli</v>
      </c>
    </row>
    <row r="2822" spans="1:8" x14ac:dyDescent="0.35">
      <c r="A2822" t="s">
        <v>40</v>
      </c>
      <c r="B2822">
        <v>2015</v>
      </c>
      <c r="C2822">
        <v>6</v>
      </c>
      <c r="D2822">
        <v>23756</v>
      </c>
      <c r="E2822">
        <v>50</v>
      </c>
      <c r="F2822">
        <v>8217.2199999999993</v>
      </c>
      <c r="G2822">
        <v>3613.82</v>
      </c>
      <c r="H2822" t="str">
        <f>VLOOKUP(myynnit[[#This Row],[TuoteID]],ohjaus!$A$4:$B$20,2,FALSE)</f>
        <v>Pianotuoli</v>
      </c>
    </row>
    <row r="2823" spans="1:8" x14ac:dyDescent="0.35">
      <c r="A2823" t="s">
        <v>40</v>
      </c>
      <c r="B2823">
        <v>2015</v>
      </c>
      <c r="C2823">
        <v>6</v>
      </c>
      <c r="D2823">
        <v>24326</v>
      </c>
      <c r="E2823">
        <v>27</v>
      </c>
      <c r="F2823">
        <v>3597.51</v>
      </c>
      <c r="G2823">
        <v>1177.3399999999999</v>
      </c>
      <c r="H2823" t="str">
        <f>VLOOKUP(myynnit[[#This Row],[TuoteID]],ohjaus!$A$4:$B$20,2,FALSE)</f>
        <v>Lepotuoli</v>
      </c>
    </row>
    <row r="2824" spans="1:8" x14ac:dyDescent="0.35">
      <c r="A2824" t="s">
        <v>39</v>
      </c>
      <c r="B2824">
        <v>2015</v>
      </c>
      <c r="C2824">
        <v>6</v>
      </c>
      <c r="D2824">
        <v>12184</v>
      </c>
      <c r="E2824">
        <v>113</v>
      </c>
      <c r="F2824">
        <v>13111.04</v>
      </c>
      <c r="G2824">
        <v>8979.7900000000009</v>
      </c>
      <c r="H2824" t="str">
        <f>VLOOKUP(myynnit[[#This Row],[TuoteID]],ohjaus!$A$4:$B$20,2,FALSE)</f>
        <v>Rahi</v>
      </c>
    </row>
    <row r="2825" spans="1:8" x14ac:dyDescent="0.35">
      <c r="A2825" t="s">
        <v>39</v>
      </c>
      <c r="B2825">
        <v>2015</v>
      </c>
      <c r="C2825">
        <v>6</v>
      </c>
      <c r="D2825">
        <v>12622</v>
      </c>
      <c r="E2825">
        <v>23</v>
      </c>
      <c r="F2825">
        <v>7665</v>
      </c>
      <c r="G2825">
        <v>4244.6400000000003</v>
      </c>
      <c r="H2825" t="str">
        <f>VLOOKUP(myynnit[[#This Row],[TuoteID]],ohjaus!$A$4:$B$20,2,FALSE)</f>
        <v>Pianotuoli</v>
      </c>
    </row>
    <row r="2826" spans="1:8" x14ac:dyDescent="0.35">
      <c r="A2826" t="s">
        <v>39</v>
      </c>
      <c r="B2826">
        <v>2015</v>
      </c>
      <c r="C2826">
        <v>6</v>
      </c>
      <c r="D2826">
        <v>13527</v>
      </c>
      <c r="E2826">
        <v>477</v>
      </c>
      <c r="F2826">
        <v>80276.28</v>
      </c>
      <c r="G2826">
        <v>17655.23</v>
      </c>
      <c r="H2826" t="str">
        <f>VLOOKUP(myynnit[[#This Row],[TuoteID]],ohjaus!$A$4:$B$20,2,FALSE)</f>
        <v>Pinnatuoli</v>
      </c>
    </row>
    <row r="2827" spans="1:8" x14ac:dyDescent="0.35">
      <c r="A2827" t="s">
        <v>39</v>
      </c>
      <c r="B2827">
        <v>2015</v>
      </c>
      <c r="C2827">
        <v>6</v>
      </c>
      <c r="D2827">
        <v>13618</v>
      </c>
      <c r="E2827">
        <v>20</v>
      </c>
      <c r="F2827">
        <v>8047.58</v>
      </c>
      <c r="G2827">
        <v>4687.3100000000004</v>
      </c>
      <c r="H2827" t="str">
        <f>VLOOKUP(myynnit[[#This Row],[TuoteID]],ohjaus!$A$4:$B$20,2,FALSE)</f>
        <v>Pianotuoli</v>
      </c>
    </row>
    <row r="2828" spans="1:8" x14ac:dyDescent="0.35">
      <c r="A2828" t="s">
        <v>39</v>
      </c>
      <c r="B2828">
        <v>2015</v>
      </c>
      <c r="C2828">
        <v>6</v>
      </c>
      <c r="D2828">
        <v>16024</v>
      </c>
      <c r="E2828">
        <v>273</v>
      </c>
      <c r="F2828">
        <v>105055.03</v>
      </c>
      <c r="G2828">
        <v>28051.81</v>
      </c>
      <c r="H2828" t="str">
        <f>VLOOKUP(myynnit[[#This Row],[TuoteID]],ohjaus!$A$4:$B$20,2,FALSE)</f>
        <v>Työtuoli</v>
      </c>
    </row>
    <row r="2829" spans="1:8" x14ac:dyDescent="0.35">
      <c r="A2829" t="s">
        <v>39</v>
      </c>
      <c r="B2829">
        <v>2015</v>
      </c>
      <c r="C2829">
        <v>6</v>
      </c>
      <c r="D2829">
        <v>16650</v>
      </c>
      <c r="E2829">
        <v>44</v>
      </c>
      <c r="F2829">
        <v>5662.07</v>
      </c>
      <c r="G2829">
        <v>3515.83</v>
      </c>
      <c r="H2829" t="str">
        <f>VLOOKUP(myynnit[[#This Row],[TuoteID]],ohjaus!$A$4:$B$20,2,FALSE)</f>
        <v>Rahi</v>
      </c>
    </row>
    <row r="2830" spans="1:8" x14ac:dyDescent="0.35">
      <c r="A2830" t="s">
        <v>39</v>
      </c>
      <c r="B2830">
        <v>2015</v>
      </c>
      <c r="C2830">
        <v>6</v>
      </c>
      <c r="D2830">
        <v>17892</v>
      </c>
      <c r="E2830">
        <v>74</v>
      </c>
      <c r="F2830">
        <v>9957.9500000000007</v>
      </c>
      <c r="G2830">
        <v>2607.9</v>
      </c>
      <c r="H2830" t="str">
        <f>VLOOKUP(myynnit[[#This Row],[TuoteID]],ohjaus!$A$4:$B$20,2,FALSE)</f>
        <v>Lepotuoli</v>
      </c>
    </row>
    <row r="2831" spans="1:8" x14ac:dyDescent="0.35">
      <c r="A2831" t="s">
        <v>39</v>
      </c>
      <c r="B2831">
        <v>2015</v>
      </c>
      <c r="C2831">
        <v>6</v>
      </c>
      <c r="D2831">
        <v>18342</v>
      </c>
      <c r="E2831">
        <v>90</v>
      </c>
      <c r="F2831">
        <v>78861.55</v>
      </c>
      <c r="G2831">
        <v>24748.73</v>
      </c>
      <c r="H2831" t="str">
        <f>VLOOKUP(myynnit[[#This Row],[TuoteID]],ohjaus!$A$4:$B$20,2,FALSE)</f>
        <v>Työtuoli</v>
      </c>
    </row>
    <row r="2832" spans="1:8" x14ac:dyDescent="0.35">
      <c r="A2832" t="s">
        <v>39</v>
      </c>
      <c r="B2832">
        <v>2015</v>
      </c>
      <c r="C2832">
        <v>6</v>
      </c>
      <c r="D2832">
        <v>20177</v>
      </c>
      <c r="E2832">
        <v>61</v>
      </c>
      <c r="F2832">
        <v>5906.37</v>
      </c>
      <c r="G2832">
        <v>2870.8</v>
      </c>
      <c r="H2832" t="str">
        <f>VLOOKUP(myynnit[[#This Row],[TuoteID]],ohjaus!$A$4:$B$20,2,FALSE)</f>
        <v>Säkkituoli</v>
      </c>
    </row>
    <row r="2833" spans="1:8" x14ac:dyDescent="0.35">
      <c r="A2833" t="s">
        <v>39</v>
      </c>
      <c r="B2833">
        <v>2015</v>
      </c>
      <c r="C2833">
        <v>6</v>
      </c>
      <c r="D2833">
        <v>21179</v>
      </c>
      <c r="E2833">
        <v>43</v>
      </c>
      <c r="F2833">
        <v>6710.98</v>
      </c>
      <c r="G2833">
        <v>3872.02</v>
      </c>
      <c r="H2833" t="str">
        <f>VLOOKUP(myynnit[[#This Row],[TuoteID]],ohjaus!$A$4:$B$20,2,FALSE)</f>
        <v>Rahi</v>
      </c>
    </row>
    <row r="2834" spans="1:8" x14ac:dyDescent="0.35">
      <c r="A2834" t="s">
        <v>39</v>
      </c>
      <c r="B2834">
        <v>2015</v>
      </c>
      <c r="C2834">
        <v>6</v>
      </c>
      <c r="D2834">
        <v>21260</v>
      </c>
      <c r="E2834">
        <v>64</v>
      </c>
      <c r="F2834">
        <v>13795.76</v>
      </c>
      <c r="G2834">
        <v>4588.88</v>
      </c>
      <c r="H2834" t="str">
        <f>VLOOKUP(myynnit[[#This Row],[TuoteID]],ohjaus!$A$4:$B$20,2,FALSE)</f>
        <v>Lepotuoli</v>
      </c>
    </row>
    <row r="2835" spans="1:8" x14ac:dyDescent="0.35">
      <c r="A2835" t="s">
        <v>39</v>
      </c>
      <c r="B2835">
        <v>2015</v>
      </c>
      <c r="C2835">
        <v>6</v>
      </c>
      <c r="D2835">
        <v>22317</v>
      </c>
      <c r="E2835">
        <v>34</v>
      </c>
      <c r="F2835">
        <v>2743.06</v>
      </c>
      <c r="G2835">
        <v>1357.31</v>
      </c>
      <c r="H2835" t="str">
        <f>VLOOKUP(myynnit[[#This Row],[TuoteID]],ohjaus!$A$4:$B$20,2,FALSE)</f>
        <v>Säkkituoli</v>
      </c>
    </row>
    <row r="2836" spans="1:8" x14ac:dyDescent="0.35">
      <c r="A2836" t="s">
        <v>39</v>
      </c>
      <c r="B2836">
        <v>2015</v>
      </c>
      <c r="C2836">
        <v>6</v>
      </c>
      <c r="D2836">
        <v>22940</v>
      </c>
      <c r="E2836">
        <v>717</v>
      </c>
      <c r="F2836">
        <v>101934.61</v>
      </c>
      <c r="G2836">
        <v>25502.81</v>
      </c>
      <c r="H2836" t="str">
        <f>VLOOKUP(myynnit[[#This Row],[TuoteID]],ohjaus!$A$4:$B$20,2,FALSE)</f>
        <v>Pinnatuoli</v>
      </c>
    </row>
    <row r="2837" spans="1:8" x14ac:dyDescent="0.35">
      <c r="A2837" t="s">
        <v>39</v>
      </c>
      <c r="B2837">
        <v>2015</v>
      </c>
      <c r="C2837">
        <v>6</v>
      </c>
      <c r="D2837">
        <v>23178</v>
      </c>
      <c r="E2837">
        <v>128</v>
      </c>
      <c r="F2837">
        <v>24203.11</v>
      </c>
      <c r="G2837">
        <v>6037.57</v>
      </c>
      <c r="H2837" t="str">
        <f>VLOOKUP(myynnit[[#This Row],[TuoteID]],ohjaus!$A$4:$B$20,2,FALSE)</f>
        <v>Pinnatuoli</v>
      </c>
    </row>
    <row r="2838" spans="1:8" x14ac:dyDescent="0.35">
      <c r="A2838" t="s">
        <v>39</v>
      </c>
      <c r="B2838">
        <v>2015</v>
      </c>
      <c r="C2838">
        <v>6</v>
      </c>
      <c r="D2838">
        <v>23600</v>
      </c>
      <c r="E2838">
        <v>429</v>
      </c>
      <c r="F2838">
        <v>53845.48</v>
      </c>
      <c r="G2838">
        <v>14302.89</v>
      </c>
      <c r="H2838" t="str">
        <f>VLOOKUP(myynnit[[#This Row],[TuoteID]],ohjaus!$A$4:$B$20,2,FALSE)</f>
        <v>Pinnatuoli</v>
      </c>
    </row>
    <row r="2839" spans="1:8" x14ac:dyDescent="0.35">
      <c r="A2839" t="s">
        <v>39</v>
      </c>
      <c r="B2839">
        <v>2015</v>
      </c>
      <c r="C2839">
        <v>6</v>
      </c>
      <c r="D2839">
        <v>23756</v>
      </c>
      <c r="E2839">
        <v>118</v>
      </c>
      <c r="F2839">
        <v>24373.54</v>
      </c>
      <c r="G2839">
        <v>13788.89</v>
      </c>
      <c r="H2839" t="str">
        <f>VLOOKUP(myynnit[[#This Row],[TuoteID]],ohjaus!$A$4:$B$20,2,FALSE)</f>
        <v>Pianotuoli</v>
      </c>
    </row>
    <row r="2840" spans="1:8" x14ac:dyDescent="0.35">
      <c r="A2840" t="s">
        <v>39</v>
      </c>
      <c r="B2840">
        <v>2015</v>
      </c>
      <c r="C2840">
        <v>6</v>
      </c>
      <c r="D2840">
        <v>24326</v>
      </c>
      <c r="E2840">
        <v>77</v>
      </c>
      <c r="F2840">
        <v>11078.6</v>
      </c>
      <c r="G2840">
        <v>3750.19</v>
      </c>
      <c r="H2840" t="str">
        <f>VLOOKUP(myynnit[[#This Row],[TuoteID]],ohjaus!$A$4:$B$20,2,FALSE)</f>
        <v>Lepotuoli</v>
      </c>
    </row>
    <row r="2841" spans="1:8" x14ac:dyDescent="0.35">
      <c r="A2841" t="s">
        <v>38</v>
      </c>
      <c r="B2841">
        <v>2015</v>
      </c>
      <c r="C2841">
        <v>6</v>
      </c>
      <c r="D2841">
        <v>12184</v>
      </c>
      <c r="E2841">
        <v>58</v>
      </c>
      <c r="F2841">
        <v>6215.29</v>
      </c>
      <c r="G2841">
        <v>3384.13</v>
      </c>
      <c r="H2841" t="str">
        <f>VLOOKUP(myynnit[[#This Row],[TuoteID]],ohjaus!$A$4:$B$20,2,FALSE)</f>
        <v>Rahi</v>
      </c>
    </row>
    <row r="2842" spans="1:8" x14ac:dyDescent="0.35">
      <c r="A2842" t="s">
        <v>38</v>
      </c>
      <c r="B2842">
        <v>2015</v>
      </c>
      <c r="C2842">
        <v>6</v>
      </c>
      <c r="D2842">
        <v>12622</v>
      </c>
      <c r="E2842">
        <v>34</v>
      </c>
      <c r="F2842">
        <v>9762.08</v>
      </c>
      <c r="G2842">
        <v>4671.22</v>
      </c>
      <c r="H2842" t="str">
        <f>VLOOKUP(myynnit[[#This Row],[TuoteID]],ohjaus!$A$4:$B$20,2,FALSE)</f>
        <v>Pianotuoli</v>
      </c>
    </row>
    <row r="2843" spans="1:8" x14ac:dyDescent="0.35">
      <c r="A2843" t="s">
        <v>38</v>
      </c>
      <c r="B2843">
        <v>2015</v>
      </c>
      <c r="C2843">
        <v>6</v>
      </c>
      <c r="D2843">
        <v>13527</v>
      </c>
      <c r="E2843">
        <v>625</v>
      </c>
      <c r="F2843">
        <v>100262.77</v>
      </c>
      <c r="G2843">
        <v>19107.16</v>
      </c>
      <c r="H2843" t="str">
        <f>VLOOKUP(myynnit[[#This Row],[TuoteID]],ohjaus!$A$4:$B$20,2,FALSE)</f>
        <v>Pinnatuoli</v>
      </c>
    </row>
    <row r="2844" spans="1:8" x14ac:dyDescent="0.35">
      <c r="A2844" t="s">
        <v>38</v>
      </c>
      <c r="B2844">
        <v>2015</v>
      </c>
      <c r="C2844">
        <v>6</v>
      </c>
      <c r="D2844">
        <v>13618</v>
      </c>
      <c r="E2844">
        <v>8</v>
      </c>
      <c r="F2844">
        <v>2793.04</v>
      </c>
      <c r="G2844">
        <v>1234.54</v>
      </c>
      <c r="H2844" t="str">
        <f>VLOOKUP(myynnit[[#This Row],[TuoteID]],ohjaus!$A$4:$B$20,2,FALSE)</f>
        <v>Pianotuoli</v>
      </c>
    </row>
    <row r="2845" spans="1:8" x14ac:dyDescent="0.35">
      <c r="A2845" t="s">
        <v>38</v>
      </c>
      <c r="B2845">
        <v>2015</v>
      </c>
      <c r="C2845">
        <v>6</v>
      </c>
      <c r="D2845">
        <v>16024</v>
      </c>
      <c r="E2845">
        <v>218</v>
      </c>
      <c r="F2845">
        <v>90819.27</v>
      </c>
      <c r="G2845">
        <v>24126.17</v>
      </c>
      <c r="H2845" t="str">
        <f>VLOOKUP(myynnit[[#This Row],[TuoteID]],ohjaus!$A$4:$B$20,2,FALSE)</f>
        <v>Työtuoli</v>
      </c>
    </row>
    <row r="2846" spans="1:8" x14ac:dyDescent="0.35">
      <c r="A2846" t="s">
        <v>38</v>
      </c>
      <c r="B2846">
        <v>2015</v>
      </c>
      <c r="C2846">
        <v>6</v>
      </c>
      <c r="D2846">
        <v>16650</v>
      </c>
      <c r="E2846">
        <v>25</v>
      </c>
      <c r="F2846">
        <v>3165.56</v>
      </c>
      <c r="G2846">
        <v>1934</v>
      </c>
      <c r="H2846" t="str">
        <f>VLOOKUP(myynnit[[#This Row],[TuoteID]],ohjaus!$A$4:$B$20,2,FALSE)</f>
        <v>Rahi</v>
      </c>
    </row>
    <row r="2847" spans="1:8" x14ac:dyDescent="0.35">
      <c r="A2847" t="s">
        <v>38</v>
      </c>
      <c r="B2847">
        <v>2015</v>
      </c>
      <c r="C2847">
        <v>6</v>
      </c>
      <c r="D2847">
        <v>17892</v>
      </c>
      <c r="E2847">
        <v>77</v>
      </c>
      <c r="F2847">
        <v>10705</v>
      </c>
      <c r="G2847">
        <v>2761.83</v>
      </c>
      <c r="H2847" t="str">
        <f>VLOOKUP(myynnit[[#This Row],[TuoteID]],ohjaus!$A$4:$B$20,2,FALSE)</f>
        <v>Lepotuoli</v>
      </c>
    </row>
    <row r="2848" spans="1:8" x14ac:dyDescent="0.35">
      <c r="A2848" t="s">
        <v>38</v>
      </c>
      <c r="B2848">
        <v>2015</v>
      </c>
      <c r="C2848">
        <v>6</v>
      </c>
      <c r="D2848">
        <v>18342</v>
      </c>
      <c r="E2848">
        <v>162</v>
      </c>
      <c r="F2848">
        <v>129363.66</v>
      </c>
      <c r="G2848">
        <v>35581.79</v>
      </c>
      <c r="H2848" t="str">
        <f>VLOOKUP(myynnit[[#This Row],[TuoteID]],ohjaus!$A$4:$B$20,2,FALSE)</f>
        <v>Työtuoli</v>
      </c>
    </row>
    <row r="2849" spans="1:8" x14ac:dyDescent="0.35">
      <c r="A2849" t="s">
        <v>38</v>
      </c>
      <c r="B2849">
        <v>2015</v>
      </c>
      <c r="C2849">
        <v>6</v>
      </c>
      <c r="D2849">
        <v>20177</v>
      </c>
      <c r="E2849">
        <v>53</v>
      </c>
      <c r="F2849">
        <v>4894.13</v>
      </c>
      <c r="G2849">
        <v>1775.71</v>
      </c>
      <c r="H2849" t="str">
        <f>VLOOKUP(myynnit[[#This Row],[TuoteID]],ohjaus!$A$4:$B$20,2,FALSE)</f>
        <v>Säkkituoli</v>
      </c>
    </row>
    <row r="2850" spans="1:8" x14ac:dyDescent="0.35">
      <c r="A2850" t="s">
        <v>38</v>
      </c>
      <c r="B2850">
        <v>2015</v>
      </c>
      <c r="C2850">
        <v>6</v>
      </c>
      <c r="D2850">
        <v>21179</v>
      </c>
      <c r="E2850">
        <v>38</v>
      </c>
      <c r="F2850">
        <v>5404.39</v>
      </c>
      <c r="G2850">
        <v>2664.33</v>
      </c>
      <c r="H2850" t="str">
        <f>VLOOKUP(myynnit[[#This Row],[TuoteID]],ohjaus!$A$4:$B$20,2,FALSE)</f>
        <v>Rahi</v>
      </c>
    </row>
    <row r="2851" spans="1:8" x14ac:dyDescent="0.35">
      <c r="A2851" t="s">
        <v>38</v>
      </c>
      <c r="B2851">
        <v>2015</v>
      </c>
      <c r="C2851">
        <v>6</v>
      </c>
      <c r="D2851">
        <v>21260</v>
      </c>
      <c r="E2851">
        <v>81</v>
      </c>
      <c r="F2851">
        <v>13866.29</v>
      </c>
      <c r="G2851">
        <v>3004.09</v>
      </c>
      <c r="H2851" t="str">
        <f>VLOOKUP(myynnit[[#This Row],[TuoteID]],ohjaus!$A$4:$B$20,2,FALSE)</f>
        <v>Lepotuoli</v>
      </c>
    </row>
    <row r="2852" spans="1:8" x14ac:dyDescent="0.35">
      <c r="A2852" t="s">
        <v>38</v>
      </c>
      <c r="B2852">
        <v>2015</v>
      </c>
      <c r="C2852">
        <v>6</v>
      </c>
      <c r="D2852">
        <v>22317</v>
      </c>
      <c r="E2852">
        <v>48</v>
      </c>
      <c r="F2852">
        <v>3930.27</v>
      </c>
      <c r="G2852">
        <v>1352.7</v>
      </c>
      <c r="H2852" t="str">
        <f>VLOOKUP(myynnit[[#This Row],[TuoteID]],ohjaus!$A$4:$B$20,2,FALSE)</f>
        <v>Säkkituoli</v>
      </c>
    </row>
    <row r="2853" spans="1:8" x14ac:dyDescent="0.35">
      <c r="A2853" t="s">
        <v>38</v>
      </c>
      <c r="B2853">
        <v>2015</v>
      </c>
      <c r="C2853">
        <v>6</v>
      </c>
      <c r="D2853">
        <v>22940</v>
      </c>
      <c r="E2853">
        <v>670</v>
      </c>
      <c r="F2853">
        <v>83817.37</v>
      </c>
      <c r="G2853">
        <v>18168.48</v>
      </c>
      <c r="H2853" t="str">
        <f>VLOOKUP(myynnit[[#This Row],[TuoteID]],ohjaus!$A$4:$B$20,2,FALSE)</f>
        <v>Pinnatuoli</v>
      </c>
    </row>
    <row r="2854" spans="1:8" x14ac:dyDescent="0.35">
      <c r="A2854" t="s">
        <v>38</v>
      </c>
      <c r="B2854">
        <v>2015</v>
      </c>
      <c r="C2854">
        <v>6</v>
      </c>
      <c r="D2854">
        <v>23178</v>
      </c>
      <c r="E2854">
        <v>138</v>
      </c>
      <c r="F2854">
        <v>24819.9</v>
      </c>
      <c r="G2854">
        <v>4395.07</v>
      </c>
      <c r="H2854" t="str">
        <f>VLOOKUP(myynnit[[#This Row],[TuoteID]],ohjaus!$A$4:$B$20,2,FALSE)</f>
        <v>Pinnatuoli</v>
      </c>
    </row>
    <row r="2855" spans="1:8" x14ac:dyDescent="0.35">
      <c r="A2855" t="s">
        <v>38</v>
      </c>
      <c r="B2855">
        <v>2015</v>
      </c>
      <c r="C2855">
        <v>6</v>
      </c>
      <c r="D2855">
        <v>23600</v>
      </c>
      <c r="E2855">
        <v>866</v>
      </c>
      <c r="F2855">
        <v>86577.79</v>
      </c>
      <c r="G2855">
        <v>18208.32</v>
      </c>
      <c r="H2855" t="str">
        <f>VLOOKUP(myynnit[[#This Row],[TuoteID]],ohjaus!$A$4:$B$20,2,FALSE)</f>
        <v>Pinnatuoli</v>
      </c>
    </row>
    <row r="2856" spans="1:8" x14ac:dyDescent="0.35">
      <c r="A2856" t="s">
        <v>38</v>
      </c>
      <c r="B2856">
        <v>2015</v>
      </c>
      <c r="C2856">
        <v>6</v>
      </c>
      <c r="D2856">
        <v>23756</v>
      </c>
      <c r="E2856">
        <v>98</v>
      </c>
      <c r="F2856">
        <v>20734.439999999999</v>
      </c>
      <c r="G2856">
        <v>8301.39</v>
      </c>
      <c r="H2856" t="str">
        <f>VLOOKUP(myynnit[[#This Row],[TuoteID]],ohjaus!$A$4:$B$20,2,FALSE)</f>
        <v>Pianotuoli</v>
      </c>
    </row>
    <row r="2857" spans="1:8" x14ac:dyDescent="0.35">
      <c r="A2857" t="s">
        <v>38</v>
      </c>
      <c r="B2857">
        <v>2015</v>
      </c>
      <c r="C2857">
        <v>6</v>
      </c>
      <c r="D2857">
        <v>24326</v>
      </c>
      <c r="E2857">
        <v>88</v>
      </c>
      <c r="F2857">
        <v>11600.02</v>
      </c>
      <c r="G2857">
        <v>3142.17</v>
      </c>
      <c r="H2857" t="str">
        <f>VLOOKUP(myynnit[[#This Row],[TuoteID]],ohjaus!$A$4:$B$20,2,FALSE)</f>
        <v>Lepotuoli</v>
      </c>
    </row>
    <row r="2858" spans="1:8" x14ac:dyDescent="0.35">
      <c r="A2858" t="s">
        <v>37</v>
      </c>
      <c r="B2858">
        <v>2015</v>
      </c>
      <c r="C2858">
        <v>7</v>
      </c>
      <c r="D2858">
        <v>12184</v>
      </c>
      <c r="E2858">
        <v>52</v>
      </c>
      <c r="F2858">
        <v>6199.24</v>
      </c>
      <c r="G2858">
        <v>2786.73</v>
      </c>
      <c r="H2858" t="str">
        <f>VLOOKUP(myynnit[[#This Row],[TuoteID]],ohjaus!$A$4:$B$20,2,FALSE)</f>
        <v>Rahi</v>
      </c>
    </row>
    <row r="2859" spans="1:8" x14ac:dyDescent="0.35">
      <c r="A2859" t="s">
        <v>37</v>
      </c>
      <c r="B2859">
        <v>2015</v>
      </c>
      <c r="C2859">
        <v>7</v>
      </c>
      <c r="D2859">
        <v>12622</v>
      </c>
      <c r="E2859">
        <v>41</v>
      </c>
      <c r="F2859">
        <v>10224.549999999999</v>
      </c>
      <c r="G2859">
        <v>4647.83</v>
      </c>
      <c r="H2859" t="str">
        <f>VLOOKUP(myynnit[[#This Row],[TuoteID]],ohjaus!$A$4:$B$20,2,FALSE)</f>
        <v>Pianotuoli</v>
      </c>
    </row>
    <row r="2860" spans="1:8" x14ac:dyDescent="0.35">
      <c r="A2860" t="s">
        <v>37</v>
      </c>
      <c r="B2860">
        <v>2015</v>
      </c>
      <c r="C2860">
        <v>7</v>
      </c>
      <c r="D2860">
        <v>13527</v>
      </c>
      <c r="E2860">
        <v>473</v>
      </c>
      <c r="F2860">
        <v>80793.08</v>
      </c>
      <c r="G2860">
        <v>16765.939999999999</v>
      </c>
      <c r="H2860" t="str">
        <f>VLOOKUP(myynnit[[#This Row],[TuoteID]],ohjaus!$A$4:$B$20,2,FALSE)</f>
        <v>Pinnatuoli</v>
      </c>
    </row>
    <row r="2861" spans="1:8" x14ac:dyDescent="0.35">
      <c r="A2861" t="s">
        <v>37</v>
      </c>
      <c r="B2861">
        <v>2015</v>
      </c>
      <c r="C2861">
        <v>7</v>
      </c>
      <c r="D2861">
        <v>13618</v>
      </c>
      <c r="E2861">
        <v>28</v>
      </c>
      <c r="F2861">
        <v>12517.64</v>
      </c>
      <c r="G2861">
        <v>5413.16</v>
      </c>
      <c r="H2861" t="str">
        <f>VLOOKUP(myynnit[[#This Row],[TuoteID]],ohjaus!$A$4:$B$20,2,FALSE)</f>
        <v>Pianotuoli</v>
      </c>
    </row>
    <row r="2862" spans="1:8" x14ac:dyDescent="0.35">
      <c r="A2862" t="s">
        <v>37</v>
      </c>
      <c r="B2862">
        <v>2015</v>
      </c>
      <c r="C2862">
        <v>7</v>
      </c>
      <c r="D2862">
        <v>16024</v>
      </c>
      <c r="E2862">
        <v>254</v>
      </c>
      <c r="F2862">
        <v>102862.6</v>
      </c>
      <c r="G2862">
        <v>29822.6</v>
      </c>
      <c r="H2862" t="str">
        <f>VLOOKUP(myynnit[[#This Row],[TuoteID]],ohjaus!$A$4:$B$20,2,FALSE)</f>
        <v>Työtuoli</v>
      </c>
    </row>
    <row r="2863" spans="1:8" x14ac:dyDescent="0.35">
      <c r="A2863" t="s">
        <v>37</v>
      </c>
      <c r="B2863">
        <v>2015</v>
      </c>
      <c r="C2863">
        <v>7</v>
      </c>
      <c r="D2863">
        <v>16650</v>
      </c>
      <c r="E2863">
        <v>79</v>
      </c>
      <c r="F2863">
        <v>12824.77</v>
      </c>
      <c r="G2863">
        <v>6986.33</v>
      </c>
      <c r="H2863" t="str">
        <f>VLOOKUP(myynnit[[#This Row],[TuoteID]],ohjaus!$A$4:$B$20,2,FALSE)</f>
        <v>Rahi</v>
      </c>
    </row>
    <row r="2864" spans="1:8" x14ac:dyDescent="0.35">
      <c r="A2864" t="s">
        <v>37</v>
      </c>
      <c r="B2864">
        <v>2015</v>
      </c>
      <c r="C2864">
        <v>7</v>
      </c>
      <c r="D2864">
        <v>17892</v>
      </c>
      <c r="E2864">
        <v>131</v>
      </c>
      <c r="F2864">
        <v>19407.52</v>
      </c>
      <c r="G2864">
        <v>5280.52</v>
      </c>
      <c r="H2864" t="str">
        <f>VLOOKUP(myynnit[[#This Row],[TuoteID]],ohjaus!$A$4:$B$20,2,FALSE)</f>
        <v>Lepotuoli</v>
      </c>
    </row>
    <row r="2865" spans="1:8" x14ac:dyDescent="0.35">
      <c r="A2865" t="s">
        <v>37</v>
      </c>
      <c r="B2865">
        <v>2015</v>
      </c>
      <c r="C2865">
        <v>7</v>
      </c>
      <c r="D2865">
        <v>18342</v>
      </c>
      <c r="E2865">
        <v>212</v>
      </c>
      <c r="F2865">
        <v>177616.58</v>
      </c>
      <c r="G2865">
        <v>53138.54</v>
      </c>
      <c r="H2865" t="str">
        <f>VLOOKUP(myynnit[[#This Row],[TuoteID]],ohjaus!$A$4:$B$20,2,FALSE)</f>
        <v>Työtuoli</v>
      </c>
    </row>
    <row r="2866" spans="1:8" x14ac:dyDescent="0.35">
      <c r="A2866" t="s">
        <v>37</v>
      </c>
      <c r="B2866">
        <v>2015</v>
      </c>
      <c r="C2866">
        <v>7</v>
      </c>
      <c r="D2866">
        <v>20177</v>
      </c>
      <c r="E2866">
        <v>138</v>
      </c>
      <c r="F2866">
        <v>15619.63</v>
      </c>
      <c r="G2866">
        <v>5215.2700000000004</v>
      </c>
      <c r="H2866" t="str">
        <f>VLOOKUP(myynnit[[#This Row],[TuoteID]],ohjaus!$A$4:$B$20,2,FALSE)</f>
        <v>Säkkituoli</v>
      </c>
    </row>
    <row r="2867" spans="1:8" x14ac:dyDescent="0.35">
      <c r="A2867" t="s">
        <v>37</v>
      </c>
      <c r="B2867">
        <v>2015</v>
      </c>
      <c r="C2867">
        <v>7</v>
      </c>
      <c r="D2867">
        <v>21179</v>
      </c>
      <c r="E2867">
        <v>37</v>
      </c>
      <c r="F2867">
        <v>3671.56</v>
      </c>
      <c r="G2867">
        <v>1499.01</v>
      </c>
      <c r="H2867" t="str">
        <f>VLOOKUP(myynnit[[#This Row],[TuoteID]],ohjaus!$A$4:$B$20,2,FALSE)</f>
        <v>Rahi</v>
      </c>
    </row>
    <row r="2868" spans="1:8" x14ac:dyDescent="0.35">
      <c r="A2868" t="s">
        <v>37</v>
      </c>
      <c r="B2868">
        <v>2015</v>
      </c>
      <c r="C2868">
        <v>7</v>
      </c>
      <c r="D2868">
        <v>21260</v>
      </c>
      <c r="E2868">
        <v>93</v>
      </c>
      <c r="F2868">
        <v>16813.21</v>
      </c>
      <c r="G2868">
        <v>4411.58</v>
      </c>
      <c r="H2868" t="str">
        <f>VLOOKUP(myynnit[[#This Row],[TuoteID]],ohjaus!$A$4:$B$20,2,FALSE)</f>
        <v>Lepotuoli</v>
      </c>
    </row>
    <row r="2869" spans="1:8" x14ac:dyDescent="0.35">
      <c r="A2869" t="s">
        <v>37</v>
      </c>
      <c r="B2869">
        <v>2015</v>
      </c>
      <c r="C2869">
        <v>7</v>
      </c>
      <c r="D2869">
        <v>22317</v>
      </c>
      <c r="E2869">
        <v>50</v>
      </c>
      <c r="F2869">
        <v>4348.82</v>
      </c>
      <c r="G2869">
        <v>1521.26</v>
      </c>
      <c r="H2869" t="str">
        <f>VLOOKUP(myynnit[[#This Row],[TuoteID]],ohjaus!$A$4:$B$20,2,FALSE)</f>
        <v>Säkkituoli</v>
      </c>
    </row>
    <row r="2870" spans="1:8" x14ac:dyDescent="0.35">
      <c r="A2870" t="s">
        <v>37</v>
      </c>
      <c r="B2870">
        <v>2015</v>
      </c>
      <c r="C2870">
        <v>7</v>
      </c>
      <c r="D2870">
        <v>22940</v>
      </c>
      <c r="E2870">
        <v>573</v>
      </c>
      <c r="F2870">
        <v>72944.100000000006</v>
      </c>
      <c r="G2870">
        <v>12535.47</v>
      </c>
      <c r="H2870" t="str">
        <f>VLOOKUP(myynnit[[#This Row],[TuoteID]],ohjaus!$A$4:$B$20,2,FALSE)</f>
        <v>Pinnatuoli</v>
      </c>
    </row>
    <row r="2871" spans="1:8" x14ac:dyDescent="0.35">
      <c r="A2871" t="s">
        <v>37</v>
      </c>
      <c r="B2871">
        <v>2015</v>
      </c>
      <c r="C2871">
        <v>7</v>
      </c>
      <c r="D2871">
        <v>23178</v>
      </c>
      <c r="E2871">
        <v>366</v>
      </c>
      <c r="F2871">
        <v>67037.62</v>
      </c>
      <c r="G2871">
        <v>12677.9</v>
      </c>
      <c r="H2871" t="str">
        <f>VLOOKUP(myynnit[[#This Row],[TuoteID]],ohjaus!$A$4:$B$20,2,FALSE)</f>
        <v>Pinnatuoli</v>
      </c>
    </row>
    <row r="2872" spans="1:8" x14ac:dyDescent="0.35">
      <c r="A2872" t="s">
        <v>37</v>
      </c>
      <c r="B2872">
        <v>2015</v>
      </c>
      <c r="C2872">
        <v>7</v>
      </c>
      <c r="D2872">
        <v>23600</v>
      </c>
      <c r="E2872">
        <v>538</v>
      </c>
      <c r="F2872">
        <v>54465.04</v>
      </c>
      <c r="G2872">
        <v>14058.8</v>
      </c>
      <c r="H2872" t="str">
        <f>VLOOKUP(myynnit[[#This Row],[TuoteID]],ohjaus!$A$4:$B$20,2,FALSE)</f>
        <v>Pinnatuoli</v>
      </c>
    </row>
    <row r="2873" spans="1:8" x14ac:dyDescent="0.35">
      <c r="A2873" t="s">
        <v>37</v>
      </c>
      <c r="B2873">
        <v>2015</v>
      </c>
      <c r="C2873">
        <v>7</v>
      </c>
      <c r="D2873">
        <v>23756</v>
      </c>
      <c r="E2873">
        <v>114</v>
      </c>
      <c r="F2873">
        <v>17594.349999999999</v>
      </c>
      <c r="G2873">
        <v>8944.3799999999992</v>
      </c>
      <c r="H2873" t="str">
        <f>VLOOKUP(myynnit[[#This Row],[TuoteID]],ohjaus!$A$4:$B$20,2,FALSE)</f>
        <v>Pianotuoli</v>
      </c>
    </row>
    <row r="2874" spans="1:8" x14ac:dyDescent="0.35">
      <c r="A2874" t="s">
        <v>37</v>
      </c>
      <c r="B2874">
        <v>2015</v>
      </c>
      <c r="C2874">
        <v>7</v>
      </c>
      <c r="D2874">
        <v>24326</v>
      </c>
      <c r="E2874">
        <v>123</v>
      </c>
      <c r="F2874">
        <v>17042.86</v>
      </c>
      <c r="G2874">
        <v>4342.7299999999996</v>
      </c>
      <c r="H2874" t="str">
        <f>VLOOKUP(myynnit[[#This Row],[TuoteID]],ohjaus!$A$4:$B$20,2,FALSE)</f>
        <v>Lepotuoli</v>
      </c>
    </row>
    <row r="2875" spans="1:8" x14ac:dyDescent="0.35">
      <c r="A2875" t="s">
        <v>40</v>
      </c>
      <c r="B2875">
        <v>2015</v>
      </c>
      <c r="C2875">
        <v>7</v>
      </c>
      <c r="D2875">
        <v>12184</v>
      </c>
      <c r="E2875">
        <v>26</v>
      </c>
      <c r="F2875">
        <v>3463.15</v>
      </c>
      <c r="G2875">
        <v>1988.8</v>
      </c>
      <c r="H2875" t="str">
        <f>VLOOKUP(myynnit[[#This Row],[TuoteID]],ohjaus!$A$4:$B$20,2,FALSE)</f>
        <v>Rahi</v>
      </c>
    </row>
    <row r="2876" spans="1:8" x14ac:dyDescent="0.35">
      <c r="A2876" t="s">
        <v>40</v>
      </c>
      <c r="B2876">
        <v>2015</v>
      </c>
      <c r="C2876">
        <v>7</v>
      </c>
      <c r="D2876">
        <v>12622</v>
      </c>
      <c r="E2876">
        <v>14</v>
      </c>
      <c r="F2876">
        <v>3526.51</v>
      </c>
      <c r="G2876">
        <v>1418.91</v>
      </c>
      <c r="H2876" t="str">
        <f>VLOOKUP(myynnit[[#This Row],[TuoteID]],ohjaus!$A$4:$B$20,2,FALSE)</f>
        <v>Pianotuoli</v>
      </c>
    </row>
    <row r="2877" spans="1:8" x14ac:dyDescent="0.35">
      <c r="A2877" t="s">
        <v>40</v>
      </c>
      <c r="B2877">
        <v>2015</v>
      </c>
      <c r="C2877">
        <v>7</v>
      </c>
      <c r="D2877">
        <v>13527</v>
      </c>
      <c r="E2877">
        <v>192</v>
      </c>
      <c r="F2877">
        <v>28228.89</v>
      </c>
      <c r="G2877">
        <v>5121.47</v>
      </c>
      <c r="H2877" t="str">
        <f>VLOOKUP(myynnit[[#This Row],[TuoteID]],ohjaus!$A$4:$B$20,2,FALSE)</f>
        <v>Pinnatuoli</v>
      </c>
    </row>
    <row r="2878" spans="1:8" x14ac:dyDescent="0.35">
      <c r="A2878" t="s">
        <v>40</v>
      </c>
      <c r="B2878">
        <v>2015</v>
      </c>
      <c r="C2878">
        <v>7</v>
      </c>
      <c r="D2878">
        <v>13618</v>
      </c>
      <c r="E2878">
        <v>6</v>
      </c>
      <c r="F2878">
        <v>2285.5100000000002</v>
      </c>
      <c r="G2878">
        <v>1122.1300000000001</v>
      </c>
      <c r="H2878" t="str">
        <f>VLOOKUP(myynnit[[#This Row],[TuoteID]],ohjaus!$A$4:$B$20,2,FALSE)</f>
        <v>Pianotuoli</v>
      </c>
    </row>
    <row r="2879" spans="1:8" x14ac:dyDescent="0.35">
      <c r="A2879" t="s">
        <v>40</v>
      </c>
      <c r="B2879">
        <v>2015</v>
      </c>
      <c r="C2879">
        <v>7</v>
      </c>
      <c r="D2879">
        <v>16024</v>
      </c>
      <c r="E2879">
        <v>203</v>
      </c>
      <c r="F2879">
        <v>94042.03</v>
      </c>
      <c r="G2879">
        <v>27074.11</v>
      </c>
      <c r="H2879" t="str">
        <f>VLOOKUP(myynnit[[#This Row],[TuoteID]],ohjaus!$A$4:$B$20,2,FALSE)</f>
        <v>Työtuoli</v>
      </c>
    </row>
    <row r="2880" spans="1:8" x14ac:dyDescent="0.35">
      <c r="A2880" t="s">
        <v>40</v>
      </c>
      <c r="B2880">
        <v>2015</v>
      </c>
      <c r="C2880">
        <v>7</v>
      </c>
      <c r="D2880">
        <v>16650</v>
      </c>
      <c r="E2880">
        <v>25</v>
      </c>
      <c r="F2880">
        <v>4798.46</v>
      </c>
      <c r="G2880">
        <v>3108.59</v>
      </c>
      <c r="H2880" t="str">
        <f>VLOOKUP(myynnit[[#This Row],[TuoteID]],ohjaus!$A$4:$B$20,2,FALSE)</f>
        <v>Rahi</v>
      </c>
    </row>
    <row r="2881" spans="1:8" x14ac:dyDescent="0.35">
      <c r="A2881" t="s">
        <v>40</v>
      </c>
      <c r="B2881">
        <v>2015</v>
      </c>
      <c r="C2881">
        <v>7</v>
      </c>
      <c r="D2881">
        <v>17892</v>
      </c>
      <c r="E2881">
        <v>86</v>
      </c>
      <c r="F2881">
        <v>11346.54</v>
      </c>
      <c r="G2881">
        <v>2922.09</v>
      </c>
      <c r="H2881" t="str">
        <f>VLOOKUP(myynnit[[#This Row],[TuoteID]],ohjaus!$A$4:$B$20,2,FALSE)</f>
        <v>Lepotuoli</v>
      </c>
    </row>
    <row r="2882" spans="1:8" x14ac:dyDescent="0.35">
      <c r="A2882" t="s">
        <v>40</v>
      </c>
      <c r="B2882">
        <v>2015</v>
      </c>
      <c r="C2882">
        <v>7</v>
      </c>
      <c r="D2882">
        <v>18342</v>
      </c>
      <c r="E2882">
        <v>30</v>
      </c>
      <c r="F2882">
        <v>23717.43</v>
      </c>
      <c r="G2882">
        <v>6806.6</v>
      </c>
      <c r="H2882" t="str">
        <f>VLOOKUP(myynnit[[#This Row],[TuoteID]],ohjaus!$A$4:$B$20,2,FALSE)</f>
        <v>Työtuoli</v>
      </c>
    </row>
    <row r="2883" spans="1:8" x14ac:dyDescent="0.35">
      <c r="A2883" t="s">
        <v>40</v>
      </c>
      <c r="B2883">
        <v>2015</v>
      </c>
      <c r="C2883">
        <v>7</v>
      </c>
      <c r="D2883">
        <v>20177</v>
      </c>
      <c r="E2883">
        <v>15</v>
      </c>
      <c r="F2883">
        <v>1536.38</v>
      </c>
      <c r="G2883">
        <v>582.70000000000005</v>
      </c>
      <c r="H2883" t="str">
        <f>VLOOKUP(myynnit[[#This Row],[TuoteID]],ohjaus!$A$4:$B$20,2,FALSE)</f>
        <v>Säkkituoli</v>
      </c>
    </row>
    <row r="2884" spans="1:8" x14ac:dyDescent="0.35">
      <c r="A2884" t="s">
        <v>40</v>
      </c>
      <c r="B2884">
        <v>2015</v>
      </c>
      <c r="C2884">
        <v>7</v>
      </c>
      <c r="D2884">
        <v>21179</v>
      </c>
      <c r="E2884">
        <v>22</v>
      </c>
      <c r="F2884">
        <v>2483.06</v>
      </c>
      <c r="G2884">
        <v>1575.8</v>
      </c>
      <c r="H2884" t="str">
        <f>VLOOKUP(myynnit[[#This Row],[TuoteID]],ohjaus!$A$4:$B$20,2,FALSE)</f>
        <v>Rahi</v>
      </c>
    </row>
    <row r="2885" spans="1:8" x14ac:dyDescent="0.35">
      <c r="A2885" t="s">
        <v>40</v>
      </c>
      <c r="B2885">
        <v>2015</v>
      </c>
      <c r="C2885">
        <v>7</v>
      </c>
      <c r="D2885">
        <v>21260</v>
      </c>
      <c r="E2885">
        <v>53</v>
      </c>
      <c r="F2885">
        <v>10769.03</v>
      </c>
      <c r="G2885">
        <v>2979.64</v>
      </c>
      <c r="H2885" t="str">
        <f>VLOOKUP(myynnit[[#This Row],[TuoteID]],ohjaus!$A$4:$B$20,2,FALSE)</f>
        <v>Lepotuoli</v>
      </c>
    </row>
    <row r="2886" spans="1:8" x14ac:dyDescent="0.35">
      <c r="A2886" t="s">
        <v>40</v>
      </c>
      <c r="B2886">
        <v>2015</v>
      </c>
      <c r="C2886">
        <v>7</v>
      </c>
      <c r="D2886">
        <v>22317</v>
      </c>
      <c r="E2886">
        <v>12</v>
      </c>
      <c r="F2886">
        <v>1272.9000000000001</v>
      </c>
      <c r="G2886">
        <v>548.77</v>
      </c>
      <c r="H2886" t="str">
        <f>VLOOKUP(myynnit[[#This Row],[TuoteID]],ohjaus!$A$4:$B$20,2,FALSE)</f>
        <v>Säkkituoli</v>
      </c>
    </row>
    <row r="2887" spans="1:8" x14ac:dyDescent="0.35">
      <c r="A2887" t="s">
        <v>40</v>
      </c>
      <c r="B2887">
        <v>2015</v>
      </c>
      <c r="C2887">
        <v>7</v>
      </c>
      <c r="D2887">
        <v>22940</v>
      </c>
      <c r="E2887">
        <v>218</v>
      </c>
      <c r="F2887">
        <v>27475.99</v>
      </c>
      <c r="G2887">
        <v>8201.26</v>
      </c>
      <c r="H2887" t="str">
        <f>VLOOKUP(myynnit[[#This Row],[TuoteID]],ohjaus!$A$4:$B$20,2,FALSE)</f>
        <v>Pinnatuoli</v>
      </c>
    </row>
    <row r="2888" spans="1:8" x14ac:dyDescent="0.35">
      <c r="A2888" t="s">
        <v>40</v>
      </c>
      <c r="B2888">
        <v>2015</v>
      </c>
      <c r="C2888">
        <v>7</v>
      </c>
      <c r="D2888">
        <v>23178</v>
      </c>
      <c r="E2888">
        <v>117</v>
      </c>
      <c r="F2888">
        <v>22923.27</v>
      </c>
      <c r="G2888">
        <v>5402.68</v>
      </c>
      <c r="H2888" t="str">
        <f>VLOOKUP(myynnit[[#This Row],[TuoteID]],ohjaus!$A$4:$B$20,2,FALSE)</f>
        <v>Pinnatuoli</v>
      </c>
    </row>
    <row r="2889" spans="1:8" x14ac:dyDescent="0.35">
      <c r="A2889" t="s">
        <v>40</v>
      </c>
      <c r="B2889">
        <v>2015</v>
      </c>
      <c r="C2889">
        <v>7</v>
      </c>
      <c r="D2889">
        <v>23600</v>
      </c>
      <c r="E2889">
        <v>567</v>
      </c>
      <c r="F2889">
        <v>68402.740000000005</v>
      </c>
      <c r="G2889">
        <v>17021.919999999998</v>
      </c>
      <c r="H2889" t="str">
        <f>VLOOKUP(myynnit[[#This Row],[TuoteID]],ohjaus!$A$4:$B$20,2,FALSE)</f>
        <v>Pinnatuoli</v>
      </c>
    </row>
    <row r="2890" spans="1:8" x14ac:dyDescent="0.35">
      <c r="A2890" t="s">
        <v>40</v>
      </c>
      <c r="B2890">
        <v>2015</v>
      </c>
      <c r="C2890">
        <v>7</v>
      </c>
      <c r="D2890">
        <v>23756</v>
      </c>
      <c r="E2890">
        <v>47</v>
      </c>
      <c r="F2890">
        <v>8605.5300000000007</v>
      </c>
      <c r="G2890">
        <v>3889</v>
      </c>
      <c r="H2890" t="str">
        <f>VLOOKUP(myynnit[[#This Row],[TuoteID]],ohjaus!$A$4:$B$20,2,FALSE)</f>
        <v>Pianotuoli</v>
      </c>
    </row>
    <row r="2891" spans="1:8" x14ac:dyDescent="0.35">
      <c r="A2891" t="s">
        <v>40</v>
      </c>
      <c r="B2891">
        <v>2015</v>
      </c>
      <c r="C2891">
        <v>7</v>
      </c>
      <c r="D2891">
        <v>24326</v>
      </c>
      <c r="E2891">
        <v>19</v>
      </c>
      <c r="F2891">
        <v>2665.18</v>
      </c>
      <c r="G2891">
        <v>727.82</v>
      </c>
      <c r="H2891" t="str">
        <f>VLOOKUP(myynnit[[#This Row],[TuoteID]],ohjaus!$A$4:$B$20,2,FALSE)</f>
        <v>Lepotuoli</v>
      </c>
    </row>
    <row r="2892" spans="1:8" x14ac:dyDescent="0.35">
      <c r="A2892" t="s">
        <v>39</v>
      </c>
      <c r="B2892">
        <v>2015</v>
      </c>
      <c r="C2892">
        <v>7</v>
      </c>
      <c r="D2892">
        <v>12184</v>
      </c>
      <c r="E2892">
        <v>65</v>
      </c>
      <c r="F2892">
        <v>7680.08</v>
      </c>
      <c r="G2892">
        <v>4649.8999999999996</v>
      </c>
      <c r="H2892" t="str">
        <f>VLOOKUP(myynnit[[#This Row],[TuoteID]],ohjaus!$A$4:$B$20,2,FALSE)</f>
        <v>Rahi</v>
      </c>
    </row>
    <row r="2893" spans="1:8" x14ac:dyDescent="0.35">
      <c r="A2893" t="s">
        <v>39</v>
      </c>
      <c r="B2893">
        <v>2015</v>
      </c>
      <c r="C2893">
        <v>7</v>
      </c>
      <c r="D2893">
        <v>12622</v>
      </c>
      <c r="E2893">
        <v>49</v>
      </c>
      <c r="F2893">
        <v>12825.13</v>
      </c>
      <c r="G2893">
        <v>7503.66</v>
      </c>
      <c r="H2893" t="str">
        <f>VLOOKUP(myynnit[[#This Row],[TuoteID]],ohjaus!$A$4:$B$20,2,FALSE)</f>
        <v>Pianotuoli</v>
      </c>
    </row>
    <row r="2894" spans="1:8" x14ac:dyDescent="0.35">
      <c r="A2894" t="s">
        <v>39</v>
      </c>
      <c r="B2894">
        <v>2015</v>
      </c>
      <c r="C2894">
        <v>7</v>
      </c>
      <c r="D2894">
        <v>13527</v>
      </c>
      <c r="E2894">
        <v>345</v>
      </c>
      <c r="F2894">
        <v>62572.57</v>
      </c>
      <c r="G2894">
        <v>15967.27</v>
      </c>
      <c r="H2894" t="str">
        <f>VLOOKUP(myynnit[[#This Row],[TuoteID]],ohjaus!$A$4:$B$20,2,FALSE)</f>
        <v>Pinnatuoli</v>
      </c>
    </row>
    <row r="2895" spans="1:8" x14ac:dyDescent="0.35">
      <c r="A2895" t="s">
        <v>39</v>
      </c>
      <c r="B2895">
        <v>2015</v>
      </c>
      <c r="C2895">
        <v>7</v>
      </c>
      <c r="D2895">
        <v>13618</v>
      </c>
      <c r="E2895">
        <v>18</v>
      </c>
      <c r="F2895">
        <v>6839.4</v>
      </c>
      <c r="G2895">
        <v>4114.01</v>
      </c>
      <c r="H2895" t="str">
        <f>VLOOKUP(myynnit[[#This Row],[TuoteID]],ohjaus!$A$4:$B$20,2,FALSE)</f>
        <v>Pianotuoli</v>
      </c>
    </row>
    <row r="2896" spans="1:8" x14ac:dyDescent="0.35">
      <c r="A2896" t="s">
        <v>39</v>
      </c>
      <c r="B2896">
        <v>2015</v>
      </c>
      <c r="C2896">
        <v>7</v>
      </c>
      <c r="D2896">
        <v>16024</v>
      </c>
      <c r="E2896">
        <v>326</v>
      </c>
      <c r="F2896">
        <v>149521.41</v>
      </c>
      <c r="G2896">
        <v>46726.879999999997</v>
      </c>
      <c r="H2896" t="str">
        <f>VLOOKUP(myynnit[[#This Row],[TuoteID]],ohjaus!$A$4:$B$20,2,FALSE)</f>
        <v>Työtuoli</v>
      </c>
    </row>
    <row r="2897" spans="1:8" x14ac:dyDescent="0.35">
      <c r="A2897" t="s">
        <v>39</v>
      </c>
      <c r="B2897">
        <v>2015</v>
      </c>
      <c r="C2897">
        <v>7</v>
      </c>
      <c r="D2897">
        <v>16650</v>
      </c>
      <c r="E2897">
        <v>37</v>
      </c>
      <c r="F2897">
        <v>6896.72</v>
      </c>
      <c r="G2897">
        <v>5409.38</v>
      </c>
      <c r="H2897" t="str">
        <f>VLOOKUP(myynnit[[#This Row],[TuoteID]],ohjaus!$A$4:$B$20,2,FALSE)</f>
        <v>Rahi</v>
      </c>
    </row>
    <row r="2898" spans="1:8" x14ac:dyDescent="0.35">
      <c r="A2898" t="s">
        <v>39</v>
      </c>
      <c r="B2898">
        <v>2015</v>
      </c>
      <c r="C2898">
        <v>7</v>
      </c>
      <c r="D2898">
        <v>17892</v>
      </c>
      <c r="E2898">
        <v>67</v>
      </c>
      <c r="F2898">
        <v>9309</v>
      </c>
      <c r="G2898">
        <v>2801.04</v>
      </c>
      <c r="H2898" t="str">
        <f>VLOOKUP(myynnit[[#This Row],[TuoteID]],ohjaus!$A$4:$B$20,2,FALSE)</f>
        <v>Lepotuoli</v>
      </c>
    </row>
    <row r="2899" spans="1:8" x14ac:dyDescent="0.35">
      <c r="A2899" t="s">
        <v>39</v>
      </c>
      <c r="B2899">
        <v>2015</v>
      </c>
      <c r="C2899">
        <v>7</v>
      </c>
      <c r="D2899">
        <v>18342</v>
      </c>
      <c r="E2899">
        <v>148</v>
      </c>
      <c r="F2899">
        <v>119731.78</v>
      </c>
      <c r="G2899">
        <v>40798.300000000003</v>
      </c>
      <c r="H2899" t="str">
        <f>VLOOKUP(myynnit[[#This Row],[TuoteID]],ohjaus!$A$4:$B$20,2,FALSE)</f>
        <v>Työtuoli</v>
      </c>
    </row>
    <row r="2900" spans="1:8" x14ac:dyDescent="0.35">
      <c r="A2900" t="s">
        <v>39</v>
      </c>
      <c r="B2900">
        <v>2015</v>
      </c>
      <c r="C2900">
        <v>7</v>
      </c>
      <c r="D2900">
        <v>20177</v>
      </c>
      <c r="E2900">
        <v>53</v>
      </c>
      <c r="F2900">
        <v>5234.8599999999997</v>
      </c>
      <c r="G2900">
        <v>2268.12</v>
      </c>
      <c r="H2900" t="str">
        <f>VLOOKUP(myynnit[[#This Row],[TuoteID]],ohjaus!$A$4:$B$20,2,FALSE)</f>
        <v>Säkkituoli</v>
      </c>
    </row>
    <row r="2901" spans="1:8" x14ac:dyDescent="0.35">
      <c r="A2901" t="s">
        <v>39</v>
      </c>
      <c r="B2901">
        <v>2015</v>
      </c>
      <c r="C2901">
        <v>7</v>
      </c>
      <c r="D2901">
        <v>21179</v>
      </c>
      <c r="E2901">
        <v>39</v>
      </c>
      <c r="F2901">
        <v>5314.24</v>
      </c>
      <c r="G2901">
        <v>4007.71</v>
      </c>
      <c r="H2901" t="str">
        <f>VLOOKUP(myynnit[[#This Row],[TuoteID]],ohjaus!$A$4:$B$20,2,FALSE)</f>
        <v>Rahi</v>
      </c>
    </row>
    <row r="2902" spans="1:8" x14ac:dyDescent="0.35">
      <c r="A2902" t="s">
        <v>39</v>
      </c>
      <c r="B2902">
        <v>2015</v>
      </c>
      <c r="C2902">
        <v>7</v>
      </c>
      <c r="D2902">
        <v>21260</v>
      </c>
      <c r="E2902">
        <v>57</v>
      </c>
      <c r="F2902">
        <v>11971.25</v>
      </c>
      <c r="G2902">
        <v>4035.82</v>
      </c>
      <c r="H2902" t="str">
        <f>VLOOKUP(myynnit[[#This Row],[TuoteID]],ohjaus!$A$4:$B$20,2,FALSE)</f>
        <v>Lepotuoli</v>
      </c>
    </row>
    <row r="2903" spans="1:8" x14ac:dyDescent="0.35">
      <c r="A2903" t="s">
        <v>39</v>
      </c>
      <c r="B2903">
        <v>2015</v>
      </c>
      <c r="C2903">
        <v>7</v>
      </c>
      <c r="D2903">
        <v>22317</v>
      </c>
      <c r="E2903">
        <v>25</v>
      </c>
      <c r="F2903">
        <v>2389.09</v>
      </c>
      <c r="G2903">
        <v>1173.82</v>
      </c>
      <c r="H2903" t="str">
        <f>VLOOKUP(myynnit[[#This Row],[TuoteID]],ohjaus!$A$4:$B$20,2,FALSE)</f>
        <v>Säkkituoli</v>
      </c>
    </row>
    <row r="2904" spans="1:8" x14ac:dyDescent="0.35">
      <c r="A2904" t="s">
        <v>39</v>
      </c>
      <c r="B2904">
        <v>2015</v>
      </c>
      <c r="C2904">
        <v>7</v>
      </c>
      <c r="D2904">
        <v>22940</v>
      </c>
      <c r="E2904">
        <v>483</v>
      </c>
      <c r="F2904">
        <v>68547.929999999993</v>
      </c>
      <c r="G2904">
        <v>18809.18</v>
      </c>
      <c r="H2904" t="str">
        <f>VLOOKUP(myynnit[[#This Row],[TuoteID]],ohjaus!$A$4:$B$20,2,FALSE)</f>
        <v>Pinnatuoli</v>
      </c>
    </row>
    <row r="2905" spans="1:8" x14ac:dyDescent="0.35">
      <c r="A2905" t="s">
        <v>39</v>
      </c>
      <c r="B2905">
        <v>2015</v>
      </c>
      <c r="C2905">
        <v>7</v>
      </c>
      <c r="D2905">
        <v>23178</v>
      </c>
      <c r="E2905">
        <v>115</v>
      </c>
      <c r="F2905">
        <v>21208.55</v>
      </c>
      <c r="G2905">
        <v>4719.62</v>
      </c>
      <c r="H2905" t="str">
        <f>VLOOKUP(myynnit[[#This Row],[TuoteID]],ohjaus!$A$4:$B$20,2,FALSE)</f>
        <v>Pinnatuoli</v>
      </c>
    </row>
    <row r="2906" spans="1:8" x14ac:dyDescent="0.35">
      <c r="A2906" t="s">
        <v>39</v>
      </c>
      <c r="B2906">
        <v>2015</v>
      </c>
      <c r="C2906">
        <v>7</v>
      </c>
      <c r="D2906">
        <v>23600</v>
      </c>
      <c r="E2906">
        <v>846</v>
      </c>
      <c r="F2906">
        <v>101763.23</v>
      </c>
      <c r="G2906">
        <v>25474.47</v>
      </c>
      <c r="H2906" t="str">
        <f>VLOOKUP(myynnit[[#This Row],[TuoteID]],ohjaus!$A$4:$B$20,2,FALSE)</f>
        <v>Pinnatuoli</v>
      </c>
    </row>
    <row r="2907" spans="1:8" x14ac:dyDescent="0.35">
      <c r="A2907" t="s">
        <v>39</v>
      </c>
      <c r="B2907">
        <v>2015</v>
      </c>
      <c r="C2907">
        <v>7</v>
      </c>
      <c r="D2907">
        <v>23756</v>
      </c>
      <c r="E2907">
        <v>116</v>
      </c>
      <c r="F2907">
        <v>23256.93</v>
      </c>
      <c r="G2907">
        <v>12620.9</v>
      </c>
      <c r="H2907" t="str">
        <f>VLOOKUP(myynnit[[#This Row],[TuoteID]],ohjaus!$A$4:$B$20,2,FALSE)</f>
        <v>Pianotuoli</v>
      </c>
    </row>
    <row r="2908" spans="1:8" x14ac:dyDescent="0.35">
      <c r="A2908" t="s">
        <v>39</v>
      </c>
      <c r="B2908">
        <v>2015</v>
      </c>
      <c r="C2908">
        <v>7</v>
      </c>
      <c r="D2908">
        <v>24326</v>
      </c>
      <c r="E2908">
        <v>115</v>
      </c>
      <c r="F2908">
        <v>18310.05</v>
      </c>
      <c r="G2908">
        <v>6355.22</v>
      </c>
      <c r="H2908" t="str">
        <f>VLOOKUP(myynnit[[#This Row],[TuoteID]],ohjaus!$A$4:$B$20,2,FALSE)</f>
        <v>Lepotuoli</v>
      </c>
    </row>
    <row r="2909" spans="1:8" x14ac:dyDescent="0.35">
      <c r="A2909" t="s">
        <v>38</v>
      </c>
      <c r="B2909">
        <v>2015</v>
      </c>
      <c r="C2909">
        <v>7</v>
      </c>
      <c r="D2909">
        <v>12184</v>
      </c>
      <c r="E2909">
        <v>63</v>
      </c>
      <c r="F2909">
        <v>8896.16</v>
      </c>
      <c r="G2909">
        <v>5626.64</v>
      </c>
      <c r="H2909" t="str">
        <f>VLOOKUP(myynnit[[#This Row],[TuoteID]],ohjaus!$A$4:$B$20,2,FALSE)</f>
        <v>Rahi</v>
      </c>
    </row>
    <row r="2910" spans="1:8" x14ac:dyDescent="0.35">
      <c r="A2910" t="s">
        <v>38</v>
      </c>
      <c r="B2910">
        <v>2015</v>
      </c>
      <c r="C2910">
        <v>7</v>
      </c>
      <c r="D2910">
        <v>12622</v>
      </c>
      <c r="E2910">
        <v>29</v>
      </c>
      <c r="F2910">
        <v>7406.53</v>
      </c>
      <c r="G2910">
        <v>3285.72</v>
      </c>
      <c r="H2910" t="str">
        <f>VLOOKUP(myynnit[[#This Row],[TuoteID]],ohjaus!$A$4:$B$20,2,FALSE)</f>
        <v>Pianotuoli</v>
      </c>
    </row>
    <row r="2911" spans="1:8" x14ac:dyDescent="0.35">
      <c r="A2911" t="s">
        <v>38</v>
      </c>
      <c r="B2911">
        <v>2015</v>
      </c>
      <c r="C2911">
        <v>7</v>
      </c>
      <c r="D2911">
        <v>13527</v>
      </c>
      <c r="E2911">
        <v>540</v>
      </c>
      <c r="F2911">
        <v>92985.65</v>
      </c>
      <c r="G2911">
        <v>18480.39</v>
      </c>
      <c r="H2911" t="str">
        <f>VLOOKUP(myynnit[[#This Row],[TuoteID]],ohjaus!$A$4:$B$20,2,FALSE)</f>
        <v>Pinnatuoli</v>
      </c>
    </row>
    <row r="2912" spans="1:8" x14ac:dyDescent="0.35">
      <c r="A2912" t="s">
        <v>38</v>
      </c>
      <c r="B2912">
        <v>2015</v>
      </c>
      <c r="C2912">
        <v>7</v>
      </c>
      <c r="D2912">
        <v>13618</v>
      </c>
      <c r="E2912">
        <v>13</v>
      </c>
      <c r="F2912">
        <v>5339.88</v>
      </c>
      <c r="G2912">
        <v>2685.39</v>
      </c>
      <c r="H2912" t="str">
        <f>VLOOKUP(myynnit[[#This Row],[TuoteID]],ohjaus!$A$4:$B$20,2,FALSE)</f>
        <v>Pianotuoli</v>
      </c>
    </row>
    <row r="2913" spans="1:8" x14ac:dyDescent="0.35">
      <c r="A2913" t="s">
        <v>38</v>
      </c>
      <c r="B2913">
        <v>2015</v>
      </c>
      <c r="C2913">
        <v>7</v>
      </c>
      <c r="D2913">
        <v>16024</v>
      </c>
      <c r="E2913">
        <v>194</v>
      </c>
      <c r="F2913">
        <v>85938.97</v>
      </c>
      <c r="G2913">
        <v>19348.03</v>
      </c>
      <c r="H2913" t="str">
        <f>VLOOKUP(myynnit[[#This Row],[TuoteID]],ohjaus!$A$4:$B$20,2,FALSE)</f>
        <v>Työtuoli</v>
      </c>
    </row>
    <row r="2914" spans="1:8" x14ac:dyDescent="0.35">
      <c r="A2914" t="s">
        <v>38</v>
      </c>
      <c r="B2914">
        <v>2015</v>
      </c>
      <c r="C2914">
        <v>7</v>
      </c>
      <c r="D2914">
        <v>16650</v>
      </c>
      <c r="E2914">
        <v>39</v>
      </c>
      <c r="F2914">
        <v>5433.67</v>
      </c>
      <c r="G2914">
        <v>2855.97</v>
      </c>
      <c r="H2914" t="str">
        <f>VLOOKUP(myynnit[[#This Row],[TuoteID]],ohjaus!$A$4:$B$20,2,FALSE)</f>
        <v>Rahi</v>
      </c>
    </row>
    <row r="2915" spans="1:8" x14ac:dyDescent="0.35">
      <c r="A2915" t="s">
        <v>38</v>
      </c>
      <c r="B2915">
        <v>2015</v>
      </c>
      <c r="C2915">
        <v>7</v>
      </c>
      <c r="D2915">
        <v>17892</v>
      </c>
      <c r="E2915">
        <v>55</v>
      </c>
      <c r="F2915">
        <v>7328.72</v>
      </c>
      <c r="G2915">
        <v>1642.54</v>
      </c>
      <c r="H2915" t="str">
        <f>VLOOKUP(myynnit[[#This Row],[TuoteID]],ohjaus!$A$4:$B$20,2,FALSE)</f>
        <v>Lepotuoli</v>
      </c>
    </row>
    <row r="2916" spans="1:8" x14ac:dyDescent="0.35">
      <c r="A2916" t="s">
        <v>38</v>
      </c>
      <c r="B2916">
        <v>2015</v>
      </c>
      <c r="C2916">
        <v>7</v>
      </c>
      <c r="D2916">
        <v>18342</v>
      </c>
      <c r="E2916">
        <v>78</v>
      </c>
      <c r="F2916">
        <v>62287.17</v>
      </c>
      <c r="G2916">
        <v>15810.71</v>
      </c>
      <c r="H2916" t="str">
        <f>VLOOKUP(myynnit[[#This Row],[TuoteID]],ohjaus!$A$4:$B$20,2,FALSE)</f>
        <v>Työtuoli</v>
      </c>
    </row>
    <row r="2917" spans="1:8" x14ac:dyDescent="0.35">
      <c r="A2917" t="s">
        <v>38</v>
      </c>
      <c r="B2917">
        <v>2015</v>
      </c>
      <c r="C2917">
        <v>7</v>
      </c>
      <c r="D2917">
        <v>20177</v>
      </c>
      <c r="E2917">
        <v>86</v>
      </c>
      <c r="F2917">
        <v>9265.5400000000009</v>
      </c>
      <c r="G2917">
        <v>3825.2</v>
      </c>
      <c r="H2917" t="str">
        <f>VLOOKUP(myynnit[[#This Row],[TuoteID]],ohjaus!$A$4:$B$20,2,FALSE)</f>
        <v>Säkkituoli</v>
      </c>
    </row>
    <row r="2918" spans="1:8" x14ac:dyDescent="0.35">
      <c r="A2918" t="s">
        <v>38</v>
      </c>
      <c r="B2918">
        <v>2015</v>
      </c>
      <c r="C2918">
        <v>7</v>
      </c>
      <c r="D2918">
        <v>21179</v>
      </c>
      <c r="E2918">
        <v>64</v>
      </c>
      <c r="F2918">
        <v>7517.38</v>
      </c>
      <c r="G2918">
        <v>3878.19</v>
      </c>
      <c r="H2918" t="str">
        <f>VLOOKUP(myynnit[[#This Row],[TuoteID]],ohjaus!$A$4:$B$20,2,FALSE)</f>
        <v>Rahi</v>
      </c>
    </row>
    <row r="2919" spans="1:8" x14ac:dyDescent="0.35">
      <c r="A2919" t="s">
        <v>38</v>
      </c>
      <c r="B2919">
        <v>2015</v>
      </c>
      <c r="C2919">
        <v>7</v>
      </c>
      <c r="D2919">
        <v>21260</v>
      </c>
      <c r="E2919">
        <v>63</v>
      </c>
      <c r="F2919">
        <v>12411.78</v>
      </c>
      <c r="G2919">
        <v>3116.5</v>
      </c>
      <c r="H2919" t="str">
        <f>VLOOKUP(myynnit[[#This Row],[TuoteID]],ohjaus!$A$4:$B$20,2,FALSE)</f>
        <v>Lepotuoli</v>
      </c>
    </row>
    <row r="2920" spans="1:8" x14ac:dyDescent="0.35">
      <c r="A2920" t="s">
        <v>38</v>
      </c>
      <c r="B2920">
        <v>2015</v>
      </c>
      <c r="C2920">
        <v>7</v>
      </c>
      <c r="D2920">
        <v>22317</v>
      </c>
      <c r="E2920">
        <v>33</v>
      </c>
      <c r="F2920">
        <v>3086.29</v>
      </c>
      <c r="G2920">
        <v>1080.8699999999999</v>
      </c>
      <c r="H2920" t="str">
        <f>VLOOKUP(myynnit[[#This Row],[TuoteID]],ohjaus!$A$4:$B$20,2,FALSE)</f>
        <v>Säkkituoli</v>
      </c>
    </row>
    <row r="2921" spans="1:8" x14ac:dyDescent="0.35">
      <c r="A2921" t="s">
        <v>38</v>
      </c>
      <c r="B2921">
        <v>2015</v>
      </c>
      <c r="C2921">
        <v>7</v>
      </c>
      <c r="D2921">
        <v>22940</v>
      </c>
      <c r="E2921">
        <v>556</v>
      </c>
      <c r="F2921">
        <v>67438.23</v>
      </c>
      <c r="G2921">
        <v>14035.76</v>
      </c>
      <c r="H2921" t="str">
        <f>VLOOKUP(myynnit[[#This Row],[TuoteID]],ohjaus!$A$4:$B$20,2,FALSE)</f>
        <v>Pinnatuoli</v>
      </c>
    </row>
    <row r="2922" spans="1:8" x14ac:dyDescent="0.35">
      <c r="A2922" t="s">
        <v>38</v>
      </c>
      <c r="B2922">
        <v>2015</v>
      </c>
      <c r="C2922">
        <v>7</v>
      </c>
      <c r="D2922">
        <v>23178</v>
      </c>
      <c r="E2922">
        <v>311</v>
      </c>
      <c r="F2922">
        <v>51234.03</v>
      </c>
      <c r="G2922">
        <v>10446.89</v>
      </c>
      <c r="H2922" t="str">
        <f>VLOOKUP(myynnit[[#This Row],[TuoteID]],ohjaus!$A$4:$B$20,2,FALSE)</f>
        <v>Pinnatuoli</v>
      </c>
    </row>
    <row r="2923" spans="1:8" x14ac:dyDescent="0.35">
      <c r="A2923" t="s">
        <v>38</v>
      </c>
      <c r="B2923">
        <v>2015</v>
      </c>
      <c r="C2923">
        <v>7</v>
      </c>
      <c r="D2923">
        <v>23600</v>
      </c>
      <c r="E2923">
        <v>1342</v>
      </c>
      <c r="F2923">
        <v>157332.25</v>
      </c>
      <c r="G2923">
        <v>38362.870000000003</v>
      </c>
      <c r="H2923" t="str">
        <f>VLOOKUP(myynnit[[#This Row],[TuoteID]],ohjaus!$A$4:$B$20,2,FALSE)</f>
        <v>Pinnatuoli</v>
      </c>
    </row>
    <row r="2924" spans="1:8" x14ac:dyDescent="0.35">
      <c r="A2924" t="s">
        <v>38</v>
      </c>
      <c r="B2924">
        <v>2015</v>
      </c>
      <c r="C2924">
        <v>7</v>
      </c>
      <c r="D2924">
        <v>23756</v>
      </c>
      <c r="E2924">
        <v>119</v>
      </c>
      <c r="F2924">
        <v>20904.349999999999</v>
      </c>
      <c r="G2924">
        <v>10610.65</v>
      </c>
      <c r="H2924" t="str">
        <f>VLOOKUP(myynnit[[#This Row],[TuoteID]],ohjaus!$A$4:$B$20,2,FALSE)</f>
        <v>Pianotuoli</v>
      </c>
    </row>
    <row r="2925" spans="1:8" x14ac:dyDescent="0.35">
      <c r="A2925" t="s">
        <v>38</v>
      </c>
      <c r="B2925">
        <v>2015</v>
      </c>
      <c r="C2925">
        <v>7</v>
      </c>
      <c r="D2925">
        <v>24326</v>
      </c>
      <c r="E2925">
        <v>84</v>
      </c>
      <c r="F2925">
        <v>11387.58</v>
      </c>
      <c r="G2925">
        <v>2770.88</v>
      </c>
      <c r="H2925" t="str">
        <f>VLOOKUP(myynnit[[#This Row],[TuoteID]],ohjaus!$A$4:$B$20,2,FALSE)</f>
        <v>Lepotuoli</v>
      </c>
    </row>
    <row r="2926" spans="1:8" x14ac:dyDescent="0.35">
      <c r="A2926" t="s">
        <v>37</v>
      </c>
      <c r="B2926">
        <v>2015</v>
      </c>
      <c r="C2926">
        <v>8</v>
      </c>
      <c r="D2926">
        <v>12184</v>
      </c>
      <c r="E2926">
        <v>66</v>
      </c>
      <c r="F2926">
        <v>8160.48</v>
      </c>
      <c r="G2926">
        <v>4124.53</v>
      </c>
      <c r="H2926" t="str">
        <f>VLOOKUP(myynnit[[#This Row],[TuoteID]],ohjaus!$A$4:$B$20,2,FALSE)</f>
        <v>Rahi</v>
      </c>
    </row>
    <row r="2927" spans="1:8" x14ac:dyDescent="0.35">
      <c r="A2927" t="s">
        <v>37</v>
      </c>
      <c r="B2927">
        <v>2015</v>
      </c>
      <c r="C2927">
        <v>8</v>
      </c>
      <c r="D2927">
        <v>12622</v>
      </c>
      <c r="E2927">
        <v>50</v>
      </c>
      <c r="F2927">
        <v>10907.97</v>
      </c>
      <c r="G2927">
        <v>4429.53</v>
      </c>
      <c r="H2927" t="str">
        <f>VLOOKUP(myynnit[[#This Row],[TuoteID]],ohjaus!$A$4:$B$20,2,FALSE)</f>
        <v>Pianotuoli</v>
      </c>
    </row>
    <row r="2928" spans="1:8" x14ac:dyDescent="0.35">
      <c r="A2928" t="s">
        <v>37</v>
      </c>
      <c r="B2928">
        <v>2015</v>
      </c>
      <c r="C2928">
        <v>8</v>
      </c>
      <c r="D2928">
        <v>13527</v>
      </c>
      <c r="E2928">
        <v>483</v>
      </c>
      <c r="F2928">
        <v>70954.66</v>
      </c>
      <c r="G2928">
        <v>14799.73</v>
      </c>
      <c r="H2928" t="str">
        <f>VLOOKUP(myynnit[[#This Row],[TuoteID]],ohjaus!$A$4:$B$20,2,FALSE)</f>
        <v>Pinnatuoli</v>
      </c>
    </row>
    <row r="2929" spans="1:8" x14ac:dyDescent="0.35">
      <c r="A2929" t="s">
        <v>37</v>
      </c>
      <c r="B2929">
        <v>2015</v>
      </c>
      <c r="C2929">
        <v>8</v>
      </c>
      <c r="D2929">
        <v>13618</v>
      </c>
      <c r="E2929">
        <v>13</v>
      </c>
      <c r="F2929">
        <v>5215.41</v>
      </c>
      <c r="G2929">
        <v>2463.0100000000002</v>
      </c>
      <c r="H2929" t="str">
        <f>VLOOKUP(myynnit[[#This Row],[TuoteID]],ohjaus!$A$4:$B$20,2,FALSE)</f>
        <v>Pianotuoli</v>
      </c>
    </row>
    <row r="2930" spans="1:8" x14ac:dyDescent="0.35">
      <c r="A2930" t="s">
        <v>37</v>
      </c>
      <c r="B2930">
        <v>2015</v>
      </c>
      <c r="C2930">
        <v>8</v>
      </c>
      <c r="D2930">
        <v>16024</v>
      </c>
      <c r="E2930">
        <v>290</v>
      </c>
      <c r="F2930">
        <v>126197.66</v>
      </c>
      <c r="G2930">
        <v>31748.22</v>
      </c>
      <c r="H2930" t="str">
        <f>VLOOKUP(myynnit[[#This Row],[TuoteID]],ohjaus!$A$4:$B$20,2,FALSE)</f>
        <v>Työtuoli</v>
      </c>
    </row>
    <row r="2931" spans="1:8" x14ac:dyDescent="0.35">
      <c r="A2931" t="s">
        <v>37</v>
      </c>
      <c r="B2931">
        <v>2015</v>
      </c>
      <c r="C2931">
        <v>8</v>
      </c>
      <c r="D2931">
        <v>16650</v>
      </c>
      <c r="E2931">
        <v>65</v>
      </c>
      <c r="F2931">
        <v>9683.39</v>
      </c>
      <c r="G2931">
        <v>5137.8500000000004</v>
      </c>
      <c r="H2931" t="str">
        <f>VLOOKUP(myynnit[[#This Row],[TuoteID]],ohjaus!$A$4:$B$20,2,FALSE)</f>
        <v>Rahi</v>
      </c>
    </row>
    <row r="2932" spans="1:8" x14ac:dyDescent="0.35">
      <c r="A2932" t="s">
        <v>37</v>
      </c>
      <c r="B2932">
        <v>2015</v>
      </c>
      <c r="C2932">
        <v>8</v>
      </c>
      <c r="D2932">
        <v>17892</v>
      </c>
      <c r="E2932">
        <v>91</v>
      </c>
      <c r="F2932">
        <v>14306.05</v>
      </c>
      <c r="G2932">
        <v>4676.8599999999997</v>
      </c>
      <c r="H2932" t="str">
        <f>VLOOKUP(myynnit[[#This Row],[TuoteID]],ohjaus!$A$4:$B$20,2,FALSE)</f>
        <v>Lepotuoli</v>
      </c>
    </row>
    <row r="2933" spans="1:8" x14ac:dyDescent="0.35">
      <c r="A2933" t="s">
        <v>37</v>
      </c>
      <c r="B2933">
        <v>2015</v>
      </c>
      <c r="C2933">
        <v>8</v>
      </c>
      <c r="D2933">
        <v>18342</v>
      </c>
      <c r="E2933">
        <v>90</v>
      </c>
      <c r="F2933">
        <v>82385.119999999995</v>
      </c>
      <c r="G2933">
        <v>25423.71</v>
      </c>
      <c r="H2933" t="str">
        <f>VLOOKUP(myynnit[[#This Row],[TuoteID]],ohjaus!$A$4:$B$20,2,FALSE)</f>
        <v>Työtuoli</v>
      </c>
    </row>
    <row r="2934" spans="1:8" x14ac:dyDescent="0.35">
      <c r="A2934" t="s">
        <v>37</v>
      </c>
      <c r="B2934">
        <v>2015</v>
      </c>
      <c r="C2934">
        <v>8</v>
      </c>
      <c r="D2934">
        <v>20177</v>
      </c>
      <c r="E2934">
        <v>149</v>
      </c>
      <c r="F2934">
        <v>13554.62</v>
      </c>
      <c r="G2934">
        <v>5432.04</v>
      </c>
      <c r="H2934" t="str">
        <f>VLOOKUP(myynnit[[#This Row],[TuoteID]],ohjaus!$A$4:$B$20,2,FALSE)</f>
        <v>Säkkituoli</v>
      </c>
    </row>
    <row r="2935" spans="1:8" x14ac:dyDescent="0.35">
      <c r="A2935" t="s">
        <v>37</v>
      </c>
      <c r="B2935">
        <v>2015</v>
      </c>
      <c r="C2935">
        <v>8</v>
      </c>
      <c r="D2935">
        <v>21179</v>
      </c>
      <c r="E2935">
        <v>66</v>
      </c>
      <c r="F2935">
        <v>6795.4</v>
      </c>
      <c r="G2935">
        <v>3590.16</v>
      </c>
      <c r="H2935" t="str">
        <f>VLOOKUP(myynnit[[#This Row],[TuoteID]],ohjaus!$A$4:$B$20,2,FALSE)</f>
        <v>Rahi</v>
      </c>
    </row>
    <row r="2936" spans="1:8" x14ac:dyDescent="0.35">
      <c r="A2936" t="s">
        <v>37</v>
      </c>
      <c r="B2936">
        <v>2015</v>
      </c>
      <c r="C2936">
        <v>8</v>
      </c>
      <c r="D2936">
        <v>21260</v>
      </c>
      <c r="E2936">
        <v>54</v>
      </c>
      <c r="F2936">
        <v>11673.44</v>
      </c>
      <c r="G2936">
        <v>2881.38</v>
      </c>
      <c r="H2936" t="str">
        <f>VLOOKUP(myynnit[[#This Row],[TuoteID]],ohjaus!$A$4:$B$20,2,FALSE)</f>
        <v>Lepotuoli</v>
      </c>
    </row>
    <row r="2937" spans="1:8" x14ac:dyDescent="0.35">
      <c r="A2937" t="s">
        <v>37</v>
      </c>
      <c r="B2937">
        <v>2015</v>
      </c>
      <c r="C2937">
        <v>8</v>
      </c>
      <c r="D2937">
        <v>22317</v>
      </c>
      <c r="E2937">
        <v>49</v>
      </c>
      <c r="F2937">
        <v>3908.95</v>
      </c>
      <c r="G2937">
        <v>1543.27</v>
      </c>
      <c r="H2937" t="str">
        <f>VLOOKUP(myynnit[[#This Row],[TuoteID]],ohjaus!$A$4:$B$20,2,FALSE)</f>
        <v>Säkkituoli</v>
      </c>
    </row>
    <row r="2938" spans="1:8" x14ac:dyDescent="0.35">
      <c r="A2938" t="s">
        <v>37</v>
      </c>
      <c r="B2938">
        <v>2015</v>
      </c>
      <c r="C2938">
        <v>8</v>
      </c>
      <c r="D2938">
        <v>22940</v>
      </c>
      <c r="E2938">
        <v>855</v>
      </c>
      <c r="F2938">
        <v>103753.02</v>
      </c>
      <c r="G2938">
        <v>20984.65</v>
      </c>
      <c r="H2938" t="str">
        <f>VLOOKUP(myynnit[[#This Row],[TuoteID]],ohjaus!$A$4:$B$20,2,FALSE)</f>
        <v>Pinnatuoli</v>
      </c>
    </row>
    <row r="2939" spans="1:8" x14ac:dyDescent="0.35">
      <c r="A2939" t="s">
        <v>37</v>
      </c>
      <c r="B2939">
        <v>2015</v>
      </c>
      <c r="C2939">
        <v>8</v>
      </c>
      <c r="D2939">
        <v>23178</v>
      </c>
      <c r="E2939">
        <v>267</v>
      </c>
      <c r="F2939">
        <v>47852.08</v>
      </c>
      <c r="G2939">
        <v>8658.19</v>
      </c>
      <c r="H2939" t="str">
        <f>VLOOKUP(myynnit[[#This Row],[TuoteID]],ohjaus!$A$4:$B$20,2,FALSE)</f>
        <v>Pinnatuoli</v>
      </c>
    </row>
    <row r="2940" spans="1:8" x14ac:dyDescent="0.35">
      <c r="A2940" t="s">
        <v>37</v>
      </c>
      <c r="B2940">
        <v>2015</v>
      </c>
      <c r="C2940">
        <v>8</v>
      </c>
      <c r="D2940">
        <v>23600</v>
      </c>
      <c r="E2940">
        <v>956</v>
      </c>
      <c r="F2940">
        <v>103057.14</v>
      </c>
      <c r="G2940">
        <v>24508.13</v>
      </c>
      <c r="H2940" t="str">
        <f>VLOOKUP(myynnit[[#This Row],[TuoteID]],ohjaus!$A$4:$B$20,2,FALSE)</f>
        <v>Pinnatuoli</v>
      </c>
    </row>
    <row r="2941" spans="1:8" x14ac:dyDescent="0.35">
      <c r="A2941" t="s">
        <v>37</v>
      </c>
      <c r="B2941">
        <v>2015</v>
      </c>
      <c r="C2941">
        <v>8</v>
      </c>
      <c r="D2941">
        <v>23756</v>
      </c>
      <c r="E2941">
        <v>106</v>
      </c>
      <c r="F2941">
        <v>22300.76</v>
      </c>
      <c r="G2941">
        <v>9804.09</v>
      </c>
      <c r="H2941" t="str">
        <f>VLOOKUP(myynnit[[#This Row],[TuoteID]],ohjaus!$A$4:$B$20,2,FALSE)</f>
        <v>Pianotuoli</v>
      </c>
    </row>
    <row r="2942" spans="1:8" x14ac:dyDescent="0.35">
      <c r="A2942" t="s">
        <v>37</v>
      </c>
      <c r="B2942">
        <v>2015</v>
      </c>
      <c r="C2942">
        <v>8</v>
      </c>
      <c r="D2942">
        <v>24326</v>
      </c>
      <c r="E2942">
        <v>142</v>
      </c>
      <c r="F2942">
        <v>18670.919999999998</v>
      </c>
      <c r="G2942">
        <v>5628.8</v>
      </c>
      <c r="H2942" t="str">
        <f>VLOOKUP(myynnit[[#This Row],[TuoteID]],ohjaus!$A$4:$B$20,2,FALSE)</f>
        <v>Lepotuoli</v>
      </c>
    </row>
    <row r="2943" spans="1:8" x14ac:dyDescent="0.35">
      <c r="A2943" t="s">
        <v>40</v>
      </c>
      <c r="B2943">
        <v>2015</v>
      </c>
      <c r="C2943">
        <v>8</v>
      </c>
      <c r="D2943">
        <v>12184</v>
      </c>
      <c r="E2943">
        <v>40</v>
      </c>
      <c r="F2943">
        <v>4413.09</v>
      </c>
      <c r="G2943">
        <v>2443.04</v>
      </c>
      <c r="H2943" t="str">
        <f>VLOOKUP(myynnit[[#This Row],[TuoteID]],ohjaus!$A$4:$B$20,2,FALSE)</f>
        <v>Rahi</v>
      </c>
    </row>
    <row r="2944" spans="1:8" x14ac:dyDescent="0.35">
      <c r="A2944" t="s">
        <v>40</v>
      </c>
      <c r="B2944">
        <v>2015</v>
      </c>
      <c r="C2944">
        <v>8</v>
      </c>
      <c r="D2944">
        <v>12622</v>
      </c>
      <c r="E2944">
        <v>20</v>
      </c>
      <c r="F2944">
        <v>4761.09</v>
      </c>
      <c r="G2944">
        <v>1688.87</v>
      </c>
      <c r="H2944" t="str">
        <f>VLOOKUP(myynnit[[#This Row],[TuoteID]],ohjaus!$A$4:$B$20,2,FALSE)</f>
        <v>Pianotuoli</v>
      </c>
    </row>
    <row r="2945" spans="1:8" x14ac:dyDescent="0.35">
      <c r="A2945" t="s">
        <v>40</v>
      </c>
      <c r="B2945">
        <v>2015</v>
      </c>
      <c r="C2945">
        <v>8</v>
      </c>
      <c r="D2945">
        <v>13527</v>
      </c>
      <c r="E2945">
        <v>226</v>
      </c>
      <c r="F2945">
        <v>35204.74</v>
      </c>
      <c r="G2945">
        <v>5346.14</v>
      </c>
      <c r="H2945" t="str">
        <f>VLOOKUP(myynnit[[#This Row],[TuoteID]],ohjaus!$A$4:$B$20,2,FALSE)</f>
        <v>Pinnatuoli</v>
      </c>
    </row>
    <row r="2946" spans="1:8" x14ac:dyDescent="0.35">
      <c r="A2946" t="s">
        <v>40</v>
      </c>
      <c r="B2946">
        <v>2015</v>
      </c>
      <c r="C2946">
        <v>8</v>
      </c>
      <c r="D2946">
        <v>13618</v>
      </c>
      <c r="E2946">
        <v>3</v>
      </c>
      <c r="F2946">
        <v>988.53</v>
      </c>
      <c r="G2946">
        <v>394.02</v>
      </c>
      <c r="H2946" t="str">
        <f>VLOOKUP(myynnit[[#This Row],[TuoteID]],ohjaus!$A$4:$B$20,2,FALSE)</f>
        <v>Pianotuoli</v>
      </c>
    </row>
    <row r="2947" spans="1:8" x14ac:dyDescent="0.35">
      <c r="A2947" t="s">
        <v>40</v>
      </c>
      <c r="B2947">
        <v>2015</v>
      </c>
      <c r="C2947">
        <v>8</v>
      </c>
      <c r="D2947">
        <v>16024</v>
      </c>
      <c r="E2947">
        <v>115</v>
      </c>
      <c r="F2947">
        <v>52362.82</v>
      </c>
      <c r="G2947">
        <v>18391.95</v>
      </c>
      <c r="H2947" t="str">
        <f>VLOOKUP(myynnit[[#This Row],[TuoteID]],ohjaus!$A$4:$B$20,2,FALSE)</f>
        <v>Työtuoli</v>
      </c>
    </row>
    <row r="2948" spans="1:8" x14ac:dyDescent="0.35">
      <c r="A2948" t="s">
        <v>40</v>
      </c>
      <c r="B2948">
        <v>2015</v>
      </c>
      <c r="C2948">
        <v>8</v>
      </c>
      <c r="D2948">
        <v>16650</v>
      </c>
      <c r="E2948">
        <v>22</v>
      </c>
      <c r="F2948">
        <v>3370.03</v>
      </c>
      <c r="G2948">
        <v>2280.36</v>
      </c>
      <c r="H2948" t="str">
        <f>VLOOKUP(myynnit[[#This Row],[TuoteID]],ohjaus!$A$4:$B$20,2,FALSE)</f>
        <v>Rahi</v>
      </c>
    </row>
    <row r="2949" spans="1:8" x14ac:dyDescent="0.35">
      <c r="A2949" t="s">
        <v>40</v>
      </c>
      <c r="B2949">
        <v>2015</v>
      </c>
      <c r="C2949">
        <v>8</v>
      </c>
      <c r="D2949">
        <v>17892</v>
      </c>
      <c r="E2949">
        <v>110</v>
      </c>
      <c r="F2949">
        <v>15309.04</v>
      </c>
      <c r="G2949">
        <v>3707.26</v>
      </c>
      <c r="H2949" t="str">
        <f>VLOOKUP(myynnit[[#This Row],[TuoteID]],ohjaus!$A$4:$B$20,2,FALSE)</f>
        <v>Lepotuoli</v>
      </c>
    </row>
    <row r="2950" spans="1:8" x14ac:dyDescent="0.35">
      <c r="A2950" t="s">
        <v>40</v>
      </c>
      <c r="B2950">
        <v>2015</v>
      </c>
      <c r="C2950">
        <v>8</v>
      </c>
      <c r="D2950">
        <v>18342</v>
      </c>
      <c r="E2950">
        <v>25</v>
      </c>
      <c r="F2950">
        <v>20843.46</v>
      </c>
      <c r="G2950">
        <v>5422.76</v>
      </c>
      <c r="H2950" t="str">
        <f>VLOOKUP(myynnit[[#This Row],[TuoteID]],ohjaus!$A$4:$B$20,2,FALSE)</f>
        <v>Työtuoli</v>
      </c>
    </row>
    <row r="2951" spans="1:8" x14ac:dyDescent="0.35">
      <c r="A2951" t="s">
        <v>40</v>
      </c>
      <c r="B2951">
        <v>2015</v>
      </c>
      <c r="C2951">
        <v>8</v>
      </c>
      <c r="D2951">
        <v>20177</v>
      </c>
      <c r="E2951">
        <v>23</v>
      </c>
      <c r="F2951">
        <v>2561.7399999999998</v>
      </c>
      <c r="G2951">
        <v>895.24</v>
      </c>
      <c r="H2951" t="str">
        <f>VLOOKUP(myynnit[[#This Row],[TuoteID]],ohjaus!$A$4:$B$20,2,FALSE)</f>
        <v>Säkkituoli</v>
      </c>
    </row>
    <row r="2952" spans="1:8" x14ac:dyDescent="0.35">
      <c r="A2952" t="s">
        <v>40</v>
      </c>
      <c r="B2952">
        <v>2015</v>
      </c>
      <c r="C2952">
        <v>8</v>
      </c>
      <c r="D2952">
        <v>21179</v>
      </c>
      <c r="E2952">
        <v>47</v>
      </c>
      <c r="F2952">
        <v>5609.88</v>
      </c>
      <c r="G2952">
        <v>2683.61</v>
      </c>
      <c r="H2952" t="str">
        <f>VLOOKUP(myynnit[[#This Row],[TuoteID]],ohjaus!$A$4:$B$20,2,FALSE)</f>
        <v>Rahi</v>
      </c>
    </row>
    <row r="2953" spans="1:8" x14ac:dyDescent="0.35">
      <c r="A2953" t="s">
        <v>40</v>
      </c>
      <c r="B2953">
        <v>2015</v>
      </c>
      <c r="C2953">
        <v>8</v>
      </c>
      <c r="D2953">
        <v>21260</v>
      </c>
      <c r="E2953">
        <v>62</v>
      </c>
      <c r="F2953">
        <v>10805.08</v>
      </c>
      <c r="G2953">
        <v>2294.6999999999998</v>
      </c>
      <c r="H2953" t="str">
        <f>VLOOKUP(myynnit[[#This Row],[TuoteID]],ohjaus!$A$4:$B$20,2,FALSE)</f>
        <v>Lepotuoli</v>
      </c>
    </row>
    <row r="2954" spans="1:8" x14ac:dyDescent="0.35">
      <c r="A2954" t="s">
        <v>40</v>
      </c>
      <c r="B2954">
        <v>2015</v>
      </c>
      <c r="C2954">
        <v>8</v>
      </c>
      <c r="D2954">
        <v>22317</v>
      </c>
      <c r="E2954">
        <v>14</v>
      </c>
      <c r="F2954">
        <v>1350.65</v>
      </c>
      <c r="G2954">
        <v>629.41</v>
      </c>
      <c r="H2954" t="str">
        <f>VLOOKUP(myynnit[[#This Row],[TuoteID]],ohjaus!$A$4:$B$20,2,FALSE)</f>
        <v>Säkkituoli</v>
      </c>
    </row>
    <row r="2955" spans="1:8" x14ac:dyDescent="0.35">
      <c r="A2955" t="s">
        <v>40</v>
      </c>
      <c r="B2955">
        <v>2015</v>
      </c>
      <c r="C2955">
        <v>8</v>
      </c>
      <c r="D2955">
        <v>22940</v>
      </c>
      <c r="E2955">
        <v>104</v>
      </c>
      <c r="F2955">
        <v>14942.17</v>
      </c>
      <c r="G2955">
        <v>3826.08</v>
      </c>
      <c r="H2955" t="str">
        <f>VLOOKUP(myynnit[[#This Row],[TuoteID]],ohjaus!$A$4:$B$20,2,FALSE)</f>
        <v>Pinnatuoli</v>
      </c>
    </row>
    <row r="2956" spans="1:8" x14ac:dyDescent="0.35">
      <c r="A2956" t="s">
        <v>40</v>
      </c>
      <c r="B2956">
        <v>2015</v>
      </c>
      <c r="C2956">
        <v>8</v>
      </c>
      <c r="D2956">
        <v>23178</v>
      </c>
      <c r="E2956">
        <v>266</v>
      </c>
      <c r="F2956">
        <v>45873.919999999998</v>
      </c>
      <c r="G2956">
        <v>11656.02</v>
      </c>
      <c r="H2956" t="str">
        <f>VLOOKUP(myynnit[[#This Row],[TuoteID]],ohjaus!$A$4:$B$20,2,FALSE)</f>
        <v>Pinnatuoli</v>
      </c>
    </row>
    <row r="2957" spans="1:8" x14ac:dyDescent="0.35">
      <c r="A2957" t="s">
        <v>40</v>
      </c>
      <c r="B2957">
        <v>2015</v>
      </c>
      <c r="C2957">
        <v>8</v>
      </c>
      <c r="D2957">
        <v>23600</v>
      </c>
      <c r="E2957">
        <v>358</v>
      </c>
      <c r="F2957">
        <v>42027.08</v>
      </c>
      <c r="G2957">
        <v>11774.95</v>
      </c>
      <c r="H2957" t="str">
        <f>VLOOKUP(myynnit[[#This Row],[TuoteID]],ohjaus!$A$4:$B$20,2,FALSE)</f>
        <v>Pinnatuoli</v>
      </c>
    </row>
    <row r="2958" spans="1:8" x14ac:dyDescent="0.35">
      <c r="A2958" t="s">
        <v>40</v>
      </c>
      <c r="B2958">
        <v>2015</v>
      </c>
      <c r="C2958">
        <v>8</v>
      </c>
      <c r="D2958">
        <v>23756</v>
      </c>
      <c r="E2958">
        <v>97</v>
      </c>
      <c r="F2958">
        <v>18191.099999999999</v>
      </c>
      <c r="G2958">
        <v>7106.22</v>
      </c>
      <c r="H2958" t="str">
        <f>VLOOKUP(myynnit[[#This Row],[TuoteID]],ohjaus!$A$4:$B$20,2,FALSE)</f>
        <v>Pianotuoli</v>
      </c>
    </row>
    <row r="2959" spans="1:8" x14ac:dyDescent="0.35">
      <c r="A2959" t="s">
        <v>40</v>
      </c>
      <c r="B2959">
        <v>2015</v>
      </c>
      <c r="C2959">
        <v>8</v>
      </c>
      <c r="D2959">
        <v>24326</v>
      </c>
      <c r="E2959">
        <v>20</v>
      </c>
      <c r="F2959">
        <v>2800.94</v>
      </c>
      <c r="G2959">
        <v>708.87</v>
      </c>
      <c r="H2959" t="str">
        <f>VLOOKUP(myynnit[[#This Row],[TuoteID]],ohjaus!$A$4:$B$20,2,FALSE)</f>
        <v>Lepotuoli</v>
      </c>
    </row>
    <row r="2960" spans="1:8" x14ac:dyDescent="0.35">
      <c r="A2960" t="s">
        <v>39</v>
      </c>
      <c r="B2960">
        <v>2015</v>
      </c>
      <c r="C2960">
        <v>8</v>
      </c>
      <c r="D2960">
        <v>12184</v>
      </c>
      <c r="E2960">
        <v>116</v>
      </c>
      <c r="F2960">
        <v>11952.2</v>
      </c>
      <c r="G2960">
        <v>8265.18</v>
      </c>
      <c r="H2960" t="str">
        <f>VLOOKUP(myynnit[[#This Row],[TuoteID]],ohjaus!$A$4:$B$20,2,FALSE)</f>
        <v>Rahi</v>
      </c>
    </row>
    <row r="2961" spans="1:8" x14ac:dyDescent="0.35">
      <c r="A2961" t="s">
        <v>39</v>
      </c>
      <c r="B2961">
        <v>2015</v>
      </c>
      <c r="C2961">
        <v>8</v>
      </c>
      <c r="D2961">
        <v>12622</v>
      </c>
      <c r="E2961">
        <v>39</v>
      </c>
      <c r="F2961">
        <v>9245.6200000000008</v>
      </c>
      <c r="G2961">
        <v>5193.7299999999996</v>
      </c>
      <c r="H2961" t="str">
        <f>VLOOKUP(myynnit[[#This Row],[TuoteID]],ohjaus!$A$4:$B$20,2,FALSE)</f>
        <v>Pianotuoli</v>
      </c>
    </row>
    <row r="2962" spans="1:8" x14ac:dyDescent="0.35">
      <c r="A2962" t="s">
        <v>39</v>
      </c>
      <c r="B2962">
        <v>2015</v>
      </c>
      <c r="C2962">
        <v>8</v>
      </c>
      <c r="D2962">
        <v>13527</v>
      </c>
      <c r="E2962">
        <v>309</v>
      </c>
      <c r="F2962">
        <v>49704.58</v>
      </c>
      <c r="G2962">
        <v>11090.21</v>
      </c>
      <c r="H2962" t="str">
        <f>VLOOKUP(myynnit[[#This Row],[TuoteID]],ohjaus!$A$4:$B$20,2,FALSE)</f>
        <v>Pinnatuoli</v>
      </c>
    </row>
    <row r="2963" spans="1:8" x14ac:dyDescent="0.35">
      <c r="A2963" t="s">
        <v>39</v>
      </c>
      <c r="B2963">
        <v>2015</v>
      </c>
      <c r="C2963">
        <v>8</v>
      </c>
      <c r="D2963">
        <v>13618</v>
      </c>
      <c r="E2963">
        <v>17</v>
      </c>
      <c r="F2963">
        <v>6022.35</v>
      </c>
      <c r="G2963">
        <v>2916.26</v>
      </c>
      <c r="H2963" t="str">
        <f>VLOOKUP(myynnit[[#This Row],[TuoteID]],ohjaus!$A$4:$B$20,2,FALSE)</f>
        <v>Pianotuoli</v>
      </c>
    </row>
    <row r="2964" spans="1:8" x14ac:dyDescent="0.35">
      <c r="A2964" t="s">
        <v>39</v>
      </c>
      <c r="B2964">
        <v>2015</v>
      </c>
      <c r="C2964">
        <v>8</v>
      </c>
      <c r="D2964">
        <v>16024</v>
      </c>
      <c r="E2964">
        <v>282</v>
      </c>
      <c r="F2964">
        <v>120539.24</v>
      </c>
      <c r="G2964">
        <v>30477.37</v>
      </c>
      <c r="H2964" t="str">
        <f>VLOOKUP(myynnit[[#This Row],[TuoteID]],ohjaus!$A$4:$B$20,2,FALSE)</f>
        <v>Työtuoli</v>
      </c>
    </row>
    <row r="2965" spans="1:8" x14ac:dyDescent="0.35">
      <c r="A2965" t="s">
        <v>39</v>
      </c>
      <c r="B2965">
        <v>2015</v>
      </c>
      <c r="C2965">
        <v>8</v>
      </c>
      <c r="D2965">
        <v>16650</v>
      </c>
      <c r="E2965">
        <v>30</v>
      </c>
      <c r="F2965">
        <v>3746.8</v>
      </c>
      <c r="G2965">
        <v>2522.5500000000002</v>
      </c>
      <c r="H2965" t="str">
        <f>VLOOKUP(myynnit[[#This Row],[TuoteID]],ohjaus!$A$4:$B$20,2,FALSE)</f>
        <v>Rahi</v>
      </c>
    </row>
    <row r="2966" spans="1:8" x14ac:dyDescent="0.35">
      <c r="A2966" t="s">
        <v>39</v>
      </c>
      <c r="B2966">
        <v>2015</v>
      </c>
      <c r="C2966">
        <v>8</v>
      </c>
      <c r="D2966">
        <v>17892</v>
      </c>
      <c r="E2966">
        <v>132</v>
      </c>
      <c r="F2966">
        <v>18169.439999999999</v>
      </c>
      <c r="G2966">
        <v>5380.89</v>
      </c>
      <c r="H2966" t="str">
        <f>VLOOKUP(myynnit[[#This Row],[TuoteID]],ohjaus!$A$4:$B$20,2,FALSE)</f>
        <v>Lepotuoli</v>
      </c>
    </row>
    <row r="2967" spans="1:8" x14ac:dyDescent="0.35">
      <c r="A2967" t="s">
        <v>39</v>
      </c>
      <c r="B2967">
        <v>2015</v>
      </c>
      <c r="C2967">
        <v>8</v>
      </c>
      <c r="D2967">
        <v>18342</v>
      </c>
      <c r="E2967">
        <v>80</v>
      </c>
      <c r="F2967">
        <v>59464.87</v>
      </c>
      <c r="G2967">
        <v>19477.009999999998</v>
      </c>
      <c r="H2967" t="str">
        <f>VLOOKUP(myynnit[[#This Row],[TuoteID]],ohjaus!$A$4:$B$20,2,FALSE)</f>
        <v>Työtuoli</v>
      </c>
    </row>
    <row r="2968" spans="1:8" x14ac:dyDescent="0.35">
      <c r="A2968" t="s">
        <v>39</v>
      </c>
      <c r="B2968">
        <v>2015</v>
      </c>
      <c r="C2968">
        <v>8</v>
      </c>
      <c r="D2968">
        <v>20177</v>
      </c>
      <c r="E2968">
        <v>57</v>
      </c>
      <c r="F2968">
        <v>6537.41</v>
      </c>
      <c r="G2968">
        <v>3257.05</v>
      </c>
      <c r="H2968" t="str">
        <f>VLOOKUP(myynnit[[#This Row],[TuoteID]],ohjaus!$A$4:$B$20,2,FALSE)</f>
        <v>Säkkituoli</v>
      </c>
    </row>
    <row r="2969" spans="1:8" x14ac:dyDescent="0.35">
      <c r="A2969" t="s">
        <v>39</v>
      </c>
      <c r="B2969">
        <v>2015</v>
      </c>
      <c r="C2969">
        <v>8</v>
      </c>
      <c r="D2969">
        <v>21179</v>
      </c>
      <c r="E2969">
        <v>60</v>
      </c>
      <c r="F2969">
        <v>6894.99</v>
      </c>
      <c r="G2969">
        <v>4260.4399999999996</v>
      </c>
      <c r="H2969" t="str">
        <f>VLOOKUP(myynnit[[#This Row],[TuoteID]],ohjaus!$A$4:$B$20,2,FALSE)</f>
        <v>Rahi</v>
      </c>
    </row>
    <row r="2970" spans="1:8" x14ac:dyDescent="0.35">
      <c r="A2970" t="s">
        <v>39</v>
      </c>
      <c r="B2970">
        <v>2015</v>
      </c>
      <c r="C2970">
        <v>8</v>
      </c>
      <c r="D2970">
        <v>21260</v>
      </c>
      <c r="E2970">
        <v>57</v>
      </c>
      <c r="F2970">
        <v>10535.9</v>
      </c>
      <c r="G2970">
        <v>2748.88</v>
      </c>
      <c r="H2970" t="str">
        <f>VLOOKUP(myynnit[[#This Row],[TuoteID]],ohjaus!$A$4:$B$20,2,FALSE)</f>
        <v>Lepotuoli</v>
      </c>
    </row>
    <row r="2971" spans="1:8" x14ac:dyDescent="0.35">
      <c r="A2971" t="s">
        <v>39</v>
      </c>
      <c r="B2971">
        <v>2015</v>
      </c>
      <c r="C2971">
        <v>8</v>
      </c>
      <c r="D2971">
        <v>22317</v>
      </c>
      <c r="E2971">
        <v>26</v>
      </c>
      <c r="F2971">
        <v>1994.16</v>
      </c>
      <c r="G2971">
        <v>784.4</v>
      </c>
      <c r="H2971" t="str">
        <f>VLOOKUP(myynnit[[#This Row],[TuoteID]],ohjaus!$A$4:$B$20,2,FALSE)</f>
        <v>Säkkituoli</v>
      </c>
    </row>
    <row r="2972" spans="1:8" x14ac:dyDescent="0.35">
      <c r="A2972" t="s">
        <v>39</v>
      </c>
      <c r="B2972">
        <v>2015</v>
      </c>
      <c r="C2972">
        <v>8</v>
      </c>
      <c r="D2972">
        <v>22940</v>
      </c>
      <c r="E2972">
        <v>398</v>
      </c>
      <c r="F2972">
        <v>56040.15</v>
      </c>
      <c r="G2972">
        <v>15885.42</v>
      </c>
      <c r="H2972" t="str">
        <f>VLOOKUP(myynnit[[#This Row],[TuoteID]],ohjaus!$A$4:$B$20,2,FALSE)</f>
        <v>Pinnatuoli</v>
      </c>
    </row>
    <row r="2973" spans="1:8" x14ac:dyDescent="0.35">
      <c r="A2973" t="s">
        <v>39</v>
      </c>
      <c r="B2973">
        <v>2015</v>
      </c>
      <c r="C2973">
        <v>8</v>
      </c>
      <c r="D2973">
        <v>23178</v>
      </c>
      <c r="E2973">
        <v>232</v>
      </c>
      <c r="F2973">
        <v>40242.660000000003</v>
      </c>
      <c r="G2973">
        <v>10664.34</v>
      </c>
      <c r="H2973" t="str">
        <f>VLOOKUP(myynnit[[#This Row],[TuoteID]],ohjaus!$A$4:$B$20,2,FALSE)</f>
        <v>Pinnatuoli</v>
      </c>
    </row>
    <row r="2974" spans="1:8" x14ac:dyDescent="0.35">
      <c r="A2974" t="s">
        <v>39</v>
      </c>
      <c r="B2974">
        <v>2015</v>
      </c>
      <c r="C2974">
        <v>8</v>
      </c>
      <c r="D2974">
        <v>23600</v>
      </c>
      <c r="E2974">
        <v>908</v>
      </c>
      <c r="F2974">
        <v>114251.98</v>
      </c>
      <c r="G2974">
        <v>37489.480000000003</v>
      </c>
      <c r="H2974" t="str">
        <f>VLOOKUP(myynnit[[#This Row],[TuoteID]],ohjaus!$A$4:$B$20,2,FALSE)</f>
        <v>Pinnatuoli</v>
      </c>
    </row>
    <row r="2975" spans="1:8" x14ac:dyDescent="0.35">
      <c r="A2975" t="s">
        <v>39</v>
      </c>
      <c r="B2975">
        <v>2015</v>
      </c>
      <c r="C2975">
        <v>8</v>
      </c>
      <c r="D2975">
        <v>23756</v>
      </c>
      <c r="E2975">
        <v>103</v>
      </c>
      <c r="F2975">
        <v>21957.68</v>
      </c>
      <c r="G2975">
        <v>14239.2</v>
      </c>
      <c r="H2975" t="str">
        <f>VLOOKUP(myynnit[[#This Row],[TuoteID]],ohjaus!$A$4:$B$20,2,FALSE)</f>
        <v>Pianotuoli</v>
      </c>
    </row>
    <row r="2976" spans="1:8" x14ac:dyDescent="0.35">
      <c r="A2976" t="s">
        <v>39</v>
      </c>
      <c r="B2976">
        <v>2015</v>
      </c>
      <c r="C2976">
        <v>8</v>
      </c>
      <c r="D2976">
        <v>24326</v>
      </c>
      <c r="E2976">
        <v>109</v>
      </c>
      <c r="F2976">
        <v>15485.08</v>
      </c>
      <c r="G2976">
        <v>4218.22</v>
      </c>
      <c r="H2976" t="str">
        <f>VLOOKUP(myynnit[[#This Row],[TuoteID]],ohjaus!$A$4:$B$20,2,FALSE)</f>
        <v>Lepotuoli</v>
      </c>
    </row>
    <row r="2977" spans="1:8" x14ac:dyDescent="0.35">
      <c r="A2977" t="s">
        <v>38</v>
      </c>
      <c r="B2977">
        <v>2015</v>
      </c>
      <c r="C2977">
        <v>8</v>
      </c>
      <c r="D2977">
        <v>12184</v>
      </c>
      <c r="E2977">
        <v>49</v>
      </c>
      <c r="F2977">
        <v>6110.27</v>
      </c>
      <c r="G2977">
        <v>4000.31</v>
      </c>
      <c r="H2977" t="str">
        <f>VLOOKUP(myynnit[[#This Row],[TuoteID]],ohjaus!$A$4:$B$20,2,FALSE)</f>
        <v>Rahi</v>
      </c>
    </row>
    <row r="2978" spans="1:8" x14ac:dyDescent="0.35">
      <c r="A2978" t="s">
        <v>38</v>
      </c>
      <c r="B2978">
        <v>2015</v>
      </c>
      <c r="C2978">
        <v>8</v>
      </c>
      <c r="D2978">
        <v>12622</v>
      </c>
      <c r="E2978">
        <v>52</v>
      </c>
      <c r="F2978">
        <v>11960.54</v>
      </c>
      <c r="G2978">
        <v>5939.02</v>
      </c>
      <c r="H2978" t="str">
        <f>VLOOKUP(myynnit[[#This Row],[TuoteID]],ohjaus!$A$4:$B$20,2,FALSE)</f>
        <v>Pianotuoli</v>
      </c>
    </row>
    <row r="2979" spans="1:8" x14ac:dyDescent="0.35">
      <c r="A2979" t="s">
        <v>38</v>
      </c>
      <c r="B2979">
        <v>2015</v>
      </c>
      <c r="C2979">
        <v>8</v>
      </c>
      <c r="D2979">
        <v>13527</v>
      </c>
      <c r="E2979">
        <v>637</v>
      </c>
      <c r="F2979">
        <v>109843.56</v>
      </c>
      <c r="G2979">
        <v>26442.87</v>
      </c>
      <c r="H2979" t="str">
        <f>VLOOKUP(myynnit[[#This Row],[TuoteID]],ohjaus!$A$4:$B$20,2,FALSE)</f>
        <v>Pinnatuoli</v>
      </c>
    </row>
    <row r="2980" spans="1:8" x14ac:dyDescent="0.35">
      <c r="A2980" t="s">
        <v>38</v>
      </c>
      <c r="B2980">
        <v>2015</v>
      </c>
      <c r="C2980">
        <v>8</v>
      </c>
      <c r="D2980">
        <v>13618</v>
      </c>
      <c r="E2980">
        <v>6</v>
      </c>
      <c r="F2980">
        <v>2569.6</v>
      </c>
      <c r="G2980">
        <v>1321.01</v>
      </c>
      <c r="H2980" t="str">
        <f>VLOOKUP(myynnit[[#This Row],[TuoteID]],ohjaus!$A$4:$B$20,2,FALSE)</f>
        <v>Pianotuoli</v>
      </c>
    </row>
    <row r="2981" spans="1:8" x14ac:dyDescent="0.35">
      <c r="A2981" t="s">
        <v>38</v>
      </c>
      <c r="B2981">
        <v>2015</v>
      </c>
      <c r="C2981">
        <v>8</v>
      </c>
      <c r="D2981">
        <v>16024</v>
      </c>
      <c r="E2981">
        <v>115</v>
      </c>
      <c r="F2981">
        <v>44064.63</v>
      </c>
      <c r="G2981">
        <v>11609.55</v>
      </c>
      <c r="H2981" t="str">
        <f>VLOOKUP(myynnit[[#This Row],[TuoteID]],ohjaus!$A$4:$B$20,2,FALSE)</f>
        <v>Työtuoli</v>
      </c>
    </row>
    <row r="2982" spans="1:8" x14ac:dyDescent="0.35">
      <c r="A2982" t="s">
        <v>38</v>
      </c>
      <c r="B2982">
        <v>2015</v>
      </c>
      <c r="C2982">
        <v>8</v>
      </c>
      <c r="D2982">
        <v>16650</v>
      </c>
      <c r="E2982">
        <v>30</v>
      </c>
      <c r="F2982">
        <v>3915.66</v>
      </c>
      <c r="G2982">
        <v>2403.88</v>
      </c>
      <c r="H2982" t="str">
        <f>VLOOKUP(myynnit[[#This Row],[TuoteID]],ohjaus!$A$4:$B$20,2,FALSE)</f>
        <v>Rahi</v>
      </c>
    </row>
    <row r="2983" spans="1:8" x14ac:dyDescent="0.35">
      <c r="A2983" t="s">
        <v>38</v>
      </c>
      <c r="B2983">
        <v>2015</v>
      </c>
      <c r="C2983">
        <v>8</v>
      </c>
      <c r="D2983">
        <v>17892</v>
      </c>
      <c r="E2983">
        <v>58</v>
      </c>
      <c r="F2983">
        <v>7478.93</v>
      </c>
      <c r="G2983">
        <v>1927.33</v>
      </c>
      <c r="H2983" t="str">
        <f>VLOOKUP(myynnit[[#This Row],[TuoteID]],ohjaus!$A$4:$B$20,2,FALSE)</f>
        <v>Lepotuoli</v>
      </c>
    </row>
    <row r="2984" spans="1:8" x14ac:dyDescent="0.35">
      <c r="A2984" t="s">
        <v>38</v>
      </c>
      <c r="B2984">
        <v>2015</v>
      </c>
      <c r="C2984">
        <v>8</v>
      </c>
      <c r="D2984">
        <v>18342</v>
      </c>
      <c r="E2984">
        <v>217</v>
      </c>
      <c r="F2984">
        <v>186337.23</v>
      </c>
      <c r="G2984">
        <v>43979.63</v>
      </c>
      <c r="H2984" t="str">
        <f>VLOOKUP(myynnit[[#This Row],[TuoteID]],ohjaus!$A$4:$B$20,2,FALSE)</f>
        <v>Työtuoli</v>
      </c>
    </row>
    <row r="2985" spans="1:8" x14ac:dyDescent="0.35">
      <c r="A2985" t="s">
        <v>38</v>
      </c>
      <c r="B2985">
        <v>2015</v>
      </c>
      <c r="C2985">
        <v>8</v>
      </c>
      <c r="D2985">
        <v>20177</v>
      </c>
      <c r="E2985">
        <v>61</v>
      </c>
      <c r="F2985">
        <v>6043.93</v>
      </c>
      <c r="G2985">
        <v>2255.63</v>
      </c>
      <c r="H2985" t="str">
        <f>VLOOKUP(myynnit[[#This Row],[TuoteID]],ohjaus!$A$4:$B$20,2,FALSE)</f>
        <v>Säkkituoli</v>
      </c>
    </row>
    <row r="2986" spans="1:8" x14ac:dyDescent="0.35">
      <c r="A2986" t="s">
        <v>38</v>
      </c>
      <c r="B2986">
        <v>2015</v>
      </c>
      <c r="C2986">
        <v>8</v>
      </c>
      <c r="D2986">
        <v>21179</v>
      </c>
      <c r="E2986">
        <v>50</v>
      </c>
      <c r="F2986">
        <v>5454.75</v>
      </c>
      <c r="G2986">
        <v>3547.86</v>
      </c>
      <c r="H2986" t="str">
        <f>VLOOKUP(myynnit[[#This Row],[TuoteID]],ohjaus!$A$4:$B$20,2,FALSE)</f>
        <v>Rahi</v>
      </c>
    </row>
    <row r="2987" spans="1:8" x14ac:dyDescent="0.35">
      <c r="A2987" t="s">
        <v>38</v>
      </c>
      <c r="B2987">
        <v>2015</v>
      </c>
      <c r="C2987">
        <v>8</v>
      </c>
      <c r="D2987">
        <v>21260</v>
      </c>
      <c r="E2987">
        <v>50</v>
      </c>
      <c r="F2987">
        <v>10152.85</v>
      </c>
      <c r="G2987">
        <v>2596.3200000000002</v>
      </c>
      <c r="H2987" t="str">
        <f>VLOOKUP(myynnit[[#This Row],[TuoteID]],ohjaus!$A$4:$B$20,2,FALSE)</f>
        <v>Lepotuoli</v>
      </c>
    </row>
    <row r="2988" spans="1:8" x14ac:dyDescent="0.35">
      <c r="A2988" t="s">
        <v>38</v>
      </c>
      <c r="B2988">
        <v>2015</v>
      </c>
      <c r="C2988">
        <v>8</v>
      </c>
      <c r="D2988">
        <v>22317</v>
      </c>
      <c r="E2988">
        <v>70</v>
      </c>
      <c r="F2988">
        <v>6432.75</v>
      </c>
      <c r="G2988">
        <v>2202.88</v>
      </c>
      <c r="H2988" t="str">
        <f>VLOOKUP(myynnit[[#This Row],[TuoteID]],ohjaus!$A$4:$B$20,2,FALSE)</f>
        <v>Säkkituoli</v>
      </c>
    </row>
    <row r="2989" spans="1:8" x14ac:dyDescent="0.35">
      <c r="A2989" t="s">
        <v>38</v>
      </c>
      <c r="B2989">
        <v>2015</v>
      </c>
      <c r="C2989">
        <v>8</v>
      </c>
      <c r="D2989">
        <v>22940</v>
      </c>
      <c r="E2989">
        <v>333</v>
      </c>
      <c r="F2989">
        <v>43287.43</v>
      </c>
      <c r="G2989">
        <v>7679.5</v>
      </c>
      <c r="H2989" t="str">
        <f>VLOOKUP(myynnit[[#This Row],[TuoteID]],ohjaus!$A$4:$B$20,2,FALSE)</f>
        <v>Pinnatuoli</v>
      </c>
    </row>
    <row r="2990" spans="1:8" x14ac:dyDescent="0.35">
      <c r="A2990" t="s">
        <v>38</v>
      </c>
      <c r="B2990">
        <v>2015</v>
      </c>
      <c r="C2990">
        <v>8</v>
      </c>
      <c r="D2990">
        <v>23178</v>
      </c>
      <c r="E2990">
        <v>291</v>
      </c>
      <c r="F2990">
        <v>52440.08</v>
      </c>
      <c r="G2990">
        <v>9288.8700000000008</v>
      </c>
      <c r="H2990" t="str">
        <f>VLOOKUP(myynnit[[#This Row],[TuoteID]],ohjaus!$A$4:$B$20,2,FALSE)</f>
        <v>Pinnatuoli</v>
      </c>
    </row>
    <row r="2991" spans="1:8" x14ac:dyDescent="0.35">
      <c r="A2991" t="s">
        <v>38</v>
      </c>
      <c r="B2991">
        <v>2015</v>
      </c>
      <c r="C2991">
        <v>8</v>
      </c>
      <c r="D2991">
        <v>23600</v>
      </c>
      <c r="E2991">
        <v>1031</v>
      </c>
      <c r="F2991">
        <v>120711.98</v>
      </c>
      <c r="G2991">
        <v>27024.66</v>
      </c>
      <c r="H2991" t="str">
        <f>VLOOKUP(myynnit[[#This Row],[TuoteID]],ohjaus!$A$4:$B$20,2,FALSE)</f>
        <v>Pinnatuoli</v>
      </c>
    </row>
    <row r="2992" spans="1:8" x14ac:dyDescent="0.35">
      <c r="A2992" t="s">
        <v>38</v>
      </c>
      <c r="B2992">
        <v>2015</v>
      </c>
      <c r="C2992">
        <v>8</v>
      </c>
      <c r="D2992">
        <v>23756</v>
      </c>
      <c r="E2992">
        <v>79</v>
      </c>
      <c r="F2992">
        <v>14120.99</v>
      </c>
      <c r="G2992">
        <v>5980.75</v>
      </c>
      <c r="H2992" t="str">
        <f>VLOOKUP(myynnit[[#This Row],[TuoteID]],ohjaus!$A$4:$B$20,2,FALSE)</f>
        <v>Pianotuoli</v>
      </c>
    </row>
    <row r="2993" spans="1:8" x14ac:dyDescent="0.35">
      <c r="A2993" t="s">
        <v>38</v>
      </c>
      <c r="B2993">
        <v>2015</v>
      </c>
      <c r="C2993">
        <v>8</v>
      </c>
      <c r="D2993">
        <v>24326</v>
      </c>
      <c r="E2993">
        <v>91</v>
      </c>
      <c r="F2993">
        <v>13113.74</v>
      </c>
      <c r="G2993">
        <v>3740.61</v>
      </c>
      <c r="H2993" t="str">
        <f>VLOOKUP(myynnit[[#This Row],[TuoteID]],ohjaus!$A$4:$B$20,2,FALSE)</f>
        <v>Lepotuoli</v>
      </c>
    </row>
    <row r="2994" spans="1:8" x14ac:dyDescent="0.35">
      <c r="A2994" t="s">
        <v>37</v>
      </c>
      <c r="B2994">
        <v>2015</v>
      </c>
      <c r="C2994">
        <v>9</v>
      </c>
      <c r="D2994">
        <v>12184</v>
      </c>
      <c r="E2994">
        <v>113</v>
      </c>
      <c r="F2994">
        <v>11427.37</v>
      </c>
      <c r="G2994">
        <v>6205.84</v>
      </c>
      <c r="H2994" t="str">
        <f>VLOOKUP(myynnit[[#This Row],[TuoteID]],ohjaus!$A$4:$B$20,2,FALSE)</f>
        <v>Rahi</v>
      </c>
    </row>
    <row r="2995" spans="1:8" x14ac:dyDescent="0.35">
      <c r="A2995" t="s">
        <v>37</v>
      </c>
      <c r="B2995">
        <v>2015</v>
      </c>
      <c r="C2995">
        <v>9</v>
      </c>
      <c r="D2995">
        <v>12622</v>
      </c>
      <c r="E2995">
        <v>57</v>
      </c>
      <c r="F2995">
        <v>13470.52</v>
      </c>
      <c r="G2995">
        <v>6175.08</v>
      </c>
      <c r="H2995" t="str">
        <f>VLOOKUP(myynnit[[#This Row],[TuoteID]],ohjaus!$A$4:$B$20,2,FALSE)</f>
        <v>Pianotuoli</v>
      </c>
    </row>
    <row r="2996" spans="1:8" x14ac:dyDescent="0.35">
      <c r="A2996" t="s">
        <v>37</v>
      </c>
      <c r="B2996">
        <v>2015</v>
      </c>
      <c r="C2996">
        <v>9</v>
      </c>
      <c r="D2996">
        <v>13527</v>
      </c>
      <c r="E2996">
        <v>648</v>
      </c>
      <c r="F2996">
        <v>96261</v>
      </c>
      <c r="G2996">
        <v>20149.16</v>
      </c>
      <c r="H2996" t="str">
        <f>VLOOKUP(myynnit[[#This Row],[TuoteID]],ohjaus!$A$4:$B$20,2,FALSE)</f>
        <v>Pinnatuoli</v>
      </c>
    </row>
    <row r="2997" spans="1:8" x14ac:dyDescent="0.35">
      <c r="A2997" t="s">
        <v>37</v>
      </c>
      <c r="B2997">
        <v>2015</v>
      </c>
      <c r="C2997">
        <v>9</v>
      </c>
      <c r="D2997">
        <v>13618</v>
      </c>
      <c r="E2997">
        <v>31</v>
      </c>
      <c r="F2997">
        <v>10173.81</v>
      </c>
      <c r="G2997">
        <v>4625.05</v>
      </c>
      <c r="H2997" t="str">
        <f>VLOOKUP(myynnit[[#This Row],[TuoteID]],ohjaus!$A$4:$B$20,2,FALSE)</f>
        <v>Pianotuoli</v>
      </c>
    </row>
    <row r="2998" spans="1:8" x14ac:dyDescent="0.35">
      <c r="A2998" t="s">
        <v>37</v>
      </c>
      <c r="B2998">
        <v>2015</v>
      </c>
      <c r="C2998">
        <v>9</v>
      </c>
      <c r="D2998">
        <v>16024</v>
      </c>
      <c r="E2998">
        <v>194</v>
      </c>
      <c r="F2998">
        <v>74423.789999999994</v>
      </c>
      <c r="G2998">
        <v>19938.75</v>
      </c>
      <c r="H2998" t="str">
        <f>VLOOKUP(myynnit[[#This Row],[TuoteID]],ohjaus!$A$4:$B$20,2,FALSE)</f>
        <v>Työtuoli</v>
      </c>
    </row>
    <row r="2999" spans="1:8" x14ac:dyDescent="0.35">
      <c r="A2999" t="s">
        <v>37</v>
      </c>
      <c r="B2999">
        <v>2015</v>
      </c>
      <c r="C2999">
        <v>9</v>
      </c>
      <c r="D2999">
        <v>16650</v>
      </c>
      <c r="E2999">
        <v>45</v>
      </c>
      <c r="F2999">
        <v>7735.67</v>
      </c>
      <c r="G2999">
        <v>3785.96</v>
      </c>
      <c r="H2999" t="str">
        <f>VLOOKUP(myynnit[[#This Row],[TuoteID]],ohjaus!$A$4:$B$20,2,FALSE)</f>
        <v>Rahi</v>
      </c>
    </row>
    <row r="3000" spans="1:8" x14ac:dyDescent="0.35">
      <c r="A3000" t="s">
        <v>37</v>
      </c>
      <c r="B3000">
        <v>2015</v>
      </c>
      <c r="C3000">
        <v>9</v>
      </c>
      <c r="D3000">
        <v>17892</v>
      </c>
      <c r="E3000">
        <v>83</v>
      </c>
      <c r="F3000">
        <v>11771.88</v>
      </c>
      <c r="G3000">
        <v>2999.05</v>
      </c>
      <c r="H3000" t="str">
        <f>VLOOKUP(myynnit[[#This Row],[TuoteID]],ohjaus!$A$4:$B$20,2,FALSE)</f>
        <v>Lepotuoli</v>
      </c>
    </row>
    <row r="3001" spans="1:8" x14ac:dyDescent="0.35">
      <c r="A3001" t="s">
        <v>37</v>
      </c>
      <c r="B3001">
        <v>2015</v>
      </c>
      <c r="C3001">
        <v>9</v>
      </c>
      <c r="D3001">
        <v>18342</v>
      </c>
      <c r="E3001">
        <v>151</v>
      </c>
      <c r="F3001">
        <v>121559.99</v>
      </c>
      <c r="G3001">
        <v>36094.620000000003</v>
      </c>
      <c r="H3001" t="str">
        <f>VLOOKUP(myynnit[[#This Row],[TuoteID]],ohjaus!$A$4:$B$20,2,FALSE)</f>
        <v>Työtuoli</v>
      </c>
    </row>
    <row r="3002" spans="1:8" x14ac:dyDescent="0.35">
      <c r="A3002" t="s">
        <v>37</v>
      </c>
      <c r="B3002">
        <v>2015</v>
      </c>
      <c r="C3002">
        <v>9</v>
      </c>
      <c r="D3002">
        <v>20177</v>
      </c>
      <c r="E3002">
        <v>62</v>
      </c>
      <c r="F3002">
        <v>6711.6</v>
      </c>
      <c r="G3002">
        <v>2420.29</v>
      </c>
      <c r="H3002" t="str">
        <f>VLOOKUP(myynnit[[#This Row],[TuoteID]],ohjaus!$A$4:$B$20,2,FALSE)</f>
        <v>Säkkituoli</v>
      </c>
    </row>
    <row r="3003" spans="1:8" x14ac:dyDescent="0.35">
      <c r="A3003" t="s">
        <v>37</v>
      </c>
      <c r="B3003">
        <v>2015</v>
      </c>
      <c r="C3003">
        <v>9</v>
      </c>
      <c r="D3003">
        <v>21179</v>
      </c>
      <c r="E3003">
        <v>60</v>
      </c>
      <c r="F3003">
        <v>6780.05</v>
      </c>
      <c r="G3003">
        <v>3089.97</v>
      </c>
      <c r="H3003" t="str">
        <f>VLOOKUP(myynnit[[#This Row],[TuoteID]],ohjaus!$A$4:$B$20,2,FALSE)</f>
        <v>Rahi</v>
      </c>
    </row>
    <row r="3004" spans="1:8" x14ac:dyDescent="0.35">
      <c r="A3004" t="s">
        <v>37</v>
      </c>
      <c r="B3004">
        <v>2015</v>
      </c>
      <c r="C3004">
        <v>9</v>
      </c>
      <c r="D3004">
        <v>21260</v>
      </c>
      <c r="E3004">
        <v>47</v>
      </c>
      <c r="F3004">
        <v>9785.93</v>
      </c>
      <c r="G3004">
        <v>3043.12</v>
      </c>
      <c r="H3004" t="str">
        <f>VLOOKUP(myynnit[[#This Row],[TuoteID]],ohjaus!$A$4:$B$20,2,FALSE)</f>
        <v>Lepotuoli</v>
      </c>
    </row>
    <row r="3005" spans="1:8" x14ac:dyDescent="0.35">
      <c r="A3005" t="s">
        <v>37</v>
      </c>
      <c r="B3005">
        <v>2015</v>
      </c>
      <c r="C3005">
        <v>9</v>
      </c>
      <c r="D3005">
        <v>22317</v>
      </c>
      <c r="E3005">
        <v>84</v>
      </c>
      <c r="F3005">
        <v>8212.67</v>
      </c>
      <c r="G3005">
        <v>2832.85</v>
      </c>
      <c r="H3005" t="str">
        <f>VLOOKUP(myynnit[[#This Row],[TuoteID]],ohjaus!$A$4:$B$20,2,FALSE)</f>
        <v>Säkkituoli</v>
      </c>
    </row>
    <row r="3006" spans="1:8" x14ac:dyDescent="0.35">
      <c r="A3006" t="s">
        <v>37</v>
      </c>
      <c r="B3006">
        <v>2015</v>
      </c>
      <c r="C3006">
        <v>9</v>
      </c>
      <c r="D3006">
        <v>22940</v>
      </c>
      <c r="E3006">
        <v>891</v>
      </c>
      <c r="F3006">
        <v>122467.34</v>
      </c>
      <c r="G3006">
        <v>24841.65</v>
      </c>
      <c r="H3006" t="str">
        <f>VLOOKUP(myynnit[[#This Row],[TuoteID]],ohjaus!$A$4:$B$20,2,FALSE)</f>
        <v>Pinnatuoli</v>
      </c>
    </row>
    <row r="3007" spans="1:8" x14ac:dyDescent="0.35">
      <c r="A3007" t="s">
        <v>37</v>
      </c>
      <c r="B3007">
        <v>2015</v>
      </c>
      <c r="C3007">
        <v>9</v>
      </c>
      <c r="D3007">
        <v>23178</v>
      </c>
      <c r="E3007">
        <v>335</v>
      </c>
      <c r="F3007">
        <v>60199.09</v>
      </c>
      <c r="G3007">
        <v>9924.07</v>
      </c>
      <c r="H3007" t="str">
        <f>VLOOKUP(myynnit[[#This Row],[TuoteID]],ohjaus!$A$4:$B$20,2,FALSE)</f>
        <v>Pinnatuoli</v>
      </c>
    </row>
    <row r="3008" spans="1:8" x14ac:dyDescent="0.35">
      <c r="A3008" t="s">
        <v>37</v>
      </c>
      <c r="B3008">
        <v>2015</v>
      </c>
      <c r="C3008">
        <v>9</v>
      </c>
      <c r="D3008">
        <v>23600</v>
      </c>
      <c r="E3008">
        <v>1176</v>
      </c>
      <c r="F3008">
        <v>120137.93</v>
      </c>
      <c r="G3008">
        <v>25889.48</v>
      </c>
      <c r="H3008" t="str">
        <f>VLOOKUP(myynnit[[#This Row],[TuoteID]],ohjaus!$A$4:$B$20,2,FALSE)</f>
        <v>Pinnatuoli</v>
      </c>
    </row>
    <row r="3009" spans="1:8" x14ac:dyDescent="0.35">
      <c r="A3009" t="s">
        <v>37</v>
      </c>
      <c r="B3009">
        <v>2015</v>
      </c>
      <c r="C3009">
        <v>9</v>
      </c>
      <c r="D3009">
        <v>23756</v>
      </c>
      <c r="E3009">
        <v>65</v>
      </c>
      <c r="F3009">
        <v>11681.39</v>
      </c>
      <c r="G3009">
        <v>5202.6099999999997</v>
      </c>
      <c r="H3009" t="str">
        <f>VLOOKUP(myynnit[[#This Row],[TuoteID]],ohjaus!$A$4:$B$20,2,FALSE)</f>
        <v>Pianotuoli</v>
      </c>
    </row>
    <row r="3010" spans="1:8" x14ac:dyDescent="0.35">
      <c r="A3010" t="s">
        <v>37</v>
      </c>
      <c r="B3010">
        <v>2015</v>
      </c>
      <c r="C3010">
        <v>9</v>
      </c>
      <c r="D3010">
        <v>24326</v>
      </c>
      <c r="E3010">
        <v>132</v>
      </c>
      <c r="F3010">
        <v>20749.919999999998</v>
      </c>
      <c r="G3010">
        <v>5347.16</v>
      </c>
      <c r="H3010" t="str">
        <f>VLOOKUP(myynnit[[#This Row],[TuoteID]],ohjaus!$A$4:$B$20,2,FALSE)</f>
        <v>Lepotuoli</v>
      </c>
    </row>
    <row r="3011" spans="1:8" x14ac:dyDescent="0.35">
      <c r="A3011" t="s">
        <v>40</v>
      </c>
      <c r="B3011">
        <v>2015</v>
      </c>
      <c r="C3011">
        <v>9</v>
      </c>
      <c r="D3011">
        <v>12184</v>
      </c>
      <c r="E3011">
        <v>29</v>
      </c>
      <c r="F3011">
        <v>3364.72</v>
      </c>
      <c r="G3011">
        <v>1775.61</v>
      </c>
      <c r="H3011" t="str">
        <f>VLOOKUP(myynnit[[#This Row],[TuoteID]],ohjaus!$A$4:$B$20,2,FALSE)</f>
        <v>Rahi</v>
      </c>
    </row>
    <row r="3012" spans="1:8" x14ac:dyDescent="0.35">
      <c r="A3012" t="s">
        <v>40</v>
      </c>
      <c r="B3012">
        <v>2015</v>
      </c>
      <c r="C3012">
        <v>9</v>
      </c>
      <c r="D3012">
        <v>12622</v>
      </c>
      <c r="E3012">
        <v>7</v>
      </c>
      <c r="F3012">
        <v>1977.61</v>
      </c>
      <c r="G3012">
        <v>865.97</v>
      </c>
      <c r="H3012" t="str">
        <f>VLOOKUP(myynnit[[#This Row],[TuoteID]],ohjaus!$A$4:$B$20,2,FALSE)</f>
        <v>Pianotuoli</v>
      </c>
    </row>
    <row r="3013" spans="1:8" x14ac:dyDescent="0.35">
      <c r="A3013" t="s">
        <v>40</v>
      </c>
      <c r="B3013">
        <v>2015</v>
      </c>
      <c r="C3013">
        <v>9</v>
      </c>
      <c r="D3013">
        <v>13527</v>
      </c>
      <c r="E3013">
        <v>291</v>
      </c>
      <c r="F3013">
        <v>47050.239999999998</v>
      </c>
      <c r="G3013">
        <v>8525.59</v>
      </c>
      <c r="H3013" t="str">
        <f>VLOOKUP(myynnit[[#This Row],[TuoteID]],ohjaus!$A$4:$B$20,2,FALSE)</f>
        <v>Pinnatuoli</v>
      </c>
    </row>
    <row r="3014" spans="1:8" x14ac:dyDescent="0.35">
      <c r="A3014" t="s">
        <v>40</v>
      </c>
      <c r="B3014">
        <v>2015</v>
      </c>
      <c r="C3014">
        <v>9</v>
      </c>
      <c r="D3014">
        <v>13618</v>
      </c>
      <c r="E3014">
        <v>9</v>
      </c>
      <c r="F3014">
        <v>4033.99</v>
      </c>
      <c r="G3014">
        <v>1798.16</v>
      </c>
      <c r="H3014" t="str">
        <f>VLOOKUP(myynnit[[#This Row],[TuoteID]],ohjaus!$A$4:$B$20,2,FALSE)</f>
        <v>Pianotuoli</v>
      </c>
    </row>
    <row r="3015" spans="1:8" x14ac:dyDescent="0.35">
      <c r="A3015" t="s">
        <v>40</v>
      </c>
      <c r="B3015">
        <v>2015</v>
      </c>
      <c r="C3015">
        <v>9</v>
      </c>
      <c r="D3015">
        <v>16024</v>
      </c>
      <c r="E3015">
        <v>95</v>
      </c>
      <c r="F3015">
        <v>45770.61</v>
      </c>
      <c r="G3015">
        <v>14801.25</v>
      </c>
      <c r="H3015" t="str">
        <f>VLOOKUP(myynnit[[#This Row],[TuoteID]],ohjaus!$A$4:$B$20,2,FALSE)</f>
        <v>Työtuoli</v>
      </c>
    </row>
    <row r="3016" spans="1:8" x14ac:dyDescent="0.35">
      <c r="A3016" t="s">
        <v>40</v>
      </c>
      <c r="B3016">
        <v>2015</v>
      </c>
      <c r="C3016">
        <v>9</v>
      </c>
      <c r="D3016">
        <v>16650</v>
      </c>
      <c r="E3016">
        <v>29</v>
      </c>
      <c r="F3016">
        <v>4883.79</v>
      </c>
      <c r="G3016">
        <v>3229.51</v>
      </c>
      <c r="H3016" t="str">
        <f>VLOOKUP(myynnit[[#This Row],[TuoteID]],ohjaus!$A$4:$B$20,2,FALSE)</f>
        <v>Rahi</v>
      </c>
    </row>
    <row r="3017" spans="1:8" x14ac:dyDescent="0.35">
      <c r="A3017" t="s">
        <v>40</v>
      </c>
      <c r="B3017">
        <v>2015</v>
      </c>
      <c r="C3017">
        <v>9</v>
      </c>
      <c r="D3017">
        <v>17892</v>
      </c>
      <c r="E3017">
        <v>110</v>
      </c>
      <c r="F3017">
        <v>14230.1</v>
      </c>
      <c r="G3017">
        <v>3068.91</v>
      </c>
      <c r="H3017" t="str">
        <f>VLOOKUP(myynnit[[#This Row],[TuoteID]],ohjaus!$A$4:$B$20,2,FALSE)</f>
        <v>Lepotuoli</v>
      </c>
    </row>
    <row r="3018" spans="1:8" x14ac:dyDescent="0.35">
      <c r="A3018" t="s">
        <v>40</v>
      </c>
      <c r="B3018">
        <v>2015</v>
      </c>
      <c r="C3018">
        <v>9</v>
      </c>
      <c r="D3018">
        <v>18342</v>
      </c>
      <c r="E3018">
        <v>24</v>
      </c>
      <c r="F3018">
        <v>18224.23</v>
      </c>
      <c r="G3018">
        <v>6005.59</v>
      </c>
      <c r="H3018" t="str">
        <f>VLOOKUP(myynnit[[#This Row],[TuoteID]],ohjaus!$A$4:$B$20,2,FALSE)</f>
        <v>Työtuoli</v>
      </c>
    </row>
    <row r="3019" spans="1:8" x14ac:dyDescent="0.35">
      <c r="A3019" t="s">
        <v>40</v>
      </c>
      <c r="B3019">
        <v>2015</v>
      </c>
      <c r="C3019">
        <v>9</v>
      </c>
      <c r="D3019">
        <v>20177</v>
      </c>
      <c r="E3019">
        <v>24</v>
      </c>
      <c r="F3019">
        <v>2218.34</v>
      </c>
      <c r="G3019">
        <v>966.46</v>
      </c>
      <c r="H3019" t="str">
        <f>VLOOKUP(myynnit[[#This Row],[TuoteID]],ohjaus!$A$4:$B$20,2,FALSE)</f>
        <v>Säkkituoli</v>
      </c>
    </row>
    <row r="3020" spans="1:8" x14ac:dyDescent="0.35">
      <c r="A3020" t="s">
        <v>40</v>
      </c>
      <c r="B3020">
        <v>2015</v>
      </c>
      <c r="C3020">
        <v>9</v>
      </c>
      <c r="D3020">
        <v>21179</v>
      </c>
      <c r="E3020">
        <v>37</v>
      </c>
      <c r="F3020">
        <v>4577.07</v>
      </c>
      <c r="G3020">
        <v>2502.29</v>
      </c>
      <c r="H3020" t="str">
        <f>VLOOKUP(myynnit[[#This Row],[TuoteID]],ohjaus!$A$4:$B$20,2,FALSE)</f>
        <v>Rahi</v>
      </c>
    </row>
    <row r="3021" spans="1:8" x14ac:dyDescent="0.35">
      <c r="A3021" t="s">
        <v>40</v>
      </c>
      <c r="B3021">
        <v>2015</v>
      </c>
      <c r="C3021">
        <v>9</v>
      </c>
      <c r="D3021">
        <v>21260</v>
      </c>
      <c r="E3021">
        <v>56</v>
      </c>
      <c r="F3021">
        <v>10892.53</v>
      </c>
      <c r="G3021">
        <v>2480.64</v>
      </c>
      <c r="H3021" t="str">
        <f>VLOOKUP(myynnit[[#This Row],[TuoteID]],ohjaus!$A$4:$B$20,2,FALSE)</f>
        <v>Lepotuoli</v>
      </c>
    </row>
    <row r="3022" spans="1:8" x14ac:dyDescent="0.35">
      <c r="A3022" t="s">
        <v>40</v>
      </c>
      <c r="B3022">
        <v>2015</v>
      </c>
      <c r="C3022">
        <v>9</v>
      </c>
      <c r="D3022">
        <v>22317</v>
      </c>
      <c r="E3022">
        <v>11</v>
      </c>
      <c r="F3022">
        <v>1127.94</v>
      </c>
      <c r="G3022">
        <v>593.01</v>
      </c>
      <c r="H3022" t="str">
        <f>VLOOKUP(myynnit[[#This Row],[TuoteID]],ohjaus!$A$4:$B$20,2,FALSE)</f>
        <v>Säkkituoli</v>
      </c>
    </row>
    <row r="3023" spans="1:8" x14ac:dyDescent="0.35">
      <c r="A3023" t="s">
        <v>40</v>
      </c>
      <c r="B3023">
        <v>2015</v>
      </c>
      <c r="C3023">
        <v>9</v>
      </c>
      <c r="D3023">
        <v>22940</v>
      </c>
      <c r="E3023">
        <v>230</v>
      </c>
      <c r="F3023">
        <v>27896.98</v>
      </c>
      <c r="G3023">
        <v>7990.52</v>
      </c>
      <c r="H3023" t="str">
        <f>VLOOKUP(myynnit[[#This Row],[TuoteID]],ohjaus!$A$4:$B$20,2,FALSE)</f>
        <v>Pinnatuoli</v>
      </c>
    </row>
    <row r="3024" spans="1:8" x14ac:dyDescent="0.35">
      <c r="A3024" t="s">
        <v>40</v>
      </c>
      <c r="B3024">
        <v>2015</v>
      </c>
      <c r="C3024">
        <v>9</v>
      </c>
      <c r="D3024">
        <v>23178</v>
      </c>
      <c r="E3024">
        <v>349</v>
      </c>
      <c r="F3024">
        <v>55824.53</v>
      </c>
      <c r="G3024">
        <v>15545.76</v>
      </c>
      <c r="H3024" t="str">
        <f>VLOOKUP(myynnit[[#This Row],[TuoteID]],ohjaus!$A$4:$B$20,2,FALSE)</f>
        <v>Pinnatuoli</v>
      </c>
    </row>
    <row r="3025" spans="1:8" x14ac:dyDescent="0.35">
      <c r="A3025" t="s">
        <v>40</v>
      </c>
      <c r="B3025">
        <v>2015</v>
      </c>
      <c r="C3025">
        <v>9</v>
      </c>
      <c r="D3025">
        <v>23600</v>
      </c>
      <c r="E3025">
        <v>262</v>
      </c>
      <c r="F3025">
        <v>32054.91</v>
      </c>
      <c r="G3025">
        <v>9774.19</v>
      </c>
      <c r="H3025" t="str">
        <f>VLOOKUP(myynnit[[#This Row],[TuoteID]],ohjaus!$A$4:$B$20,2,FALSE)</f>
        <v>Pinnatuoli</v>
      </c>
    </row>
    <row r="3026" spans="1:8" x14ac:dyDescent="0.35">
      <c r="A3026" t="s">
        <v>40</v>
      </c>
      <c r="B3026">
        <v>2015</v>
      </c>
      <c r="C3026">
        <v>9</v>
      </c>
      <c r="D3026">
        <v>23756</v>
      </c>
      <c r="E3026">
        <v>79</v>
      </c>
      <c r="F3026">
        <v>15233.95</v>
      </c>
      <c r="G3026">
        <v>7659.82</v>
      </c>
      <c r="H3026" t="str">
        <f>VLOOKUP(myynnit[[#This Row],[TuoteID]],ohjaus!$A$4:$B$20,2,FALSE)</f>
        <v>Pianotuoli</v>
      </c>
    </row>
    <row r="3027" spans="1:8" x14ac:dyDescent="0.35">
      <c r="A3027" t="s">
        <v>40</v>
      </c>
      <c r="B3027">
        <v>2015</v>
      </c>
      <c r="C3027">
        <v>9</v>
      </c>
      <c r="D3027">
        <v>24326</v>
      </c>
      <c r="E3027">
        <v>39</v>
      </c>
      <c r="F3027">
        <v>6221.86</v>
      </c>
      <c r="G3027">
        <v>1664.06</v>
      </c>
      <c r="H3027" t="str">
        <f>VLOOKUP(myynnit[[#This Row],[TuoteID]],ohjaus!$A$4:$B$20,2,FALSE)</f>
        <v>Lepotuoli</v>
      </c>
    </row>
    <row r="3028" spans="1:8" x14ac:dyDescent="0.35">
      <c r="A3028" t="s">
        <v>39</v>
      </c>
      <c r="B3028">
        <v>2015</v>
      </c>
      <c r="C3028">
        <v>9</v>
      </c>
      <c r="D3028">
        <v>12184</v>
      </c>
      <c r="E3028">
        <v>59</v>
      </c>
      <c r="F3028">
        <v>8158.22</v>
      </c>
      <c r="G3028">
        <v>5194.7299999999996</v>
      </c>
      <c r="H3028" t="str">
        <f>VLOOKUP(myynnit[[#This Row],[TuoteID]],ohjaus!$A$4:$B$20,2,FALSE)</f>
        <v>Rahi</v>
      </c>
    </row>
    <row r="3029" spans="1:8" x14ac:dyDescent="0.35">
      <c r="A3029" t="s">
        <v>39</v>
      </c>
      <c r="B3029">
        <v>2015</v>
      </c>
      <c r="C3029">
        <v>9</v>
      </c>
      <c r="D3029">
        <v>12622</v>
      </c>
      <c r="E3029">
        <v>50</v>
      </c>
      <c r="F3029">
        <v>12976.29</v>
      </c>
      <c r="G3029">
        <v>6575.71</v>
      </c>
      <c r="H3029" t="str">
        <f>VLOOKUP(myynnit[[#This Row],[TuoteID]],ohjaus!$A$4:$B$20,2,FALSE)</f>
        <v>Pianotuoli</v>
      </c>
    </row>
    <row r="3030" spans="1:8" x14ac:dyDescent="0.35">
      <c r="A3030" t="s">
        <v>39</v>
      </c>
      <c r="B3030">
        <v>2015</v>
      </c>
      <c r="C3030">
        <v>9</v>
      </c>
      <c r="D3030">
        <v>13527</v>
      </c>
      <c r="E3030">
        <v>452</v>
      </c>
      <c r="F3030">
        <v>79104.42</v>
      </c>
      <c r="G3030">
        <v>19380.72</v>
      </c>
      <c r="H3030" t="str">
        <f>VLOOKUP(myynnit[[#This Row],[TuoteID]],ohjaus!$A$4:$B$20,2,FALSE)</f>
        <v>Pinnatuoli</v>
      </c>
    </row>
    <row r="3031" spans="1:8" x14ac:dyDescent="0.35">
      <c r="A3031" t="s">
        <v>39</v>
      </c>
      <c r="B3031">
        <v>2015</v>
      </c>
      <c r="C3031">
        <v>9</v>
      </c>
      <c r="D3031">
        <v>13618</v>
      </c>
      <c r="E3031">
        <v>22</v>
      </c>
      <c r="F3031">
        <v>10361.84</v>
      </c>
      <c r="G3031">
        <v>6781.64</v>
      </c>
      <c r="H3031" t="str">
        <f>VLOOKUP(myynnit[[#This Row],[TuoteID]],ohjaus!$A$4:$B$20,2,FALSE)</f>
        <v>Pianotuoli</v>
      </c>
    </row>
    <row r="3032" spans="1:8" x14ac:dyDescent="0.35">
      <c r="A3032" t="s">
        <v>39</v>
      </c>
      <c r="B3032">
        <v>2015</v>
      </c>
      <c r="C3032">
        <v>9</v>
      </c>
      <c r="D3032">
        <v>16024</v>
      </c>
      <c r="E3032">
        <v>305</v>
      </c>
      <c r="F3032">
        <v>137720.04</v>
      </c>
      <c r="G3032">
        <v>46941.77</v>
      </c>
      <c r="H3032" t="str">
        <f>VLOOKUP(myynnit[[#This Row],[TuoteID]],ohjaus!$A$4:$B$20,2,FALSE)</f>
        <v>Työtuoli</v>
      </c>
    </row>
    <row r="3033" spans="1:8" x14ac:dyDescent="0.35">
      <c r="A3033" t="s">
        <v>39</v>
      </c>
      <c r="B3033">
        <v>2015</v>
      </c>
      <c r="C3033">
        <v>9</v>
      </c>
      <c r="D3033">
        <v>16650</v>
      </c>
      <c r="E3033">
        <v>21</v>
      </c>
      <c r="F3033">
        <v>2696.62</v>
      </c>
      <c r="G3033">
        <v>1803.16</v>
      </c>
      <c r="H3033" t="str">
        <f>VLOOKUP(myynnit[[#This Row],[TuoteID]],ohjaus!$A$4:$B$20,2,FALSE)</f>
        <v>Rahi</v>
      </c>
    </row>
    <row r="3034" spans="1:8" x14ac:dyDescent="0.35">
      <c r="A3034" t="s">
        <v>39</v>
      </c>
      <c r="B3034">
        <v>2015</v>
      </c>
      <c r="C3034">
        <v>9</v>
      </c>
      <c r="D3034">
        <v>17892</v>
      </c>
      <c r="E3034">
        <v>100</v>
      </c>
      <c r="F3034">
        <v>15227.76</v>
      </c>
      <c r="G3034">
        <v>4427.5</v>
      </c>
      <c r="H3034" t="str">
        <f>VLOOKUP(myynnit[[#This Row],[TuoteID]],ohjaus!$A$4:$B$20,2,FALSE)</f>
        <v>Lepotuoli</v>
      </c>
    </row>
    <row r="3035" spans="1:8" x14ac:dyDescent="0.35">
      <c r="A3035" t="s">
        <v>39</v>
      </c>
      <c r="B3035">
        <v>2015</v>
      </c>
      <c r="C3035">
        <v>9</v>
      </c>
      <c r="D3035">
        <v>18342</v>
      </c>
      <c r="E3035">
        <v>75</v>
      </c>
      <c r="F3035">
        <v>69428.960000000006</v>
      </c>
      <c r="G3035">
        <v>21660.85</v>
      </c>
      <c r="H3035" t="str">
        <f>VLOOKUP(myynnit[[#This Row],[TuoteID]],ohjaus!$A$4:$B$20,2,FALSE)</f>
        <v>Työtuoli</v>
      </c>
    </row>
    <row r="3036" spans="1:8" x14ac:dyDescent="0.35">
      <c r="A3036" t="s">
        <v>39</v>
      </c>
      <c r="B3036">
        <v>2015</v>
      </c>
      <c r="C3036">
        <v>9</v>
      </c>
      <c r="D3036">
        <v>20177</v>
      </c>
      <c r="E3036">
        <v>73</v>
      </c>
      <c r="F3036">
        <v>6787.39</v>
      </c>
      <c r="G3036">
        <v>3525.6</v>
      </c>
      <c r="H3036" t="str">
        <f>VLOOKUP(myynnit[[#This Row],[TuoteID]],ohjaus!$A$4:$B$20,2,FALSE)</f>
        <v>Säkkituoli</v>
      </c>
    </row>
    <row r="3037" spans="1:8" x14ac:dyDescent="0.35">
      <c r="A3037" t="s">
        <v>39</v>
      </c>
      <c r="B3037">
        <v>2015</v>
      </c>
      <c r="C3037">
        <v>9</v>
      </c>
      <c r="D3037">
        <v>21179</v>
      </c>
      <c r="E3037">
        <v>59</v>
      </c>
      <c r="F3037">
        <v>6968.19</v>
      </c>
      <c r="G3037">
        <v>5412.43</v>
      </c>
      <c r="H3037" t="str">
        <f>VLOOKUP(myynnit[[#This Row],[TuoteID]],ohjaus!$A$4:$B$20,2,FALSE)</f>
        <v>Rahi</v>
      </c>
    </row>
    <row r="3038" spans="1:8" x14ac:dyDescent="0.35">
      <c r="A3038" t="s">
        <v>39</v>
      </c>
      <c r="B3038">
        <v>2015</v>
      </c>
      <c r="C3038">
        <v>9</v>
      </c>
      <c r="D3038">
        <v>21260</v>
      </c>
      <c r="E3038">
        <v>60</v>
      </c>
      <c r="F3038">
        <v>11250.42</v>
      </c>
      <c r="G3038">
        <v>3539.75</v>
      </c>
      <c r="H3038" t="str">
        <f>VLOOKUP(myynnit[[#This Row],[TuoteID]],ohjaus!$A$4:$B$20,2,FALSE)</f>
        <v>Lepotuoli</v>
      </c>
    </row>
    <row r="3039" spans="1:8" x14ac:dyDescent="0.35">
      <c r="A3039" t="s">
        <v>39</v>
      </c>
      <c r="B3039">
        <v>2015</v>
      </c>
      <c r="C3039">
        <v>9</v>
      </c>
      <c r="D3039">
        <v>22317</v>
      </c>
      <c r="E3039">
        <v>52</v>
      </c>
      <c r="F3039">
        <v>4086.41</v>
      </c>
      <c r="G3039">
        <v>2128.5300000000002</v>
      </c>
      <c r="H3039" t="str">
        <f>VLOOKUP(myynnit[[#This Row],[TuoteID]],ohjaus!$A$4:$B$20,2,FALSE)</f>
        <v>Säkkituoli</v>
      </c>
    </row>
    <row r="3040" spans="1:8" x14ac:dyDescent="0.35">
      <c r="A3040" t="s">
        <v>39</v>
      </c>
      <c r="B3040">
        <v>2015</v>
      </c>
      <c r="C3040">
        <v>9</v>
      </c>
      <c r="D3040">
        <v>22940</v>
      </c>
      <c r="E3040">
        <v>554</v>
      </c>
      <c r="F3040">
        <v>75392.210000000006</v>
      </c>
      <c r="G3040">
        <v>20225.080000000002</v>
      </c>
      <c r="H3040" t="str">
        <f>VLOOKUP(myynnit[[#This Row],[TuoteID]],ohjaus!$A$4:$B$20,2,FALSE)</f>
        <v>Pinnatuoli</v>
      </c>
    </row>
    <row r="3041" spans="1:8" x14ac:dyDescent="0.35">
      <c r="A3041" t="s">
        <v>39</v>
      </c>
      <c r="B3041">
        <v>2015</v>
      </c>
      <c r="C3041">
        <v>9</v>
      </c>
      <c r="D3041">
        <v>23178</v>
      </c>
      <c r="E3041">
        <v>121</v>
      </c>
      <c r="F3041">
        <v>20581.72</v>
      </c>
      <c r="G3041">
        <v>4483.62</v>
      </c>
      <c r="H3041" t="str">
        <f>VLOOKUP(myynnit[[#This Row],[TuoteID]],ohjaus!$A$4:$B$20,2,FALSE)</f>
        <v>Pinnatuoli</v>
      </c>
    </row>
    <row r="3042" spans="1:8" x14ac:dyDescent="0.35">
      <c r="A3042" t="s">
        <v>39</v>
      </c>
      <c r="B3042">
        <v>2015</v>
      </c>
      <c r="C3042">
        <v>9</v>
      </c>
      <c r="D3042">
        <v>23600</v>
      </c>
      <c r="E3042">
        <v>1183</v>
      </c>
      <c r="F3042">
        <v>127904.3</v>
      </c>
      <c r="G3042">
        <v>39136.129999999997</v>
      </c>
      <c r="H3042" t="str">
        <f>VLOOKUP(myynnit[[#This Row],[TuoteID]],ohjaus!$A$4:$B$20,2,FALSE)</f>
        <v>Pinnatuoli</v>
      </c>
    </row>
    <row r="3043" spans="1:8" x14ac:dyDescent="0.35">
      <c r="A3043" t="s">
        <v>39</v>
      </c>
      <c r="B3043">
        <v>2015</v>
      </c>
      <c r="C3043">
        <v>9</v>
      </c>
      <c r="D3043">
        <v>23756</v>
      </c>
      <c r="E3043">
        <v>86</v>
      </c>
      <c r="F3043">
        <v>17936.330000000002</v>
      </c>
      <c r="G3043">
        <v>10647.63</v>
      </c>
      <c r="H3043" t="str">
        <f>VLOOKUP(myynnit[[#This Row],[TuoteID]],ohjaus!$A$4:$B$20,2,FALSE)</f>
        <v>Pianotuoli</v>
      </c>
    </row>
    <row r="3044" spans="1:8" x14ac:dyDescent="0.35">
      <c r="A3044" t="s">
        <v>39</v>
      </c>
      <c r="B3044">
        <v>2015</v>
      </c>
      <c r="C3044">
        <v>9</v>
      </c>
      <c r="D3044">
        <v>24326</v>
      </c>
      <c r="E3044">
        <v>118</v>
      </c>
      <c r="F3044">
        <v>15288.74</v>
      </c>
      <c r="G3044">
        <v>4950.8599999999997</v>
      </c>
      <c r="H3044" t="str">
        <f>VLOOKUP(myynnit[[#This Row],[TuoteID]],ohjaus!$A$4:$B$20,2,FALSE)</f>
        <v>Lepotuoli</v>
      </c>
    </row>
    <row r="3045" spans="1:8" x14ac:dyDescent="0.35">
      <c r="A3045" t="s">
        <v>38</v>
      </c>
      <c r="B3045">
        <v>2015</v>
      </c>
      <c r="C3045">
        <v>9</v>
      </c>
      <c r="D3045">
        <v>12184</v>
      </c>
      <c r="E3045">
        <v>54</v>
      </c>
      <c r="F3045">
        <v>5443.22</v>
      </c>
      <c r="G3045">
        <v>3303.57</v>
      </c>
      <c r="H3045" t="str">
        <f>VLOOKUP(myynnit[[#This Row],[TuoteID]],ohjaus!$A$4:$B$20,2,FALSE)</f>
        <v>Rahi</v>
      </c>
    </row>
    <row r="3046" spans="1:8" x14ac:dyDescent="0.35">
      <c r="A3046" t="s">
        <v>38</v>
      </c>
      <c r="B3046">
        <v>2015</v>
      </c>
      <c r="C3046">
        <v>9</v>
      </c>
      <c r="D3046">
        <v>12622</v>
      </c>
      <c r="E3046">
        <v>26</v>
      </c>
      <c r="F3046">
        <v>7991.67</v>
      </c>
      <c r="G3046">
        <v>3671.97</v>
      </c>
      <c r="H3046" t="str">
        <f>VLOOKUP(myynnit[[#This Row],[TuoteID]],ohjaus!$A$4:$B$20,2,FALSE)</f>
        <v>Pianotuoli</v>
      </c>
    </row>
    <row r="3047" spans="1:8" x14ac:dyDescent="0.35">
      <c r="A3047" t="s">
        <v>38</v>
      </c>
      <c r="B3047">
        <v>2015</v>
      </c>
      <c r="C3047">
        <v>9</v>
      </c>
      <c r="D3047">
        <v>13527</v>
      </c>
      <c r="E3047">
        <v>316</v>
      </c>
      <c r="F3047">
        <v>51128.86</v>
      </c>
      <c r="G3047">
        <v>10806.56</v>
      </c>
      <c r="H3047" t="str">
        <f>VLOOKUP(myynnit[[#This Row],[TuoteID]],ohjaus!$A$4:$B$20,2,FALSE)</f>
        <v>Pinnatuoli</v>
      </c>
    </row>
    <row r="3048" spans="1:8" x14ac:dyDescent="0.35">
      <c r="A3048" t="s">
        <v>38</v>
      </c>
      <c r="B3048">
        <v>2015</v>
      </c>
      <c r="C3048">
        <v>9</v>
      </c>
      <c r="D3048">
        <v>13618</v>
      </c>
      <c r="E3048">
        <v>13</v>
      </c>
      <c r="F3048">
        <v>4789.16</v>
      </c>
      <c r="G3048">
        <v>2165.4499999999998</v>
      </c>
      <c r="H3048" t="str">
        <f>VLOOKUP(myynnit[[#This Row],[TuoteID]],ohjaus!$A$4:$B$20,2,FALSE)</f>
        <v>Pianotuoli</v>
      </c>
    </row>
    <row r="3049" spans="1:8" x14ac:dyDescent="0.35">
      <c r="A3049" t="s">
        <v>38</v>
      </c>
      <c r="B3049">
        <v>2015</v>
      </c>
      <c r="C3049">
        <v>9</v>
      </c>
      <c r="D3049">
        <v>16024</v>
      </c>
      <c r="E3049">
        <v>171</v>
      </c>
      <c r="F3049">
        <v>72459.53</v>
      </c>
      <c r="G3049">
        <v>19187.53</v>
      </c>
      <c r="H3049" t="str">
        <f>VLOOKUP(myynnit[[#This Row],[TuoteID]],ohjaus!$A$4:$B$20,2,FALSE)</f>
        <v>Työtuoli</v>
      </c>
    </row>
    <row r="3050" spans="1:8" x14ac:dyDescent="0.35">
      <c r="A3050" t="s">
        <v>38</v>
      </c>
      <c r="B3050">
        <v>2015</v>
      </c>
      <c r="C3050">
        <v>9</v>
      </c>
      <c r="D3050">
        <v>16650</v>
      </c>
      <c r="E3050">
        <v>47</v>
      </c>
      <c r="F3050">
        <v>7748.52</v>
      </c>
      <c r="G3050">
        <v>4602</v>
      </c>
      <c r="H3050" t="str">
        <f>VLOOKUP(myynnit[[#This Row],[TuoteID]],ohjaus!$A$4:$B$20,2,FALSE)</f>
        <v>Rahi</v>
      </c>
    </row>
    <row r="3051" spans="1:8" x14ac:dyDescent="0.35">
      <c r="A3051" t="s">
        <v>38</v>
      </c>
      <c r="B3051">
        <v>2015</v>
      </c>
      <c r="C3051">
        <v>9</v>
      </c>
      <c r="D3051">
        <v>17892</v>
      </c>
      <c r="E3051">
        <v>86</v>
      </c>
      <c r="F3051">
        <v>11510.89</v>
      </c>
      <c r="G3051">
        <v>2596.0500000000002</v>
      </c>
      <c r="H3051" t="str">
        <f>VLOOKUP(myynnit[[#This Row],[TuoteID]],ohjaus!$A$4:$B$20,2,FALSE)</f>
        <v>Lepotuoli</v>
      </c>
    </row>
    <row r="3052" spans="1:8" x14ac:dyDescent="0.35">
      <c r="A3052" t="s">
        <v>38</v>
      </c>
      <c r="B3052">
        <v>2015</v>
      </c>
      <c r="C3052">
        <v>9</v>
      </c>
      <c r="D3052">
        <v>18342</v>
      </c>
      <c r="E3052">
        <v>103</v>
      </c>
      <c r="F3052">
        <v>78018.23</v>
      </c>
      <c r="G3052">
        <v>17880.7</v>
      </c>
      <c r="H3052" t="str">
        <f>VLOOKUP(myynnit[[#This Row],[TuoteID]],ohjaus!$A$4:$B$20,2,FALSE)</f>
        <v>Työtuoli</v>
      </c>
    </row>
    <row r="3053" spans="1:8" x14ac:dyDescent="0.35">
      <c r="A3053" t="s">
        <v>38</v>
      </c>
      <c r="B3053">
        <v>2015</v>
      </c>
      <c r="C3053">
        <v>9</v>
      </c>
      <c r="D3053">
        <v>20177</v>
      </c>
      <c r="E3053">
        <v>73</v>
      </c>
      <c r="F3053">
        <v>7472.55</v>
      </c>
      <c r="G3053">
        <v>2809.15</v>
      </c>
      <c r="H3053" t="str">
        <f>VLOOKUP(myynnit[[#This Row],[TuoteID]],ohjaus!$A$4:$B$20,2,FALSE)</f>
        <v>Säkkituoli</v>
      </c>
    </row>
    <row r="3054" spans="1:8" x14ac:dyDescent="0.35">
      <c r="A3054" t="s">
        <v>38</v>
      </c>
      <c r="B3054">
        <v>2015</v>
      </c>
      <c r="C3054">
        <v>9</v>
      </c>
      <c r="D3054">
        <v>21179</v>
      </c>
      <c r="E3054">
        <v>38</v>
      </c>
      <c r="F3054">
        <v>5496</v>
      </c>
      <c r="G3054">
        <v>3621.41</v>
      </c>
      <c r="H3054" t="str">
        <f>VLOOKUP(myynnit[[#This Row],[TuoteID]],ohjaus!$A$4:$B$20,2,FALSE)</f>
        <v>Rahi</v>
      </c>
    </row>
    <row r="3055" spans="1:8" x14ac:dyDescent="0.35">
      <c r="A3055" t="s">
        <v>38</v>
      </c>
      <c r="B3055">
        <v>2015</v>
      </c>
      <c r="C3055">
        <v>9</v>
      </c>
      <c r="D3055">
        <v>21260</v>
      </c>
      <c r="E3055">
        <v>43</v>
      </c>
      <c r="F3055">
        <v>8904.0400000000009</v>
      </c>
      <c r="G3055">
        <v>1968.77</v>
      </c>
      <c r="H3055" t="str">
        <f>VLOOKUP(myynnit[[#This Row],[TuoteID]],ohjaus!$A$4:$B$20,2,FALSE)</f>
        <v>Lepotuoli</v>
      </c>
    </row>
    <row r="3056" spans="1:8" x14ac:dyDescent="0.35">
      <c r="A3056" t="s">
        <v>38</v>
      </c>
      <c r="B3056">
        <v>2015</v>
      </c>
      <c r="C3056">
        <v>9</v>
      </c>
      <c r="D3056">
        <v>22317</v>
      </c>
      <c r="E3056">
        <v>54</v>
      </c>
      <c r="F3056">
        <v>4549.2</v>
      </c>
      <c r="G3056">
        <v>1947.94</v>
      </c>
      <c r="H3056" t="str">
        <f>VLOOKUP(myynnit[[#This Row],[TuoteID]],ohjaus!$A$4:$B$20,2,FALSE)</f>
        <v>Säkkituoli</v>
      </c>
    </row>
    <row r="3057" spans="1:8" x14ac:dyDescent="0.35">
      <c r="A3057" t="s">
        <v>38</v>
      </c>
      <c r="B3057">
        <v>2015</v>
      </c>
      <c r="C3057">
        <v>9</v>
      </c>
      <c r="D3057">
        <v>22940</v>
      </c>
      <c r="E3057">
        <v>564</v>
      </c>
      <c r="F3057">
        <v>67071.289999999994</v>
      </c>
      <c r="G3057">
        <v>12715.08</v>
      </c>
      <c r="H3057" t="str">
        <f>VLOOKUP(myynnit[[#This Row],[TuoteID]],ohjaus!$A$4:$B$20,2,FALSE)</f>
        <v>Pinnatuoli</v>
      </c>
    </row>
    <row r="3058" spans="1:8" x14ac:dyDescent="0.35">
      <c r="A3058" t="s">
        <v>38</v>
      </c>
      <c r="B3058">
        <v>2015</v>
      </c>
      <c r="C3058">
        <v>9</v>
      </c>
      <c r="D3058">
        <v>23178</v>
      </c>
      <c r="E3058">
        <v>232</v>
      </c>
      <c r="F3058">
        <v>38045.29</v>
      </c>
      <c r="G3058">
        <v>9008.36</v>
      </c>
      <c r="H3058" t="str">
        <f>VLOOKUP(myynnit[[#This Row],[TuoteID]],ohjaus!$A$4:$B$20,2,FALSE)</f>
        <v>Pinnatuoli</v>
      </c>
    </row>
    <row r="3059" spans="1:8" x14ac:dyDescent="0.35">
      <c r="A3059" t="s">
        <v>38</v>
      </c>
      <c r="B3059">
        <v>2015</v>
      </c>
      <c r="C3059">
        <v>9</v>
      </c>
      <c r="D3059">
        <v>23600</v>
      </c>
      <c r="E3059">
        <v>1308</v>
      </c>
      <c r="F3059">
        <v>133736.59</v>
      </c>
      <c r="G3059">
        <v>34649.339999999997</v>
      </c>
      <c r="H3059" t="str">
        <f>VLOOKUP(myynnit[[#This Row],[TuoteID]],ohjaus!$A$4:$B$20,2,FALSE)</f>
        <v>Pinnatuoli</v>
      </c>
    </row>
    <row r="3060" spans="1:8" x14ac:dyDescent="0.35">
      <c r="A3060" t="s">
        <v>38</v>
      </c>
      <c r="B3060">
        <v>2015</v>
      </c>
      <c r="C3060">
        <v>9</v>
      </c>
      <c r="D3060">
        <v>23756</v>
      </c>
      <c r="E3060">
        <v>138</v>
      </c>
      <c r="F3060">
        <v>22605.67</v>
      </c>
      <c r="G3060">
        <v>9976.65</v>
      </c>
      <c r="H3060" t="str">
        <f>VLOOKUP(myynnit[[#This Row],[TuoteID]],ohjaus!$A$4:$B$20,2,FALSE)</f>
        <v>Pianotuoli</v>
      </c>
    </row>
    <row r="3061" spans="1:8" x14ac:dyDescent="0.35">
      <c r="A3061" t="s">
        <v>38</v>
      </c>
      <c r="B3061">
        <v>2015</v>
      </c>
      <c r="C3061">
        <v>9</v>
      </c>
      <c r="D3061">
        <v>24326</v>
      </c>
      <c r="E3061">
        <v>105</v>
      </c>
      <c r="F3061">
        <v>13373.2</v>
      </c>
      <c r="G3061">
        <v>3784.46</v>
      </c>
      <c r="H3061" t="str">
        <f>VLOOKUP(myynnit[[#This Row],[TuoteID]],ohjaus!$A$4:$B$20,2,FALSE)</f>
        <v>Lepotuoli</v>
      </c>
    </row>
    <row r="3062" spans="1:8" x14ac:dyDescent="0.35">
      <c r="A3062" t="s">
        <v>37</v>
      </c>
      <c r="B3062">
        <v>2015</v>
      </c>
      <c r="C3062">
        <v>10</v>
      </c>
      <c r="D3062">
        <v>12184</v>
      </c>
      <c r="E3062">
        <v>89</v>
      </c>
      <c r="F3062">
        <v>12721.33</v>
      </c>
      <c r="G3062">
        <v>6445.01</v>
      </c>
      <c r="H3062" t="str">
        <f>VLOOKUP(myynnit[[#This Row],[TuoteID]],ohjaus!$A$4:$B$20,2,FALSE)</f>
        <v>Rahi</v>
      </c>
    </row>
    <row r="3063" spans="1:8" x14ac:dyDescent="0.35">
      <c r="A3063" t="s">
        <v>37</v>
      </c>
      <c r="B3063">
        <v>2015</v>
      </c>
      <c r="C3063">
        <v>10</v>
      </c>
      <c r="D3063">
        <v>12622</v>
      </c>
      <c r="E3063">
        <v>37</v>
      </c>
      <c r="F3063">
        <v>11613.07</v>
      </c>
      <c r="G3063">
        <v>5356.09</v>
      </c>
      <c r="H3063" t="str">
        <f>VLOOKUP(myynnit[[#This Row],[TuoteID]],ohjaus!$A$4:$B$20,2,FALSE)</f>
        <v>Pianotuoli</v>
      </c>
    </row>
    <row r="3064" spans="1:8" x14ac:dyDescent="0.35">
      <c r="A3064" t="s">
        <v>37</v>
      </c>
      <c r="B3064">
        <v>2015</v>
      </c>
      <c r="C3064">
        <v>10</v>
      </c>
      <c r="D3064">
        <v>13527</v>
      </c>
      <c r="E3064">
        <v>692</v>
      </c>
      <c r="F3064">
        <v>105692.61</v>
      </c>
      <c r="G3064">
        <v>19573.14</v>
      </c>
      <c r="H3064" t="str">
        <f>VLOOKUP(myynnit[[#This Row],[TuoteID]],ohjaus!$A$4:$B$20,2,FALSE)</f>
        <v>Pinnatuoli</v>
      </c>
    </row>
    <row r="3065" spans="1:8" x14ac:dyDescent="0.35">
      <c r="A3065" t="s">
        <v>37</v>
      </c>
      <c r="B3065">
        <v>2015</v>
      </c>
      <c r="C3065">
        <v>10</v>
      </c>
      <c r="D3065">
        <v>13618</v>
      </c>
      <c r="E3065">
        <v>15</v>
      </c>
      <c r="F3065">
        <v>6530.91</v>
      </c>
      <c r="G3065">
        <v>3031.34</v>
      </c>
      <c r="H3065" t="str">
        <f>VLOOKUP(myynnit[[#This Row],[TuoteID]],ohjaus!$A$4:$B$20,2,FALSE)</f>
        <v>Pianotuoli</v>
      </c>
    </row>
    <row r="3066" spans="1:8" x14ac:dyDescent="0.35">
      <c r="A3066" t="s">
        <v>37</v>
      </c>
      <c r="B3066">
        <v>2015</v>
      </c>
      <c r="C3066">
        <v>10</v>
      </c>
      <c r="D3066">
        <v>16024</v>
      </c>
      <c r="E3066">
        <v>252</v>
      </c>
      <c r="F3066">
        <v>103168.35</v>
      </c>
      <c r="G3066">
        <v>32604.26</v>
      </c>
      <c r="H3066" t="str">
        <f>VLOOKUP(myynnit[[#This Row],[TuoteID]],ohjaus!$A$4:$B$20,2,FALSE)</f>
        <v>Työtuoli</v>
      </c>
    </row>
    <row r="3067" spans="1:8" x14ac:dyDescent="0.35">
      <c r="A3067" t="s">
        <v>37</v>
      </c>
      <c r="B3067">
        <v>2015</v>
      </c>
      <c r="C3067">
        <v>10</v>
      </c>
      <c r="D3067">
        <v>16650</v>
      </c>
      <c r="E3067">
        <v>58</v>
      </c>
      <c r="F3067">
        <v>9976.6200000000008</v>
      </c>
      <c r="G3067">
        <v>4444.2700000000004</v>
      </c>
      <c r="H3067" t="str">
        <f>VLOOKUP(myynnit[[#This Row],[TuoteID]],ohjaus!$A$4:$B$20,2,FALSE)</f>
        <v>Rahi</v>
      </c>
    </row>
    <row r="3068" spans="1:8" x14ac:dyDescent="0.35">
      <c r="A3068" t="s">
        <v>37</v>
      </c>
      <c r="B3068">
        <v>2015</v>
      </c>
      <c r="C3068">
        <v>10</v>
      </c>
      <c r="D3068">
        <v>17892</v>
      </c>
      <c r="E3068">
        <v>82</v>
      </c>
      <c r="F3068">
        <v>12878.66</v>
      </c>
      <c r="G3068">
        <v>3607.39</v>
      </c>
      <c r="H3068" t="str">
        <f>VLOOKUP(myynnit[[#This Row],[TuoteID]],ohjaus!$A$4:$B$20,2,FALSE)</f>
        <v>Lepotuoli</v>
      </c>
    </row>
    <row r="3069" spans="1:8" x14ac:dyDescent="0.35">
      <c r="A3069" t="s">
        <v>37</v>
      </c>
      <c r="B3069">
        <v>2015</v>
      </c>
      <c r="C3069">
        <v>10</v>
      </c>
      <c r="D3069">
        <v>18342</v>
      </c>
      <c r="E3069">
        <v>168</v>
      </c>
      <c r="F3069">
        <v>143862.16</v>
      </c>
      <c r="G3069">
        <v>45228.5</v>
      </c>
      <c r="H3069" t="str">
        <f>VLOOKUP(myynnit[[#This Row],[TuoteID]],ohjaus!$A$4:$B$20,2,FALSE)</f>
        <v>Työtuoli</v>
      </c>
    </row>
    <row r="3070" spans="1:8" x14ac:dyDescent="0.35">
      <c r="A3070" t="s">
        <v>37</v>
      </c>
      <c r="B3070">
        <v>2015</v>
      </c>
      <c r="C3070">
        <v>10</v>
      </c>
      <c r="D3070">
        <v>20177</v>
      </c>
      <c r="E3070">
        <v>156</v>
      </c>
      <c r="F3070">
        <v>18017.55</v>
      </c>
      <c r="G3070">
        <v>7459.29</v>
      </c>
      <c r="H3070" t="str">
        <f>VLOOKUP(myynnit[[#This Row],[TuoteID]],ohjaus!$A$4:$B$20,2,FALSE)</f>
        <v>Säkkituoli</v>
      </c>
    </row>
    <row r="3071" spans="1:8" x14ac:dyDescent="0.35">
      <c r="A3071" t="s">
        <v>37</v>
      </c>
      <c r="B3071">
        <v>2015</v>
      </c>
      <c r="C3071">
        <v>10</v>
      </c>
      <c r="D3071">
        <v>21179</v>
      </c>
      <c r="E3071">
        <v>29</v>
      </c>
      <c r="F3071">
        <v>3385.53</v>
      </c>
      <c r="G3071">
        <v>1820.18</v>
      </c>
      <c r="H3071" t="str">
        <f>VLOOKUP(myynnit[[#This Row],[TuoteID]],ohjaus!$A$4:$B$20,2,FALSE)</f>
        <v>Rahi</v>
      </c>
    </row>
    <row r="3072" spans="1:8" x14ac:dyDescent="0.35">
      <c r="A3072" t="s">
        <v>37</v>
      </c>
      <c r="B3072">
        <v>2015</v>
      </c>
      <c r="C3072">
        <v>10</v>
      </c>
      <c r="D3072">
        <v>21260</v>
      </c>
      <c r="E3072">
        <v>111</v>
      </c>
      <c r="F3072">
        <v>22799.02</v>
      </c>
      <c r="G3072">
        <v>7197.5</v>
      </c>
      <c r="H3072" t="str">
        <f>VLOOKUP(myynnit[[#This Row],[TuoteID]],ohjaus!$A$4:$B$20,2,FALSE)</f>
        <v>Lepotuoli</v>
      </c>
    </row>
    <row r="3073" spans="1:8" x14ac:dyDescent="0.35">
      <c r="A3073" t="s">
        <v>37</v>
      </c>
      <c r="B3073">
        <v>2015</v>
      </c>
      <c r="C3073">
        <v>10</v>
      </c>
      <c r="D3073">
        <v>22317</v>
      </c>
      <c r="E3073">
        <v>72</v>
      </c>
      <c r="F3073">
        <v>5425.78</v>
      </c>
      <c r="G3073">
        <v>1828.41</v>
      </c>
      <c r="H3073" t="str">
        <f>VLOOKUP(myynnit[[#This Row],[TuoteID]],ohjaus!$A$4:$B$20,2,FALSE)</f>
        <v>Säkkituoli</v>
      </c>
    </row>
    <row r="3074" spans="1:8" x14ac:dyDescent="0.35">
      <c r="A3074" t="s">
        <v>37</v>
      </c>
      <c r="B3074">
        <v>2015</v>
      </c>
      <c r="C3074">
        <v>10</v>
      </c>
      <c r="D3074">
        <v>22940</v>
      </c>
      <c r="E3074">
        <v>658</v>
      </c>
      <c r="F3074">
        <v>80666.69</v>
      </c>
      <c r="G3074">
        <v>16125.08</v>
      </c>
      <c r="H3074" t="str">
        <f>VLOOKUP(myynnit[[#This Row],[TuoteID]],ohjaus!$A$4:$B$20,2,FALSE)</f>
        <v>Pinnatuoli</v>
      </c>
    </row>
    <row r="3075" spans="1:8" x14ac:dyDescent="0.35">
      <c r="A3075" t="s">
        <v>37</v>
      </c>
      <c r="B3075">
        <v>2015</v>
      </c>
      <c r="C3075">
        <v>10</v>
      </c>
      <c r="D3075">
        <v>23178</v>
      </c>
      <c r="E3075">
        <v>178</v>
      </c>
      <c r="F3075">
        <v>31416.26</v>
      </c>
      <c r="G3075">
        <v>6872.3</v>
      </c>
      <c r="H3075" t="str">
        <f>VLOOKUP(myynnit[[#This Row],[TuoteID]],ohjaus!$A$4:$B$20,2,FALSE)</f>
        <v>Pinnatuoli</v>
      </c>
    </row>
    <row r="3076" spans="1:8" x14ac:dyDescent="0.35">
      <c r="A3076" t="s">
        <v>37</v>
      </c>
      <c r="B3076">
        <v>2015</v>
      </c>
      <c r="C3076">
        <v>10</v>
      </c>
      <c r="D3076">
        <v>23600</v>
      </c>
      <c r="E3076">
        <v>866</v>
      </c>
      <c r="F3076">
        <v>87628.27</v>
      </c>
      <c r="G3076">
        <v>22740.78</v>
      </c>
      <c r="H3076" t="str">
        <f>VLOOKUP(myynnit[[#This Row],[TuoteID]],ohjaus!$A$4:$B$20,2,FALSE)</f>
        <v>Pinnatuoli</v>
      </c>
    </row>
    <row r="3077" spans="1:8" x14ac:dyDescent="0.35">
      <c r="A3077" t="s">
        <v>37</v>
      </c>
      <c r="B3077">
        <v>2015</v>
      </c>
      <c r="C3077">
        <v>10</v>
      </c>
      <c r="D3077">
        <v>23756</v>
      </c>
      <c r="E3077">
        <v>76</v>
      </c>
      <c r="F3077">
        <v>14482.82</v>
      </c>
      <c r="G3077">
        <v>6746.79</v>
      </c>
      <c r="H3077" t="str">
        <f>VLOOKUP(myynnit[[#This Row],[TuoteID]],ohjaus!$A$4:$B$20,2,FALSE)</f>
        <v>Pianotuoli</v>
      </c>
    </row>
    <row r="3078" spans="1:8" x14ac:dyDescent="0.35">
      <c r="A3078" t="s">
        <v>37</v>
      </c>
      <c r="B3078">
        <v>2015</v>
      </c>
      <c r="C3078">
        <v>10</v>
      </c>
      <c r="D3078">
        <v>24326</v>
      </c>
      <c r="E3078">
        <v>186</v>
      </c>
      <c r="F3078">
        <v>23862.959999999999</v>
      </c>
      <c r="G3078">
        <v>6750.38</v>
      </c>
      <c r="H3078" t="str">
        <f>VLOOKUP(myynnit[[#This Row],[TuoteID]],ohjaus!$A$4:$B$20,2,FALSE)</f>
        <v>Lepotuoli</v>
      </c>
    </row>
    <row r="3079" spans="1:8" x14ac:dyDescent="0.35">
      <c r="A3079" t="s">
        <v>40</v>
      </c>
      <c r="B3079">
        <v>2015</v>
      </c>
      <c r="C3079">
        <v>10</v>
      </c>
      <c r="D3079">
        <v>12184</v>
      </c>
      <c r="E3079">
        <v>17</v>
      </c>
      <c r="F3079">
        <v>1947.37</v>
      </c>
      <c r="G3079">
        <v>1048.6600000000001</v>
      </c>
      <c r="H3079" t="str">
        <f>VLOOKUP(myynnit[[#This Row],[TuoteID]],ohjaus!$A$4:$B$20,2,FALSE)</f>
        <v>Rahi</v>
      </c>
    </row>
    <row r="3080" spans="1:8" x14ac:dyDescent="0.35">
      <c r="A3080" t="s">
        <v>40</v>
      </c>
      <c r="B3080">
        <v>2015</v>
      </c>
      <c r="C3080">
        <v>10</v>
      </c>
      <c r="D3080">
        <v>12622</v>
      </c>
      <c r="E3080">
        <v>11</v>
      </c>
      <c r="F3080">
        <v>3079.63</v>
      </c>
      <c r="G3080">
        <v>1473.03</v>
      </c>
      <c r="H3080" t="str">
        <f>VLOOKUP(myynnit[[#This Row],[TuoteID]],ohjaus!$A$4:$B$20,2,FALSE)</f>
        <v>Pianotuoli</v>
      </c>
    </row>
    <row r="3081" spans="1:8" x14ac:dyDescent="0.35">
      <c r="A3081" t="s">
        <v>40</v>
      </c>
      <c r="B3081">
        <v>2015</v>
      </c>
      <c r="C3081">
        <v>10</v>
      </c>
      <c r="D3081">
        <v>13527</v>
      </c>
      <c r="E3081">
        <v>236</v>
      </c>
      <c r="F3081">
        <v>38723.71</v>
      </c>
      <c r="G3081">
        <v>5945.51</v>
      </c>
      <c r="H3081" t="str">
        <f>VLOOKUP(myynnit[[#This Row],[TuoteID]],ohjaus!$A$4:$B$20,2,FALSE)</f>
        <v>Pinnatuoli</v>
      </c>
    </row>
    <row r="3082" spans="1:8" x14ac:dyDescent="0.35">
      <c r="A3082" t="s">
        <v>40</v>
      </c>
      <c r="B3082">
        <v>2015</v>
      </c>
      <c r="C3082">
        <v>10</v>
      </c>
      <c r="D3082">
        <v>13618</v>
      </c>
      <c r="E3082">
        <v>5</v>
      </c>
      <c r="F3082">
        <v>1960.46</v>
      </c>
      <c r="G3082">
        <v>807.71</v>
      </c>
      <c r="H3082" t="str">
        <f>VLOOKUP(myynnit[[#This Row],[TuoteID]],ohjaus!$A$4:$B$20,2,FALSE)</f>
        <v>Pianotuoli</v>
      </c>
    </row>
    <row r="3083" spans="1:8" x14ac:dyDescent="0.35">
      <c r="A3083" t="s">
        <v>40</v>
      </c>
      <c r="B3083">
        <v>2015</v>
      </c>
      <c r="C3083">
        <v>10</v>
      </c>
      <c r="D3083">
        <v>16024</v>
      </c>
      <c r="E3083">
        <v>170</v>
      </c>
      <c r="F3083">
        <v>79932.42</v>
      </c>
      <c r="G3083">
        <v>27872.1</v>
      </c>
      <c r="H3083" t="str">
        <f>VLOOKUP(myynnit[[#This Row],[TuoteID]],ohjaus!$A$4:$B$20,2,FALSE)</f>
        <v>Työtuoli</v>
      </c>
    </row>
    <row r="3084" spans="1:8" x14ac:dyDescent="0.35">
      <c r="A3084" t="s">
        <v>40</v>
      </c>
      <c r="B3084">
        <v>2015</v>
      </c>
      <c r="C3084">
        <v>10</v>
      </c>
      <c r="D3084">
        <v>16650</v>
      </c>
      <c r="E3084">
        <v>16</v>
      </c>
      <c r="F3084">
        <v>2098.1999999999998</v>
      </c>
      <c r="G3084">
        <v>1485.53</v>
      </c>
      <c r="H3084" t="str">
        <f>VLOOKUP(myynnit[[#This Row],[TuoteID]],ohjaus!$A$4:$B$20,2,FALSE)</f>
        <v>Rahi</v>
      </c>
    </row>
    <row r="3085" spans="1:8" x14ac:dyDescent="0.35">
      <c r="A3085" t="s">
        <v>40</v>
      </c>
      <c r="B3085">
        <v>2015</v>
      </c>
      <c r="C3085">
        <v>10</v>
      </c>
      <c r="D3085">
        <v>17892</v>
      </c>
      <c r="E3085">
        <v>85</v>
      </c>
      <c r="F3085">
        <v>12004.18</v>
      </c>
      <c r="G3085">
        <v>2812.16</v>
      </c>
      <c r="H3085" t="str">
        <f>VLOOKUP(myynnit[[#This Row],[TuoteID]],ohjaus!$A$4:$B$20,2,FALSE)</f>
        <v>Lepotuoli</v>
      </c>
    </row>
    <row r="3086" spans="1:8" x14ac:dyDescent="0.35">
      <c r="A3086" t="s">
        <v>40</v>
      </c>
      <c r="B3086">
        <v>2015</v>
      </c>
      <c r="C3086">
        <v>10</v>
      </c>
      <c r="D3086">
        <v>18342</v>
      </c>
      <c r="E3086">
        <v>27</v>
      </c>
      <c r="F3086">
        <v>20182.740000000002</v>
      </c>
      <c r="G3086">
        <v>6962.04</v>
      </c>
      <c r="H3086" t="str">
        <f>VLOOKUP(myynnit[[#This Row],[TuoteID]],ohjaus!$A$4:$B$20,2,FALSE)</f>
        <v>Työtuoli</v>
      </c>
    </row>
    <row r="3087" spans="1:8" x14ac:dyDescent="0.35">
      <c r="A3087" t="s">
        <v>40</v>
      </c>
      <c r="B3087">
        <v>2015</v>
      </c>
      <c r="C3087">
        <v>10</v>
      </c>
      <c r="D3087">
        <v>20177</v>
      </c>
      <c r="E3087">
        <v>28</v>
      </c>
      <c r="F3087">
        <v>2844.39</v>
      </c>
      <c r="G3087">
        <v>1007.2</v>
      </c>
      <c r="H3087" t="str">
        <f>VLOOKUP(myynnit[[#This Row],[TuoteID]],ohjaus!$A$4:$B$20,2,FALSE)</f>
        <v>Säkkituoli</v>
      </c>
    </row>
    <row r="3088" spans="1:8" x14ac:dyDescent="0.35">
      <c r="A3088" t="s">
        <v>40</v>
      </c>
      <c r="B3088">
        <v>2015</v>
      </c>
      <c r="C3088">
        <v>10</v>
      </c>
      <c r="D3088">
        <v>21179</v>
      </c>
      <c r="E3088">
        <v>35</v>
      </c>
      <c r="F3088">
        <v>4445.8</v>
      </c>
      <c r="G3088">
        <v>2495.92</v>
      </c>
      <c r="H3088" t="str">
        <f>VLOOKUP(myynnit[[#This Row],[TuoteID]],ohjaus!$A$4:$B$20,2,FALSE)</f>
        <v>Rahi</v>
      </c>
    </row>
    <row r="3089" spans="1:8" x14ac:dyDescent="0.35">
      <c r="A3089" t="s">
        <v>40</v>
      </c>
      <c r="B3089">
        <v>2015</v>
      </c>
      <c r="C3089">
        <v>10</v>
      </c>
      <c r="D3089">
        <v>21260</v>
      </c>
      <c r="E3089">
        <v>45</v>
      </c>
      <c r="F3089">
        <v>8833.92</v>
      </c>
      <c r="G3089">
        <v>1818.66</v>
      </c>
      <c r="H3089" t="str">
        <f>VLOOKUP(myynnit[[#This Row],[TuoteID]],ohjaus!$A$4:$B$20,2,FALSE)</f>
        <v>Lepotuoli</v>
      </c>
    </row>
    <row r="3090" spans="1:8" x14ac:dyDescent="0.35">
      <c r="A3090" t="s">
        <v>40</v>
      </c>
      <c r="B3090">
        <v>2015</v>
      </c>
      <c r="C3090">
        <v>10</v>
      </c>
      <c r="D3090">
        <v>22317</v>
      </c>
      <c r="E3090">
        <v>18</v>
      </c>
      <c r="F3090">
        <v>1849.53</v>
      </c>
      <c r="G3090">
        <v>804.17</v>
      </c>
      <c r="H3090" t="str">
        <f>VLOOKUP(myynnit[[#This Row],[TuoteID]],ohjaus!$A$4:$B$20,2,FALSE)</f>
        <v>Säkkituoli</v>
      </c>
    </row>
    <row r="3091" spans="1:8" x14ac:dyDescent="0.35">
      <c r="A3091" t="s">
        <v>40</v>
      </c>
      <c r="B3091">
        <v>2015</v>
      </c>
      <c r="C3091">
        <v>10</v>
      </c>
      <c r="D3091">
        <v>22940</v>
      </c>
      <c r="E3091">
        <v>113</v>
      </c>
      <c r="F3091">
        <v>15747.33</v>
      </c>
      <c r="G3091">
        <v>4847.32</v>
      </c>
      <c r="H3091" t="str">
        <f>VLOOKUP(myynnit[[#This Row],[TuoteID]],ohjaus!$A$4:$B$20,2,FALSE)</f>
        <v>Pinnatuoli</v>
      </c>
    </row>
    <row r="3092" spans="1:8" x14ac:dyDescent="0.35">
      <c r="A3092" t="s">
        <v>40</v>
      </c>
      <c r="B3092">
        <v>2015</v>
      </c>
      <c r="C3092">
        <v>10</v>
      </c>
      <c r="D3092">
        <v>23178</v>
      </c>
      <c r="E3092">
        <v>223</v>
      </c>
      <c r="F3092">
        <v>39248.870000000003</v>
      </c>
      <c r="G3092">
        <v>8814.31</v>
      </c>
      <c r="H3092" t="str">
        <f>VLOOKUP(myynnit[[#This Row],[TuoteID]],ohjaus!$A$4:$B$20,2,FALSE)</f>
        <v>Pinnatuoli</v>
      </c>
    </row>
    <row r="3093" spans="1:8" x14ac:dyDescent="0.35">
      <c r="A3093" t="s">
        <v>40</v>
      </c>
      <c r="B3093">
        <v>2015</v>
      </c>
      <c r="C3093">
        <v>10</v>
      </c>
      <c r="D3093">
        <v>23600</v>
      </c>
      <c r="E3093">
        <v>550</v>
      </c>
      <c r="F3093">
        <v>56424.639999999999</v>
      </c>
      <c r="G3093">
        <v>14242.45</v>
      </c>
      <c r="H3093" t="str">
        <f>VLOOKUP(myynnit[[#This Row],[TuoteID]],ohjaus!$A$4:$B$20,2,FALSE)</f>
        <v>Pinnatuoli</v>
      </c>
    </row>
    <row r="3094" spans="1:8" x14ac:dyDescent="0.35">
      <c r="A3094" t="s">
        <v>40</v>
      </c>
      <c r="B3094">
        <v>2015</v>
      </c>
      <c r="C3094">
        <v>10</v>
      </c>
      <c r="D3094">
        <v>23756</v>
      </c>
      <c r="E3094">
        <v>49</v>
      </c>
      <c r="F3094">
        <v>8013.11</v>
      </c>
      <c r="G3094">
        <v>3274.52</v>
      </c>
      <c r="H3094" t="str">
        <f>VLOOKUP(myynnit[[#This Row],[TuoteID]],ohjaus!$A$4:$B$20,2,FALSE)</f>
        <v>Pianotuoli</v>
      </c>
    </row>
    <row r="3095" spans="1:8" x14ac:dyDescent="0.35">
      <c r="A3095" t="s">
        <v>40</v>
      </c>
      <c r="B3095">
        <v>2015</v>
      </c>
      <c r="C3095">
        <v>10</v>
      </c>
      <c r="D3095">
        <v>24326</v>
      </c>
      <c r="E3095">
        <v>20</v>
      </c>
      <c r="F3095">
        <v>2728.52</v>
      </c>
      <c r="G3095">
        <v>881.4</v>
      </c>
      <c r="H3095" t="str">
        <f>VLOOKUP(myynnit[[#This Row],[TuoteID]],ohjaus!$A$4:$B$20,2,FALSE)</f>
        <v>Lepotuoli</v>
      </c>
    </row>
    <row r="3096" spans="1:8" x14ac:dyDescent="0.35">
      <c r="A3096" t="s">
        <v>39</v>
      </c>
      <c r="B3096">
        <v>2015</v>
      </c>
      <c r="C3096">
        <v>10</v>
      </c>
      <c r="D3096">
        <v>12184</v>
      </c>
      <c r="E3096">
        <v>87</v>
      </c>
      <c r="F3096">
        <v>12980.56</v>
      </c>
      <c r="G3096">
        <v>8444.43</v>
      </c>
      <c r="H3096" t="str">
        <f>VLOOKUP(myynnit[[#This Row],[TuoteID]],ohjaus!$A$4:$B$20,2,FALSE)</f>
        <v>Rahi</v>
      </c>
    </row>
    <row r="3097" spans="1:8" x14ac:dyDescent="0.35">
      <c r="A3097" t="s">
        <v>39</v>
      </c>
      <c r="B3097">
        <v>2015</v>
      </c>
      <c r="C3097">
        <v>10</v>
      </c>
      <c r="D3097">
        <v>12622</v>
      </c>
      <c r="E3097">
        <v>45</v>
      </c>
      <c r="F3097">
        <v>12800.21</v>
      </c>
      <c r="G3097">
        <v>7801.25</v>
      </c>
      <c r="H3097" t="str">
        <f>VLOOKUP(myynnit[[#This Row],[TuoteID]],ohjaus!$A$4:$B$20,2,FALSE)</f>
        <v>Pianotuoli</v>
      </c>
    </row>
    <row r="3098" spans="1:8" x14ac:dyDescent="0.35">
      <c r="A3098" t="s">
        <v>39</v>
      </c>
      <c r="B3098">
        <v>2015</v>
      </c>
      <c r="C3098">
        <v>10</v>
      </c>
      <c r="D3098">
        <v>13527</v>
      </c>
      <c r="E3098">
        <v>207</v>
      </c>
      <c r="F3098">
        <v>30484.61</v>
      </c>
      <c r="G3098">
        <v>6860.64</v>
      </c>
      <c r="H3098" t="str">
        <f>VLOOKUP(myynnit[[#This Row],[TuoteID]],ohjaus!$A$4:$B$20,2,FALSE)</f>
        <v>Pinnatuoli</v>
      </c>
    </row>
    <row r="3099" spans="1:8" x14ac:dyDescent="0.35">
      <c r="A3099" t="s">
        <v>39</v>
      </c>
      <c r="B3099">
        <v>2015</v>
      </c>
      <c r="C3099">
        <v>10</v>
      </c>
      <c r="D3099">
        <v>13618</v>
      </c>
      <c r="E3099">
        <v>30</v>
      </c>
      <c r="F3099">
        <v>11176.79</v>
      </c>
      <c r="G3099">
        <v>6859.29</v>
      </c>
      <c r="H3099" t="str">
        <f>VLOOKUP(myynnit[[#This Row],[TuoteID]],ohjaus!$A$4:$B$20,2,FALSE)</f>
        <v>Pianotuoli</v>
      </c>
    </row>
    <row r="3100" spans="1:8" x14ac:dyDescent="0.35">
      <c r="A3100" t="s">
        <v>39</v>
      </c>
      <c r="B3100">
        <v>2015</v>
      </c>
      <c r="C3100">
        <v>10</v>
      </c>
      <c r="D3100">
        <v>16024</v>
      </c>
      <c r="E3100">
        <v>231</v>
      </c>
      <c r="F3100">
        <v>109588.41</v>
      </c>
      <c r="G3100">
        <v>35174.949999999997</v>
      </c>
      <c r="H3100" t="str">
        <f>VLOOKUP(myynnit[[#This Row],[TuoteID]],ohjaus!$A$4:$B$20,2,FALSE)</f>
        <v>Työtuoli</v>
      </c>
    </row>
    <row r="3101" spans="1:8" x14ac:dyDescent="0.35">
      <c r="A3101" t="s">
        <v>39</v>
      </c>
      <c r="B3101">
        <v>2015</v>
      </c>
      <c r="C3101">
        <v>10</v>
      </c>
      <c r="D3101">
        <v>16650</v>
      </c>
      <c r="E3101">
        <v>47</v>
      </c>
      <c r="F3101">
        <v>7323.26</v>
      </c>
      <c r="G3101">
        <v>5717.45</v>
      </c>
      <c r="H3101" t="str">
        <f>VLOOKUP(myynnit[[#This Row],[TuoteID]],ohjaus!$A$4:$B$20,2,FALSE)</f>
        <v>Rahi</v>
      </c>
    </row>
    <row r="3102" spans="1:8" x14ac:dyDescent="0.35">
      <c r="A3102" t="s">
        <v>39</v>
      </c>
      <c r="B3102">
        <v>2015</v>
      </c>
      <c r="C3102">
        <v>10</v>
      </c>
      <c r="D3102">
        <v>17892</v>
      </c>
      <c r="E3102">
        <v>89</v>
      </c>
      <c r="F3102">
        <v>11440.17</v>
      </c>
      <c r="G3102">
        <v>3520.25</v>
      </c>
      <c r="H3102" t="str">
        <f>VLOOKUP(myynnit[[#This Row],[TuoteID]],ohjaus!$A$4:$B$20,2,FALSE)</f>
        <v>Lepotuoli</v>
      </c>
    </row>
    <row r="3103" spans="1:8" x14ac:dyDescent="0.35">
      <c r="A3103" t="s">
        <v>39</v>
      </c>
      <c r="B3103">
        <v>2015</v>
      </c>
      <c r="C3103">
        <v>10</v>
      </c>
      <c r="D3103">
        <v>18342</v>
      </c>
      <c r="E3103">
        <v>151</v>
      </c>
      <c r="F3103">
        <v>132402.76999999999</v>
      </c>
      <c r="G3103">
        <v>40860.22</v>
      </c>
      <c r="H3103" t="str">
        <f>VLOOKUP(myynnit[[#This Row],[TuoteID]],ohjaus!$A$4:$B$20,2,FALSE)</f>
        <v>Työtuoli</v>
      </c>
    </row>
    <row r="3104" spans="1:8" x14ac:dyDescent="0.35">
      <c r="A3104" t="s">
        <v>39</v>
      </c>
      <c r="B3104">
        <v>2015</v>
      </c>
      <c r="C3104">
        <v>10</v>
      </c>
      <c r="D3104">
        <v>20177</v>
      </c>
      <c r="E3104">
        <v>35</v>
      </c>
      <c r="F3104">
        <v>4175.79</v>
      </c>
      <c r="G3104">
        <v>1998.31</v>
      </c>
      <c r="H3104" t="str">
        <f>VLOOKUP(myynnit[[#This Row],[TuoteID]],ohjaus!$A$4:$B$20,2,FALSE)</f>
        <v>Säkkituoli</v>
      </c>
    </row>
    <row r="3105" spans="1:8" x14ac:dyDescent="0.35">
      <c r="A3105" t="s">
        <v>39</v>
      </c>
      <c r="B3105">
        <v>2015</v>
      </c>
      <c r="C3105">
        <v>10</v>
      </c>
      <c r="D3105">
        <v>21179</v>
      </c>
      <c r="E3105">
        <v>59</v>
      </c>
      <c r="F3105">
        <v>9352.91</v>
      </c>
      <c r="G3105">
        <v>7078.8</v>
      </c>
      <c r="H3105" t="str">
        <f>VLOOKUP(myynnit[[#This Row],[TuoteID]],ohjaus!$A$4:$B$20,2,FALSE)</f>
        <v>Rahi</v>
      </c>
    </row>
    <row r="3106" spans="1:8" x14ac:dyDescent="0.35">
      <c r="A3106" t="s">
        <v>39</v>
      </c>
      <c r="B3106">
        <v>2015</v>
      </c>
      <c r="C3106">
        <v>10</v>
      </c>
      <c r="D3106">
        <v>21260</v>
      </c>
      <c r="E3106">
        <v>61</v>
      </c>
      <c r="F3106">
        <v>11762.23</v>
      </c>
      <c r="G3106">
        <v>3311.21</v>
      </c>
      <c r="H3106" t="str">
        <f>VLOOKUP(myynnit[[#This Row],[TuoteID]],ohjaus!$A$4:$B$20,2,FALSE)</f>
        <v>Lepotuoli</v>
      </c>
    </row>
    <row r="3107" spans="1:8" x14ac:dyDescent="0.35">
      <c r="A3107" t="s">
        <v>39</v>
      </c>
      <c r="B3107">
        <v>2015</v>
      </c>
      <c r="C3107">
        <v>10</v>
      </c>
      <c r="D3107">
        <v>22317</v>
      </c>
      <c r="E3107">
        <v>44</v>
      </c>
      <c r="F3107">
        <v>4391.53</v>
      </c>
      <c r="G3107">
        <v>2032.3</v>
      </c>
      <c r="H3107" t="str">
        <f>VLOOKUP(myynnit[[#This Row],[TuoteID]],ohjaus!$A$4:$B$20,2,FALSE)</f>
        <v>Säkkituoli</v>
      </c>
    </row>
    <row r="3108" spans="1:8" x14ac:dyDescent="0.35">
      <c r="A3108" t="s">
        <v>39</v>
      </c>
      <c r="B3108">
        <v>2015</v>
      </c>
      <c r="C3108">
        <v>10</v>
      </c>
      <c r="D3108">
        <v>22940</v>
      </c>
      <c r="E3108">
        <v>463</v>
      </c>
      <c r="F3108">
        <v>65921.600000000006</v>
      </c>
      <c r="G3108">
        <v>18974.310000000001</v>
      </c>
      <c r="H3108" t="str">
        <f>VLOOKUP(myynnit[[#This Row],[TuoteID]],ohjaus!$A$4:$B$20,2,FALSE)</f>
        <v>Pinnatuoli</v>
      </c>
    </row>
    <row r="3109" spans="1:8" x14ac:dyDescent="0.35">
      <c r="A3109" t="s">
        <v>39</v>
      </c>
      <c r="B3109">
        <v>2015</v>
      </c>
      <c r="C3109">
        <v>10</v>
      </c>
      <c r="D3109">
        <v>23178</v>
      </c>
      <c r="E3109">
        <v>190</v>
      </c>
      <c r="F3109">
        <v>32336.45</v>
      </c>
      <c r="G3109">
        <v>8218.75</v>
      </c>
      <c r="H3109" t="str">
        <f>VLOOKUP(myynnit[[#This Row],[TuoteID]],ohjaus!$A$4:$B$20,2,FALSE)</f>
        <v>Pinnatuoli</v>
      </c>
    </row>
    <row r="3110" spans="1:8" x14ac:dyDescent="0.35">
      <c r="A3110" t="s">
        <v>39</v>
      </c>
      <c r="B3110">
        <v>2015</v>
      </c>
      <c r="C3110">
        <v>10</v>
      </c>
      <c r="D3110">
        <v>23600</v>
      </c>
      <c r="E3110">
        <v>524</v>
      </c>
      <c r="F3110">
        <v>57318.96</v>
      </c>
      <c r="G3110">
        <v>18516.11</v>
      </c>
      <c r="H3110" t="str">
        <f>VLOOKUP(myynnit[[#This Row],[TuoteID]],ohjaus!$A$4:$B$20,2,FALSE)</f>
        <v>Pinnatuoli</v>
      </c>
    </row>
    <row r="3111" spans="1:8" x14ac:dyDescent="0.35">
      <c r="A3111" t="s">
        <v>39</v>
      </c>
      <c r="B3111">
        <v>2015</v>
      </c>
      <c r="C3111">
        <v>10</v>
      </c>
      <c r="D3111">
        <v>23756</v>
      </c>
      <c r="E3111">
        <v>69</v>
      </c>
      <c r="F3111">
        <v>13320.59</v>
      </c>
      <c r="G3111">
        <v>7484.34</v>
      </c>
      <c r="H3111" t="str">
        <f>VLOOKUP(myynnit[[#This Row],[TuoteID]],ohjaus!$A$4:$B$20,2,FALSE)</f>
        <v>Pianotuoli</v>
      </c>
    </row>
    <row r="3112" spans="1:8" x14ac:dyDescent="0.35">
      <c r="A3112" t="s">
        <v>39</v>
      </c>
      <c r="B3112">
        <v>2015</v>
      </c>
      <c r="C3112">
        <v>10</v>
      </c>
      <c r="D3112">
        <v>24326</v>
      </c>
      <c r="E3112">
        <v>124</v>
      </c>
      <c r="F3112">
        <v>16224.36</v>
      </c>
      <c r="G3112">
        <v>4829.04</v>
      </c>
      <c r="H3112" t="str">
        <f>VLOOKUP(myynnit[[#This Row],[TuoteID]],ohjaus!$A$4:$B$20,2,FALSE)</f>
        <v>Lepotuoli</v>
      </c>
    </row>
    <row r="3113" spans="1:8" x14ac:dyDescent="0.35">
      <c r="A3113" t="s">
        <v>38</v>
      </c>
      <c r="B3113">
        <v>2015</v>
      </c>
      <c r="C3113">
        <v>10</v>
      </c>
      <c r="D3113">
        <v>12184</v>
      </c>
      <c r="E3113">
        <v>91</v>
      </c>
      <c r="F3113">
        <v>13601.83</v>
      </c>
      <c r="G3113">
        <v>6985.66</v>
      </c>
      <c r="H3113" t="str">
        <f>VLOOKUP(myynnit[[#This Row],[TuoteID]],ohjaus!$A$4:$B$20,2,FALSE)</f>
        <v>Rahi</v>
      </c>
    </row>
    <row r="3114" spans="1:8" x14ac:dyDescent="0.35">
      <c r="A3114" t="s">
        <v>38</v>
      </c>
      <c r="B3114">
        <v>2015</v>
      </c>
      <c r="C3114">
        <v>10</v>
      </c>
      <c r="D3114">
        <v>12622</v>
      </c>
      <c r="E3114">
        <v>53</v>
      </c>
      <c r="F3114">
        <v>13460.05</v>
      </c>
      <c r="G3114">
        <v>7110.08</v>
      </c>
      <c r="H3114" t="str">
        <f>VLOOKUP(myynnit[[#This Row],[TuoteID]],ohjaus!$A$4:$B$20,2,FALSE)</f>
        <v>Pianotuoli</v>
      </c>
    </row>
    <row r="3115" spans="1:8" x14ac:dyDescent="0.35">
      <c r="A3115" t="s">
        <v>38</v>
      </c>
      <c r="B3115">
        <v>2015</v>
      </c>
      <c r="C3115">
        <v>10</v>
      </c>
      <c r="D3115">
        <v>13527</v>
      </c>
      <c r="E3115">
        <v>315</v>
      </c>
      <c r="F3115">
        <v>48618.99</v>
      </c>
      <c r="G3115">
        <v>10574.23</v>
      </c>
      <c r="H3115" t="str">
        <f>VLOOKUP(myynnit[[#This Row],[TuoteID]],ohjaus!$A$4:$B$20,2,FALSE)</f>
        <v>Pinnatuoli</v>
      </c>
    </row>
    <row r="3116" spans="1:8" x14ac:dyDescent="0.35">
      <c r="A3116" t="s">
        <v>38</v>
      </c>
      <c r="B3116">
        <v>2015</v>
      </c>
      <c r="C3116">
        <v>10</v>
      </c>
      <c r="D3116">
        <v>13618</v>
      </c>
      <c r="E3116">
        <v>16</v>
      </c>
      <c r="F3116">
        <v>6082.11</v>
      </c>
      <c r="G3116">
        <v>2828.12</v>
      </c>
      <c r="H3116" t="str">
        <f>VLOOKUP(myynnit[[#This Row],[TuoteID]],ohjaus!$A$4:$B$20,2,FALSE)</f>
        <v>Pianotuoli</v>
      </c>
    </row>
    <row r="3117" spans="1:8" x14ac:dyDescent="0.35">
      <c r="A3117" t="s">
        <v>38</v>
      </c>
      <c r="B3117">
        <v>2015</v>
      </c>
      <c r="C3117">
        <v>10</v>
      </c>
      <c r="D3117">
        <v>16024</v>
      </c>
      <c r="E3117">
        <v>109</v>
      </c>
      <c r="F3117">
        <v>49951.32</v>
      </c>
      <c r="G3117">
        <v>11903.26</v>
      </c>
      <c r="H3117" t="str">
        <f>VLOOKUP(myynnit[[#This Row],[TuoteID]],ohjaus!$A$4:$B$20,2,FALSE)</f>
        <v>Työtuoli</v>
      </c>
    </row>
    <row r="3118" spans="1:8" x14ac:dyDescent="0.35">
      <c r="A3118" t="s">
        <v>38</v>
      </c>
      <c r="B3118">
        <v>2015</v>
      </c>
      <c r="C3118">
        <v>10</v>
      </c>
      <c r="D3118">
        <v>16650</v>
      </c>
      <c r="E3118">
        <v>62</v>
      </c>
      <c r="F3118">
        <v>11509.1</v>
      </c>
      <c r="G3118">
        <v>6870.01</v>
      </c>
      <c r="H3118" t="str">
        <f>VLOOKUP(myynnit[[#This Row],[TuoteID]],ohjaus!$A$4:$B$20,2,FALSE)</f>
        <v>Rahi</v>
      </c>
    </row>
    <row r="3119" spans="1:8" x14ac:dyDescent="0.35">
      <c r="A3119" t="s">
        <v>38</v>
      </c>
      <c r="B3119">
        <v>2015</v>
      </c>
      <c r="C3119">
        <v>10</v>
      </c>
      <c r="D3119">
        <v>17892</v>
      </c>
      <c r="E3119">
        <v>87</v>
      </c>
      <c r="F3119">
        <v>11084.61</v>
      </c>
      <c r="G3119">
        <v>2663.39</v>
      </c>
      <c r="H3119" t="str">
        <f>VLOOKUP(myynnit[[#This Row],[TuoteID]],ohjaus!$A$4:$B$20,2,FALSE)</f>
        <v>Lepotuoli</v>
      </c>
    </row>
    <row r="3120" spans="1:8" x14ac:dyDescent="0.35">
      <c r="A3120" t="s">
        <v>38</v>
      </c>
      <c r="B3120">
        <v>2015</v>
      </c>
      <c r="C3120">
        <v>10</v>
      </c>
      <c r="D3120">
        <v>18342</v>
      </c>
      <c r="E3120">
        <v>88</v>
      </c>
      <c r="F3120">
        <v>72948.009999999995</v>
      </c>
      <c r="G3120">
        <v>18207.61</v>
      </c>
      <c r="H3120" t="str">
        <f>VLOOKUP(myynnit[[#This Row],[TuoteID]],ohjaus!$A$4:$B$20,2,FALSE)</f>
        <v>Työtuoli</v>
      </c>
    </row>
    <row r="3121" spans="1:8" x14ac:dyDescent="0.35">
      <c r="A3121" t="s">
        <v>38</v>
      </c>
      <c r="B3121">
        <v>2015</v>
      </c>
      <c r="C3121">
        <v>10</v>
      </c>
      <c r="D3121">
        <v>20177</v>
      </c>
      <c r="E3121">
        <v>79</v>
      </c>
      <c r="F3121">
        <v>6891.42</v>
      </c>
      <c r="G3121">
        <v>2633.78</v>
      </c>
      <c r="H3121" t="str">
        <f>VLOOKUP(myynnit[[#This Row],[TuoteID]],ohjaus!$A$4:$B$20,2,FALSE)</f>
        <v>Säkkituoli</v>
      </c>
    </row>
    <row r="3122" spans="1:8" x14ac:dyDescent="0.35">
      <c r="A3122" t="s">
        <v>38</v>
      </c>
      <c r="B3122">
        <v>2015</v>
      </c>
      <c r="C3122">
        <v>10</v>
      </c>
      <c r="D3122">
        <v>21179</v>
      </c>
      <c r="E3122">
        <v>37</v>
      </c>
      <c r="F3122">
        <v>4786.71</v>
      </c>
      <c r="G3122">
        <v>3128.43</v>
      </c>
      <c r="H3122" t="str">
        <f>VLOOKUP(myynnit[[#This Row],[TuoteID]],ohjaus!$A$4:$B$20,2,FALSE)</f>
        <v>Rahi</v>
      </c>
    </row>
    <row r="3123" spans="1:8" x14ac:dyDescent="0.35">
      <c r="A3123" t="s">
        <v>38</v>
      </c>
      <c r="B3123">
        <v>2015</v>
      </c>
      <c r="C3123">
        <v>10</v>
      </c>
      <c r="D3123">
        <v>21260</v>
      </c>
      <c r="E3123">
        <v>69</v>
      </c>
      <c r="F3123">
        <v>12873.03</v>
      </c>
      <c r="G3123">
        <v>3278.47</v>
      </c>
      <c r="H3123" t="str">
        <f>VLOOKUP(myynnit[[#This Row],[TuoteID]],ohjaus!$A$4:$B$20,2,FALSE)</f>
        <v>Lepotuoli</v>
      </c>
    </row>
    <row r="3124" spans="1:8" x14ac:dyDescent="0.35">
      <c r="A3124" t="s">
        <v>38</v>
      </c>
      <c r="B3124">
        <v>2015</v>
      </c>
      <c r="C3124">
        <v>10</v>
      </c>
      <c r="D3124">
        <v>22317</v>
      </c>
      <c r="E3124">
        <v>73</v>
      </c>
      <c r="F3124">
        <v>6143.35</v>
      </c>
      <c r="G3124">
        <v>2186.4499999999998</v>
      </c>
      <c r="H3124" t="str">
        <f>VLOOKUP(myynnit[[#This Row],[TuoteID]],ohjaus!$A$4:$B$20,2,FALSE)</f>
        <v>Säkkituoli</v>
      </c>
    </row>
    <row r="3125" spans="1:8" x14ac:dyDescent="0.35">
      <c r="A3125" t="s">
        <v>38</v>
      </c>
      <c r="B3125">
        <v>2015</v>
      </c>
      <c r="C3125">
        <v>10</v>
      </c>
      <c r="D3125">
        <v>22940</v>
      </c>
      <c r="E3125">
        <v>423</v>
      </c>
      <c r="F3125">
        <v>50943.360000000001</v>
      </c>
      <c r="G3125">
        <v>9936.32</v>
      </c>
      <c r="H3125" t="str">
        <f>VLOOKUP(myynnit[[#This Row],[TuoteID]],ohjaus!$A$4:$B$20,2,FALSE)</f>
        <v>Pinnatuoli</v>
      </c>
    </row>
    <row r="3126" spans="1:8" x14ac:dyDescent="0.35">
      <c r="A3126" t="s">
        <v>38</v>
      </c>
      <c r="B3126">
        <v>2015</v>
      </c>
      <c r="C3126">
        <v>10</v>
      </c>
      <c r="D3126">
        <v>23178</v>
      </c>
      <c r="E3126">
        <v>257</v>
      </c>
      <c r="F3126">
        <v>45872.32</v>
      </c>
      <c r="G3126">
        <v>10688.6</v>
      </c>
      <c r="H3126" t="str">
        <f>VLOOKUP(myynnit[[#This Row],[TuoteID]],ohjaus!$A$4:$B$20,2,FALSE)</f>
        <v>Pinnatuoli</v>
      </c>
    </row>
    <row r="3127" spans="1:8" x14ac:dyDescent="0.35">
      <c r="A3127" t="s">
        <v>38</v>
      </c>
      <c r="B3127">
        <v>2015</v>
      </c>
      <c r="C3127">
        <v>10</v>
      </c>
      <c r="D3127">
        <v>23600</v>
      </c>
      <c r="E3127">
        <v>1369</v>
      </c>
      <c r="F3127">
        <v>148367.09</v>
      </c>
      <c r="G3127">
        <v>40495.339999999997</v>
      </c>
      <c r="H3127" t="str">
        <f>VLOOKUP(myynnit[[#This Row],[TuoteID]],ohjaus!$A$4:$B$20,2,FALSE)</f>
        <v>Pinnatuoli</v>
      </c>
    </row>
    <row r="3128" spans="1:8" x14ac:dyDescent="0.35">
      <c r="A3128" t="s">
        <v>38</v>
      </c>
      <c r="B3128">
        <v>2015</v>
      </c>
      <c r="C3128">
        <v>10</v>
      </c>
      <c r="D3128">
        <v>23756</v>
      </c>
      <c r="E3128">
        <v>50</v>
      </c>
      <c r="F3128">
        <v>10453.6</v>
      </c>
      <c r="G3128">
        <v>4853.88</v>
      </c>
      <c r="H3128" t="str">
        <f>VLOOKUP(myynnit[[#This Row],[TuoteID]],ohjaus!$A$4:$B$20,2,FALSE)</f>
        <v>Pianotuoli</v>
      </c>
    </row>
    <row r="3129" spans="1:8" x14ac:dyDescent="0.35">
      <c r="A3129" t="s">
        <v>38</v>
      </c>
      <c r="B3129">
        <v>2015</v>
      </c>
      <c r="C3129">
        <v>10</v>
      </c>
      <c r="D3129">
        <v>24326</v>
      </c>
      <c r="E3129">
        <v>80</v>
      </c>
      <c r="F3129">
        <v>10695.43</v>
      </c>
      <c r="G3129">
        <v>2506.48</v>
      </c>
      <c r="H3129" t="str">
        <f>VLOOKUP(myynnit[[#This Row],[TuoteID]],ohjaus!$A$4:$B$20,2,FALSE)</f>
        <v>Lepotuoli</v>
      </c>
    </row>
    <row r="3130" spans="1:8" x14ac:dyDescent="0.35">
      <c r="A3130" t="s">
        <v>37</v>
      </c>
      <c r="B3130">
        <v>2015</v>
      </c>
      <c r="C3130">
        <v>11</v>
      </c>
      <c r="D3130">
        <v>12184</v>
      </c>
      <c r="E3130">
        <v>40</v>
      </c>
      <c r="F3130">
        <v>5640.04</v>
      </c>
      <c r="G3130">
        <v>2427.85</v>
      </c>
      <c r="H3130" t="str">
        <f>VLOOKUP(myynnit[[#This Row],[TuoteID]],ohjaus!$A$4:$B$20,2,FALSE)</f>
        <v>Rahi</v>
      </c>
    </row>
    <row r="3131" spans="1:8" x14ac:dyDescent="0.35">
      <c r="A3131" t="s">
        <v>37</v>
      </c>
      <c r="B3131">
        <v>2015</v>
      </c>
      <c r="C3131">
        <v>11</v>
      </c>
      <c r="D3131">
        <v>12622</v>
      </c>
      <c r="E3131">
        <v>37</v>
      </c>
      <c r="F3131">
        <v>9970.34</v>
      </c>
      <c r="G3131">
        <v>4615.7</v>
      </c>
      <c r="H3131" t="str">
        <f>VLOOKUP(myynnit[[#This Row],[TuoteID]],ohjaus!$A$4:$B$20,2,FALSE)</f>
        <v>Pianotuoli</v>
      </c>
    </row>
    <row r="3132" spans="1:8" x14ac:dyDescent="0.35">
      <c r="A3132" t="s">
        <v>37</v>
      </c>
      <c r="B3132">
        <v>2015</v>
      </c>
      <c r="C3132">
        <v>11</v>
      </c>
      <c r="D3132">
        <v>13527</v>
      </c>
      <c r="E3132">
        <v>396</v>
      </c>
      <c r="F3132">
        <v>67965.539999999994</v>
      </c>
      <c r="G3132">
        <v>12177.65</v>
      </c>
      <c r="H3132" t="str">
        <f>VLOOKUP(myynnit[[#This Row],[TuoteID]],ohjaus!$A$4:$B$20,2,FALSE)</f>
        <v>Pinnatuoli</v>
      </c>
    </row>
    <row r="3133" spans="1:8" x14ac:dyDescent="0.35">
      <c r="A3133" t="s">
        <v>37</v>
      </c>
      <c r="B3133">
        <v>2015</v>
      </c>
      <c r="C3133">
        <v>11</v>
      </c>
      <c r="D3133">
        <v>13618</v>
      </c>
      <c r="E3133">
        <v>14</v>
      </c>
      <c r="F3133">
        <v>5099.6899999999996</v>
      </c>
      <c r="G3133">
        <v>2543.38</v>
      </c>
      <c r="H3133" t="str">
        <f>VLOOKUP(myynnit[[#This Row],[TuoteID]],ohjaus!$A$4:$B$20,2,FALSE)</f>
        <v>Pianotuoli</v>
      </c>
    </row>
    <row r="3134" spans="1:8" x14ac:dyDescent="0.35">
      <c r="A3134" t="s">
        <v>37</v>
      </c>
      <c r="B3134">
        <v>2015</v>
      </c>
      <c r="C3134">
        <v>11</v>
      </c>
      <c r="D3134">
        <v>16024</v>
      </c>
      <c r="E3134">
        <v>256</v>
      </c>
      <c r="F3134">
        <v>113624.41</v>
      </c>
      <c r="G3134">
        <v>30720.34</v>
      </c>
      <c r="H3134" t="str">
        <f>VLOOKUP(myynnit[[#This Row],[TuoteID]],ohjaus!$A$4:$B$20,2,FALSE)</f>
        <v>Työtuoli</v>
      </c>
    </row>
    <row r="3135" spans="1:8" x14ac:dyDescent="0.35">
      <c r="A3135" t="s">
        <v>37</v>
      </c>
      <c r="B3135">
        <v>2015</v>
      </c>
      <c r="C3135">
        <v>11</v>
      </c>
      <c r="D3135">
        <v>16650</v>
      </c>
      <c r="E3135">
        <v>68</v>
      </c>
      <c r="F3135">
        <v>10953.15</v>
      </c>
      <c r="G3135">
        <v>5030.62</v>
      </c>
      <c r="H3135" t="str">
        <f>VLOOKUP(myynnit[[#This Row],[TuoteID]],ohjaus!$A$4:$B$20,2,FALSE)</f>
        <v>Rahi</v>
      </c>
    </row>
    <row r="3136" spans="1:8" x14ac:dyDescent="0.35">
      <c r="A3136" t="s">
        <v>37</v>
      </c>
      <c r="B3136">
        <v>2015</v>
      </c>
      <c r="C3136">
        <v>11</v>
      </c>
      <c r="D3136">
        <v>17892</v>
      </c>
      <c r="E3136">
        <v>82</v>
      </c>
      <c r="F3136">
        <v>11700.51</v>
      </c>
      <c r="G3136">
        <v>3266.93</v>
      </c>
      <c r="H3136" t="str">
        <f>VLOOKUP(myynnit[[#This Row],[TuoteID]],ohjaus!$A$4:$B$20,2,FALSE)</f>
        <v>Lepotuoli</v>
      </c>
    </row>
    <row r="3137" spans="1:8" x14ac:dyDescent="0.35">
      <c r="A3137" t="s">
        <v>37</v>
      </c>
      <c r="B3137">
        <v>2015</v>
      </c>
      <c r="C3137">
        <v>11</v>
      </c>
      <c r="D3137">
        <v>18342</v>
      </c>
      <c r="E3137">
        <v>128</v>
      </c>
      <c r="F3137">
        <v>95599.360000000001</v>
      </c>
      <c r="G3137">
        <v>24670.39</v>
      </c>
      <c r="H3137" t="str">
        <f>VLOOKUP(myynnit[[#This Row],[TuoteID]],ohjaus!$A$4:$B$20,2,FALSE)</f>
        <v>Työtuoli</v>
      </c>
    </row>
    <row r="3138" spans="1:8" x14ac:dyDescent="0.35">
      <c r="A3138" t="s">
        <v>37</v>
      </c>
      <c r="B3138">
        <v>2015</v>
      </c>
      <c r="C3138">
        <v>11</v>
      </c>
      <c r="D3138">
        <v>20177</v>
      </c>
      <c r="E3138">
        <v>128</v>
      </c>
      <c r="F3138">
        <v>13269.57</v>
      </c>
      <c r="G3138">
        <v>5353.56</v>
      </c>
      <c r="H3138" t="str">
        <f>VLOOKUP(myynnit[[#This Row],[TuoteID]],ohjaus!$A$4:$B$20,2,FALSE)</f>
        <v>Säkkituoli</v>
      </c>
    </row>
    <row r="3139" spans="1:8" x14ac:dyDescent="0.35">
      <c r="A3139" t="s">
        <v>37</v>
      </c>
      <c r="B3139">
        <v>2015</v>
      </c>
      <c r="C3139">
        <v>11</v>
      </c>
      <c r="D3139">
        <v>21179</v>
      </c>
      <c r="E3139">
        <v>66</v>
      </c>
      <c r="F3139">
        <v>9397.14</v>
      </c>
      <c r="G3139">
        <v>4791.9399999999996</v>
      </c>
      <c r="H3139" t="str">
        <f>VLOOKUP(myynnit[[#This Row],[TuoteID]],ohjaus!$A$4:$B$20,2,FALSE)</f>
        <v>Rahi</v>
      </c>
    </row>
    <row r="3140" spans="1:8" x14ac:dyDescent="0.35">
      <c r="A3140" t="s">
        <v>37</v>
      </c>
      <c r="B3140">
        <v>2015</v>
      </c>
      <c r="C3140">
        <v>11</v>
      </c>
      <c r="D3140">
        <v>21260</v>
      </c>
      <c r="E3140">
        <v>105</v>
      </c>
      <c r="F3140">
        <v>18245.96</v>
      </c>
      <c r="G3140">
        <v>5011.3</v>
      </c>
      <c r="H3140" t="str">
        <f>VLOOKUP(myynnit[[#This Row],[TuoteID]],ohjaus!$A$4:$B$20,2,FALSE)</f>
        <v>Lepotuoli</v>
      </c>
    </row>
    <row r="3141" spans="1:8" x14ac:dyDescent="0.35">
      <c r="A3141" t="s">
        <v>37</v>
      </c>
      <c r="B3141">
        <v>2015</v>
      </c>
      <c r="C3141">
        <v>11</v>
      </c>
      <c r="D3141">
        <v>22317</v>
      </c>
      <c r="E3141">
        <v>55</v>
      </c>
      <c r="F3141">
        <v>4329.3900000000003</v>
      </c>
      <c r="G3141">
        <v>1626.27</v>
      </c>
      <c r="H3141" t="str">
        <f>VLOOKUP(myynnit[[#This Row],[TuoteID]],ohjaus!$A$4:$B$20,2,FALSE)</f>
        <v>Säkkituoli</v>
      </c>
    </row>
    <row r="3142" spans="1:8" x14ac:dyDescent="0.35">
      <c r="A3142" t="s">
        <v>37</v>
      </c>
      <c r="B3142">
        <v>2015</v>
      </c>
      <c r="C3142">
        <v>11</v>
      </c>
      <c r="D3142">
        <v>22940</v>
      </c>
      <c r="E3142">
        <v>724</v>
      </c>
      <c r="F3142">
        <v>90398.23</v>
      </c>
      <c r="G3142">
        <v>15598.61</v>
      </c>
      <c r="H3142" t="str">
        <f>VLOOKUP(myynnit[[#This Row],[TuoteID]],ohjaus!$A$4:$B$20,2,FALSE)</f>
        <v>Pinnatuoli</v>
      </c>
    </row>
    <row r="3143" spans="1:8" x14ac:dyDescent="0.35">
      <c r="A3143" t="s">
        <v>37</v>
      </c>
      <c r="B3143">
        <v>2015</v>
      </c>
      <c r="C3143">
        <v>11</v>
      </c>
      <c r="D3143">
        <v>23178</v>
      </c>
      <c r="E3143">
        <v>438</v>
      </c>
      <c r="F3143">
        <v>78969.2</v>
      </c>
      <c r="G3143">
        <v>14974.22</v>
      </c>
      <c r="H3143" t="str">
        <f>VLOOKUP(myynnit[[#This Row],[TuoteID]],ohjaus!$A$4:$B$20,2,FALSE)</f>
        <v>Pinnatuoli</v>
      </c>
    </row>
    <row r="3144" spans="1:8" x14ac:dyDescent="0.35">
      <c r="A3144" t="s">
        <v>37</v>
      </c>
      <c r="B3144">
        <v>2015</v>
      </c>
      <c r="C3144">
        <v>11</v>
      </c>
      <c r="D3144">
        <v>23600</v>
      </c>
      <c r="E3144">
        <v>1021</v>
      </c>
      <c r="F3144">
        <v>116933.05</v>
      </c>
      <c r="G3144">
        <v>28232.21</v>
      </c>
      <c r="H3144" t="str">
        <f>VLOOKUP(myynnit[[#This Row],[TuoteID]],ohjaus!$A$4:$B$20,2,FALSE)</f>
        <v>Pinnatuoli</v>
      </c>
    </row>
    <row r="3145" spans="1:8" x14ac:dyDescent="0.35">
      <c r="A3145" t="s">
        <v>37</v>
      </c>
      <c r="B3145">
        <v>2015</v>
      </c>
      <c r="C3145">
        <v>11</v>
      </c>
      <c r="D3145">
        <v>23756</v>
      </c>
      <c r="E3145">
        <v>100</v>
      </c>
      <c r="F3145">
        <v>14795.57</v>
      </c>
      <c r="G3145">
        <v>7472.87</v>
      </c>
      <c r="H3145" t="str">
        <f>VLOOKUP(myynnit[[#This Row],[TuoteID]],ohjaus!$A$4:$B$20,2,FALSE)</f>
        <v>Pianotuoli</v>
      </c>
    </row>
    <row r="3146" spans="1:8" x14ac:dyDescent="0.35">
      <c r="A3146" t="s">
        <v>37</v>
      </c>
      <c r="B3146">
        <v>2015</v>
      </c>
      <c r="C3146">
        <v>11</v>
      </c>
      <c r="D3146">
        <v>24326</v>
      </c>
      <c r="E3146">
        <v>117</v>
      </c>
      <c r="F3146">
        <v>15815.43</v>
      </c>
      <c r="G3146">
        <v>4764.12</v>
      </c>
      <c r="H3146" t="str">
        <f>VLOOKUP(myynnit[[#This Row],[TuoteID]],ohjaus!$A$4:$B$20,2,FALSE)</f>
        <v>Lepotuoli</v>
      </c>
    </row>
    <row r="3147" spans="1:8" x14ac:dyDescent="0.35">
      <c r="A3147" t="s">
        <v>40</v>
      </c>
      <c r="B3147">
        <v>2015</v>
      </c>
      <c r="C3147">
        <v>11</v>
      </c>
      <c r="D3147">
        <v>12184</v>
      </c>
      <c r="E3147">
        <v>33</v>
      </c>
      <c r="F3147">
        <v>4219.6000000000004</v>
      </c>
      <c r="G3147">
        <v>2136.0700000000002</v>
      </c>
      <c r="H3147" t="str">
        <f>VLOOKUP(myynnit[[#This Row],[TuoteID]],ohjaus!$A$4:$B$20,2,FALSE)</f>
        <v>Rahi</v>
      </c>
    </row>
    <row r="3148" spans="1:8" x14ac:dyDescent="0.35">
      <c r="A3148" t="s">
        <v>40</v>
      </c>
      <c r="B3148">
        <v>2015</v>
      </c>
      <c r="C3148">
        <v>11</v>
      </c>
      <c r="D3148">
        <v>12622</v>
      </c>
      <c r="E3148">
        <v>20</v>
      </c>
      <c r="F3148">
        <v>5604.7</v>
      </c>
      <c r="G3148">
        <v>2273.85</v>
      </c>
      <c r="H3148" t="str">
        <f>VLOOKUP(myynnit[[#This Row],[TuoteID]],ohjaus!$A$4:$B$20,2,FALSE)</f>
        <v>Pianotuoli</v>
      </c>
    </row>
    <row r="3149" spans="1:8" x14ac:dyDescent="0.35">
      <c r="A3149" t="s">
        <v>40</v>
      </c>
      <c r="B3149">
        <v>2015</v>
      </c>
      <c r="C3149">
        <v>11</v>
      </c>
      <c r="D3149">
        <v>13527</v>
      </c>
      <c r="E3149">
        <v>172</v>
      </c>
      <c r="F3149">
        <v>28428.32</v>
      </c>
      <c r="G3149">
        <v>5454.51</v>
      </c>
      <c r="H3149" t="str">
        <f>VLOOKUP(myynnit[[#This Row],[TuoteID]],ohjaus!$A$4:$B$20,2,FALSE)</f>
        <v>Pinnatuoli</v>
      </c>
    </row>
    <row r="3150" spans="1:8" x14ac:dyDescent="0.35">
      <c r="A3150" t="s">
        <v>40</v>
      </c>
      <c r="B3150">
        <v>2015</v>
      </c>
      <c r="C3150">
        <v>11</v>
      </c>
      <c r="D3150">
        <v>13618</v>
      </c>
      <c r="E3150">
        <v>4</v>
      </c>
      <c r="F3150">
        <v>1675.28</v>
      </c>
      <c r="G3150">
        <v>778.79</v>
      </c>
      <c r="H3150" t="str">
        <f>VLOOKUP(myynnit[[#This Row],[TuoteID]],ohjaus!$A$4:$B$20,2,FALSE)</f>
        <v>Pianotuoli</v>
      </c>
    </row>
    <row r="3151" spans="1:8" x14ac:dyDescent="0.35">
      <c r="A3151" t="s">
        <v>40</v>
      </c>
      <c r="B3151">
        <v>2015</v>
      </c>
      <c r="C3151">
        <v>11</v>
      </c>
      <c r="D3151">
        <v>16024</v>
      </c>
      <c r="E3151">
        <v>190</v>
      </c>
      <c r="F3151">
        <v>87116.62</v>
      </c>
      <c r="G3151">
        <v>25626.46</v>
      </c>
      <c r="H3151" t="str">
        <f>VLOOKUP(myynnit[[#This Row],[TuoteID]],ohjaus!$A$4:$B$20,2,FALSE)</f>
        <v>Työtuoli</v>
      </c>
    </row>
    <row r="3152" spans="1:8" x14ac:dyDescent="0.35">
      <c r="A3152" t="s">
        <v>40</v>
      </c>
      <c r="B3152">
        <v>2015</v>
      </c>
      <c r="C3152">
        <v>11</v>
      </c>
      <c r="D3152">
        <v>16650</v>
      </c>
      <c r="E3152">
        <v>35</v>
      </c>
      <c r="F3152">
        <v>4549.82</v>
      </c>
      <c r="G3152">
        <v>2680.61</v>
      </c>
      <c r="H3152" t="str">
        <f>VLOOKUP(myynnit[[#This Row],[TuoteID]],ohjaus!$A$4:$B$20,2,FALSE)</f>
        <v>Rahi</v>
      </c>
    </row>
    <row r="3153" spans="1:8" x14ac:dyDescent="0.35">
      <c r="A3153" t="s">
        <v>40</v>
      </c>
      <c r="B3153">
        <v>2015</v>
      </c>
      <c r="C3153">
        <v>11</v>
      </c>
      <c r="D3153">
        <v>17892</v>
      </c>
      <c r="E3153">
        <v>64</v>
      </c>
      <c r="F3153">
        <v>9483.1</v>
      </c>
      <c r="G3153">
        <v>2025.84</v>
      </c>
      <c r="H3153" t="str">
        <f>VLOOKUP(myynnit[[#This Row],[TuoteID]],ohjaus!$A$4:$B$20,2,FALSE)</f>
        <v>Lepotuoli</v>
      </c>
    </row>
    <row r="3154" spans="1:8" x14ac:dyDescent="0.35">
      <c r="A3154" t="s">
        <v>40</v>
      </c>
      <c r="B3154">
        <v>2015</v>
      </c>
      <c r="C3154">
        <v>11</v>
      </c>
      <c r="D3154">
        <v>18342</v>
      </c>
      <c r="E3154">
        <v>29</v>
      </c>
      <c r="F3154">
        <v>26307.71</v>
      </c>
      <c r="G3154">
        <v>7042.49</v>
      </c>
      <c r="H3154" t="str">
        <f>VLOOKUP(myynnit[[#This Row],[TuoteID]],ohjaus!$A$4:$B$20,2,FALSE)</f>
        <v>Työtuoli</v>
      </c>
    </row>
    <row r="3155" spans="1:8" x14ac:dyDescent="0.35">
      <c r="A3155" t="s">
        <v>40</v>
      </c>
      <c r="B3155">
        <v>2015</v>
      </c>
      <c r="C3155">
        <v>11</v>
      </c>
      <c r="D3155">
        <v>20177</v>
      </c>
      <c r="E3155">
        <v>17</v>
      </c>
      <c r="F3155">
        <v>1973.11</v>
      </c>
      <c r="G3155">
        <v>713.59</v>
      </c>
      <c r="H3155" t="str">
        <f>VLOOKUP(myynnit[[#This Row],[TuoteID]],ohjaus!$A$4:$B$20,2,FALSE)</f>
        <v>Säkkituoli</v>
      </c>
    </row>
    <row r="3156" spans="1:8" x14ac:dyDescent="0.35">
      <c r="A3156" t="s">
        <v>40</v>
      </c>
      <c r="B3156">
        <v>2015</v>
      </c>
      <c r="C3156">
        <v>11</v>
      </c>
      <c r="D3156">
        <v>21179</v>
      </c>
      <c r="E3156">
        <v>43</v>
      </c>
      <c r="F3156">
        <v>4421.91</v>
      </c>
      <c r="G3156">
        <v>2606.0700000000002</v>
      </c>
      <c r="H3156" t="str">
        <f>VLOOKUP(myynnit[[#This Row],[TuoteID]],ohjaus!$A$4:$B$20,2,FALSE)</f>
        <v>Rahi</v>
      </c>
    </row>
    <row r="3157" spans="1:8" x14ac:dyDescent="0.35">
      <c r="A3157" t="s">
        <v>40</v>
      </c>
      <c r="B3157">
        <v>2015</v>
      </c>
      <c r="C3157">
        <v>11</v>
      </c>
      <c r="D3157">
        <v>21260</v>
      </c>
      <c r="E3157">
        <v>23</v>
      </c>
      <c r="F3157">
        <v>4594.2700000000004</v>
      </c>
      <c r="G3157">
        <v>979.44</v>
      </c>
      <c r="H3157" t="str">
        <f>VLOOKUP(myynnit[[#This Row],[TuoteID]],ohjaus!$A$4:$B$20,2,FALSE)</f>
        <v>Lepotuoli</v>
      </c>
    </row>
    <row r="3158" spans="1:8" x14ac:dyDescent="0.35">
      <c r="A3158" t="s">
        <v>40</v>
      </c>
      <c r="B3158">
        <v>2015</v>
      </c>
      <c r="C3158">
        <v>11</v>
      </c>
      <c r="D3158">
        <v>22317</v>
      </c>
      <c r="E3158">
        <v>19</v>
      </c>
      <c r="F3158">
        <v>1441.86</v>
      </c>
      <c r="G3158">
        <v>759.94</v>
      </c>
      <c r="H3158" t="str">
        <f>VLOOKUP(myynnit[[#This Row],[TuoteID]],ohjaus!$A$4:$B$20,2,FALSE)</f>
        <v>Säkkituoli</v>
      </c>
    </row>
    <row r="3159" spans="1:8" x14ac:dyDescent="0.35">
      <c r="A3159" t="s">
        <v>40</v>
      </c>
      <c r="B3159">
        <v>2015</v>
      </c>
      <c r="C3159">
        <v>11</v>
      </c>
      <c r="D3159">
        <v>22940</v>
      </c>
      <c r="E3159">
        <v>166</v>
      </c>
      <c r="F3159">
        <v>22712.400000000001</v>
      </c>
      <c r="G3159">
        <v>6377.55</v>
      </c>
      <c r="H3159" t="str">
        <f>VLOOKUP(myynnit[[#This Row],[TuoteID]],ohjaus!$A$4:$B$20,2,FALSE)</f>
        <v>Pinnatuoli</v>
      </c>
    </row>
    <row r="3160" spans="1:8" x14ac:dyDescent="0.35">
      <c r="A3160" t="s">
        <v>40</v>
      </c>
      <c r="B3160">
        <v>2015</v>
      </c>
      <c r="C3160">
        <v>11</v>
      </c>
      <c r="D3160">
        <v>23178</v>
      </c>
      <c r="E3160">
        <v>296</v>
      </c>
      <c r="F3160">
        <v>54808.86</v>
      </c>
      <c r="G3160">
        <v>16146.56</v>
      </c>
      <c r="H3160" t="str">
        <f>VLOOKUP(myynnit[[#This Row],[TuoteID]],ohjaus!$A$4:$B$20,2,FALSE)</f>
        <v>Pinnatuoli</v>
      </c>
    </row>
    <row r="3161" spans="1:8" x14ac:dyDescent="0.35">
      <c r="A3161" t="s">
        <v>40</v>
      </c>
      <c r="B3161">
        <v>2015</v>
      </c>
      <c r="C3161">
        <v>11</v>
      </c>
      <c r="D3161">
        <v>23600</v>
      </c>
      <c r="E3161">
        <v>376</v>
      </c>
      <c r="F3161">
        <v>40658.36</v>
      </c>
      <c r="G3161">
        <v>10976.46</v>
      </c>
      <c r="H3161" t="str">
        <f>VLOOKUP(myynnit[[#This Row],[TuoteID]],ohjaus!$A$4:$B$20,2,FALSE)</f>
        <v>Pinnatuoli</v>
      </c>
    </row>
    <row r="3162" spans="1:8" x14ac:dyDescent="0.35">
      <c r="A3162" t="s">
        <v>40</v>
      </c>
      <c r="B3162">
        <v>2015</v>
      </c>
      <c r="C3162">
        <v>11</v>
      </c>
      <c r="D3162">
        <v>23756</v>
      </c>
      <c r="E3162">
        <v>80</v>
      </c>
      <c r="F3162">
        <v>12306.75</v>
      </c>
      <c r="G3162">
        <v>4543.51</v>
      </c>
      <c r="H3162" t="str">
        <f>VLOOKUP(myynnit[[#This Row],[TuoteID]],ohjaus!$A$4:$B$20,2,FALSE)</f>
        <v>Pianotuoli</v>
      </c>
    </row>
    <row r="3163" spans="1:8" x14ac:dyDescent="0.35">
      <c r="A3163" t="s">
        <v>40</v>
      </c>
      <c r="B3163">
        <v>2015</v>
      </c>
      <c r="C3163">
        <v>11</v>
      </c>
      <c r="D3163">
        <v>24326</v>
      </c>
      <c r="E3163">
        <v>20</v>
      </c>
      <c r="F3163">
        <v>2632.15</v>
      </c>
      <c r="G3163">
        <v>712.11</v>
      </c>
      <c r="H3163" t="str">
        <f>VLOOKUP(myynnit[[#This Row],[TuoteID]],ohjaus!$A$4:$B$20,2,FALSE)</f>
        <v>Lepotuoli</v>
      </c>
    </row>
    <row r="3164" spans="1:8" x14ac:dyDescent="0.35">
      <c r="A3164" t="s">
        <v>39</v>
      </c>
      <c r="B3164">
        <v>2015</v>
      </c>
      <c r="C3164">
        <v>11</v>
      </c>
      <c r="D3164">
        <v>12184</v>
      </c>
      <c r="E3164">
        <v>111</v>
      </c>
      <c r="F3164">
        <v>18138.62</v>
      </c>
      <c r="G3164">
        <v>10528.53</v>
      </c>
      <c r="H3164" t="str">
        <f>VLOOKUP(myynnit[[#This Row],[TuoteID]],ohjaus!$A$4:$B$20,2,FALSE)</f>
        <v>Rahi</v>
      </c>
    </row>
    <row r="3165" spans="1:8" x14ac:dyDescent="0.35">
      <c r="A3165" t="s">
        <v>39</v>
      </c>
      <c r="B3165">
        <v>2015</v>
      </c>
      <c r="C3165">
        <v>11</v>
      </c>
      <c r="D3165">
        <v>12622</v>
      </c>
      <c r="E3165">
        <v>37</v>
      </c>
      <c r="F3165">
        <v>11664.99</v>
      </c>
      <c r="G3165">
        <v>6575.91</v>
      </c>
      <c r="H3165" t="str">
        <f>VLOOKUP(myynnit[[#This Row],[TuoteID]],ohjaus!$A$4:$B$20,2,FALSE)</f>
        <v>Pianotuoli</v>
      </c>
    </row>
    <row r="3166" spans="1:8" x14ac:dyDescent="0.35">
      <c r="A3166" t="s">
        <v>39</v>
      </c>
      <c r="B3166">
        <v>2015</v>
      </c>
      <c r="C3166">
        <v>11</v>
      </c>
      <c r="D3166">
        <v>13527</v>
      </c>
      <c r="E3166">
        <v>375</v>
      </c>
      <c r="F3166">
        <v>57579.03</v>
      </c>
      <c r="G3166">
        <v>14535.77</v>
      </c>
      <c r="H3166" t="str">
        <f>VLOOKUP(myynnit[[#This Row],[TuoteID]],ohjaus!$A$4:$B$20,2,FALSE)</f>
        <v>Pinnatuoli</v>
      </c>
    </row>
    <row r="3167" spans="1:8" x14ac:dyDescent="0.35">
      <c r="A3167" t="s">
        <v>39</v>
      </c>
      <c r="B3167">
        <v>2015</v>
      </c>
      <c r="C3167">
        <v>11</v>
      </c>
      <c r="D3167">
        <v>13618</v>
      </c>
      <c r="E3167">
        <v>28</v>
      </c>
      <c r="F3167">
        <v>11160.12</v>
      </c>
      <c r="G3167">
        <v>5966.37</v>
      </c>
      <c r="H3167" t="str">
        <f>VLOOKUP(myynnit[[#This Row],[TuoteID]],ohjaus!$A$4:$B$20,2,FALSE)</f>
        <v>Pianotuoli</v>
      </c>
    </row>
    <row r="3168" spans="1:8" x14ac:dyDescent="0.35">
      <c r="A3168" t="s">
        <v>39</v>
      </c>
      <c r="B3168">
        <v>2015</v>
      </c>
      <c r="C3168">
        <v>11</v>
      </c>
      <c r="D3168">
        <v>16024</v>
      </c>
      <c r="E3168">
        <v>162</v>
      </c>
      <c r="F3168">
        <v>66896.75</v>
      </c>
      <c r="G3168">
        <v>17639.38</v>
      </c>
      <c r="H3168" t="str">
        <f>VLOOKUP(myynnit[[#This Row],[TuoteID]],ohjaus!$A$4:$B$20,2,FALSE)</f>
        <v>Työtuoli</v>
      </c>
    </row>
    <row r="3169" spans="1:8" x14ac:dyDescent="0.35">
      <c r="A3169" t="s">
        <v>39</v>
      </c>
      <c r="B3169">
        <v>2015</v>
      </c>
      <c r="C3169">
        <v>11</v>
      </c>
      <c r="D3169">
        <v>16650</v>
      </c>
      <c r="E3169">
        <v>43</v>
      </c>
      <c r="F3169">
        <v>7292.78</v>
      </c>
      <c r="G3169">
        <v>5506.88</v>
      </c>
      <c r="H3169" t="str">
        <f>VLOOKUP(myynnit[[#This Row],[TuoteID]],ohjaus!$A$4:$B$20,2,FALSE)</f>
        <v>Rahi</v>
      </c>
    </row>
    <row r="3170" spans="1:8" x14ac:dyDescent="0.35">
      <c r="A3170" t="s">
        <v>39</v>
      </c>
      <c r="B3170">
        <v>2015</v>
      </c>
      <c r="C3170">
        <v>11</v>
      </c>
      <c r="D3170">
        <v>17892</v>
      </c>
      <c r="E3170">
        <v>63</v>
      </c>
      <c r="F3170">
        <v>9597.06</v>
      </c>
      <c r="G3170">
        <v>3247.28</v>
      </c>
      <c r="H3170" t="str">
        <f>VLOOKUP(myynnit[[#This Row],[TuoteID]],ohjaus!$A$4:$B$20,2,FALSE)</f>
        <v>Lepotuoli</v>
      </c>
    </row>
    <row r="3171" spans="1:8" x14ac:dyDescent="0.35">
      <c r="A3171" t="s">
        <v>39</v>
      </c>
      <c r="B3171">
        <v>2015</v>
      </c>
      <c r="C3171">
        <v>11</v>
      </c>
      <c r="D3171">
        <v>18342</v>
      </c>
      <c r="E3171">
        <v>83</v>
      </c>
      <c r="F3171">
        <v>66676.58</v>
      </c>
      <c r="G3171">
        <v>18016.66</v>
      </c>
      <c r="H3171" t="str">
        <f>VLOOKUP(myynnit[[#This Row],[TuoteID]],ohjaus!$A$4:$B$20,2,FALSE)</f>
        <v>Työtuoli</v>
      </c>
    </row>
    <row r="3172" spans="1:8" x14ac:dyDescent="0.35">
      <c r="A3172" t="s">
        <v>39</v>
      </c>
      <c r="B3172">
        <v>2015</v>
      </c>
      <c r="C3172">
        <v>11</v>
      </c>
      <c r="D3172">
        <v>20177</v>
      </c>
      <c r="E3172">
        <v>53</v>
      </c>
      <c r="F3172">
        <v>6122.98</v>
      </c>
      <c r="G3172">
        <v>2356.4499999999998</v>
      </c>
      <c r="H3172" t="str">
        <f>VLOOKUP(myynnit[[#This Row],[TuoteID]],ohjaus!$A$4:$B$20,2,FALSE)</f>
        <v>Säkkituoli</v>
      </c>
    </row>
    <row r="3173" spans="1:8" x14ac:dyDescent="0.35">
      <c r="A3173" t="s">
        <v>39</v>
      </c>
      <c r="B3173">
        <v>2015</v>
      </c>
      <c r="C3173">
        <v>11</v>
      </c>
      <c r="D3173">
        <v>21179</v>
      </c>
      <c r="E3173">
        <v>41</v>
      </c>
      <c r="F3173">
        <v>5974.3</v>
      </c>
      <c r="G3173">
        <v>4611.99</v>
      </c>
      <c r="H3173" t="str">
        <f>VLOOKUP(myynnit[[#This Row],[TuoteID]],ohjaus!$A$4:$B$20,2,FALSE)</f>
        <v>Rahi</v>
      </c>
    </row>
    <row r="3174" spans="1:8" x14ac:dyDescent="0.35">
      <c r="A3174" t="s">
        <v>39</v>
      </c>
      <c r="B3174">
        <v>2015</v>
      </c>
      <c r="C3174">
        <v>11</v>
      </c>
      <c r="D3174">
        <v>21260</v>
      </c>
      <c r="E3174">
        <v>29</v>
      </c>
      <c r="F3174">
        <v>5424.37</v>
      </c>
      <c r="G3174">
        <v>1498.62</v>
      </c>
      <c r="H3174" t="str">
        <f>VLOOKUP(myynnit[[#This Row],[TuoteID]],ohjaus!$A$4:$B$20,2,FALSE)</f>
        <v>Lepotuoli</v>
      </c>
    </row>
    <row r="3175" spans="1:8" x14ac:dyDescent="0.35">
      <c r="A3175" t="s">
        <v>39</v>
      </c>
      <c r="B3175">
        <v>2015</v>
      </c>
      <c r="C3175">
        <v>11</v>
      </c>
      <c r="D3175">
        <v>22317</v>
      </c>
      <c r="E3175">
        <v>26</v>
      </c>
      <c r="F3175">
        <v>2358.9299999999998</v>
      </c>
      <c r="G3175">
        <v>1092.8900000000001</v>
      </c>
      <c r="H3175" t="str">
        <f>VLOOKUP(myynnit[[#This Row],[TuoteID]],ohjaus!$A$4:$B$20,2,FALSE)</f>
        <v>Säkkituoli</v>
      </c>
    </row>
    <row r="3176" spans="1:8" x14ac:dyDescent="0.35">
      <c r="A3176" t="s">
        <v>39</v>
      </c>
      <c r="B3176">
        <v>2015</v>
      </c>
      <c r="C3176">
        <v>11</v>
      </c>
      <c r="D3176">
        <v>22940</v>
      </c>
      <c r="E3176">
        <v>542</v>
      </c>
      <c r="F3176">
        <v>63914.36</v>
      </c>
      <c r="G3176">
        <v>16264.21</v>
      </c>
      <c r="H3176" t="str">
        <f>VLOOKUP(myynnit[[#This Row],[TuoteID]],ohjaus!$A$4:$B$20,2,FALSE)</f>
        <v>Pinnatuoli</v>
      </c>
    </row>
    <row r="3177" spans="1:8" x14ac:dyDescent="0.35">
      <c r="A3177" t="s">
        <v>39</v>
      </c>
      <c r="B3177">
        <v>2015</v>
      </c>
      <c r="C3177">
        <v>11</v>
      </c>
      <c r="D3177">
        <v>23178</v>
      </c>
      <c r="E3177">
        <v>133</v>
      </c>
      <c r="F3177">
        <v>23169.34</v>
      </c>
      <c r="G3177">
        <v>5961.54</v>
      </c>
      <c r="H3177" t="str">
        <f>VLOOKUP(myynnit[[#This Row],[TuoteID]],ohjaus!$A$4:$B$20,2,FALSE)</f>
        <v>Pinnatuoli</v>
      </c>
    </row>
    <row r="3178" spans="1:8" x14ac:dyDescent="0.35">
      <c r="A3178" t="s">
        <v>39</v>
      </c>
      <c r="B3178">
        <v>2015</v>
      </c>
      <c r="C3178">
        <v>11</v>
      </c>
      <c r="D3178">
        <v>23600</v>
      </c>
      <c r="E3178">
        <v>864</v>
      </c>
      <c r="F3178">
        <v>108732.18</v>
      </c>
      <c r="G3178">
        <v>27337.33</v>
      </c>
      <c r="H3178" t="str">
        <f>VLOOKUP(myynnit[[#This Row],[TuoteID]],ohjaus!$A$4:$B$20,2,FALSE)</f>
        <v>Pinnatuoli</v>
      </c>
    </row>
    <row r="3179" spans="1:8" x14ac:dyDescent="0.35">
      <c r="A3179" t="s">
        <v>39</v>
      </c>
      <c r="B3179">
        <v>2015</v>
      </c>
      <c r="C3179">
        <v>11</v>
      </c>
      <c r="D3179">
        <v>23756</v>
      </c>
      <c r="E3179">
        <v>99</v>
      </c>
      <c r="F3179">
        <v>17732.66</v>
      </c>
      <c r="G3179">
        <v>11682.54</v>
      </c>
      <c r="H3179" t="str">
        <f>VLOOKUP(myynnit[[#This Row],[TuoteID]],ohjaus!$A$4:$B$20,2,FALSE)</f>
        <v>Pianotuoli</v>
      </c>
    </row>
    <row r="3180" spans="1:8" x14ac:dyDescent="0.35">
      <c r="A3180" t="s">
        <v>39</v>
      </c>
      <c r="B3180">
        <v>2015</v>
      </c>
      <c r="C3180">
        <v>11</v>
      </c>
      <c r="D3180">
        <v>24326</v>
      </c>
      <c r="E3180">
        <v>109</v>
      </c>
      <c r="F3180">
        <v>16842.740000000002</v>
      </c>
      <c r="G3180">
        <v>5280.89</v>
      </c>
      <c r="H3180" t="str">
        <f>VLOOKUP(myynnit[[#This Row],[TuoteID]],ohjaus!$A$4:$B$20,2,FALSE)</f>
        <v>Lepotuoli</v>
      </c>
    </row>
    <row r="3181" spans="1:8" x14ac:dyDescent="0.35">
      <c r="A3181" t="s">
        <v>38</v>
      </c>
      <c r="B3181">
        <v>2015</v>
      </c>
      <c r="C3181">
        <v>11</v>
      </c>
      <c r="D3181">
        <v>12184</v>
      </c>
      <c r="E3181">
        <v>102</v>
      </c>
      <c r="F3181">
        <v>11268.76</v>
      </c>
      <c r="G3181">
        <v>6329.37</v>
      </c>
      <c r="H3181" t="str">
        <f>VLOOKUP(myynnit[[#This Row],[TuoteID]],ohjaus!$A$4:$B$20,2,FALSE)</f>
        <v>Rahi</v>
      </c>
    </row>
    <row r="3182" spans="1:8" x14ac:dyDescent="0.35">
      <c r="A3182" t="s">
        <v>38</v>
      </c>
      <c r="B3182">
        <v>2015</v>
      </c>
      <c r="C3182">
        <v>11</v>
      </c>
      <c r="D3182">
        <v>12622</v>
      </c>
      <c r="E3182">
        <v>41</v>
      </c>
      <c r="F3182">
        <v>10542.54</v>
      </c>
      <c r="G3182">
        <v>4789.76</v>
      </c>
      <c r="H3182" t="str">
        <f>VLOOKUP(myynnit[[#This Row],[TuoteID]],ohjaus!$A$4:$B$20,2,FALSE)</f>
        <v>Pianotuoli</v>
      </c>
    </row>
    <row r="3183" spans="1:8" x14ac:dyDescent="0.35">
      <c r="A3183" t="s">
        <v>38</v>
      </c>
      <c r="B3183">
        <v>2015</v>
      </c>
      <c r="C3183">
        <v>11</v>
      </c>
      <c r="D3183">
        <v>13527</v>
      </c>
      <c r="E3183">
        <v>617</v>
      </c>
      <c r="F3183">
        <v>98557.52</v>
      </c>
      <c r="G3183">
        <v>17822.3</v>
      </c>
      <c r="H3183" t="str">
        <f>VLOOKUP(myynnit[[#This Row],[TuoteID]],ohjaus!$A$4:$B$20,2,FALSE)</f>
        <v>Pinnatuoli</v>
      </c>
    </row>
    <row r="3184" spans="1:8" x14ac:dyDescent="0.35">
      <c r="A3184" t="s">
        <v>38</v>
      </c>
      <c r="B3184">
        <v>2015</v>
      </c>
      <c r="C3184">
        <v>11</v>
      </c>
      <c r="D3184">
        <v>13618</v>
      </c>
      <c r="E3184">
        <v>9</v>
      </c>
      <c r="F3184">
        <v>3149.92</v>
      </c>
      <c r="G3184">
        <v>1546.96</v>
      </c>
      <c r="H3184" t="str">
        <f>VLOOKUP(myynnit[[#This Row],[TuoteID]],ohjaus!$A$4:$B$20,2,FALSE)</f>
        <v>Pianotuoli</v>
      </c>
    </row>
    <row r="3185" spans="1:8" x14ac:dyDescent="0.35">
      <c r="A3185" t="s">
        <v>38</v>
      </c>
      <c r="B3185">
        <v>2015</v>
      </c>
      <c r="C3185">
        <v>11</v>
      </c>
      <c r="D3185">
        <v>16024</v>
      </c>
      <c r="E3185">
        <v>117</v>
      </c>
      <c r="F3185">
        <v>50951.25</v>
      </c>
      <c r="G3185">
        <v>10785.29</v>
      </c>
      <c r="H3185" t="str">
        <f>VLOOKUP(myynnit[[#This Row],[TuoteID]],ohjaus!$A$4:$B$20,2,FALSE)</f>
        <v>Työtuoli</v>
      </c>
    </row>
    <row r="3186" spans="1:8" x14ac:dyDescent="0.35">
      <c r="A3186" t="s">
        <v>38</v>
      </c>
      <c r="B3186">
        <v>2015</v>
      </c>
      <c r="C3186">
        <v>11</v>
      </c>
      <c r="D3186">
        <v>16650</v>
      </c>
      <c r="E3186">
        <v>34</v>
      </c>
      <c r="F3186">
        <v>4686.9799999999996</v>
      </c>
      <c r="G3186">
        <v>2589.5100000000002</v>
      </c>
      <c r="H3186" t="str">
        <f>VLOOKUP(myynnit[[#This Row],[TuoteID]],ohjaus!$A$4:$B$20,2,FALSE)</f>
        <v>Rahi</v>
      </c>
    </row>
    <row r="3187" spans="1:8" x14ac:dyDescent="0.35">
      <c r="A3187" t="s">
        <v>38</v>
      </c>
      <c r="B3187">
        <v>2015</v>
      </c>
      <c r="C3187">
        <v>11</v>
      </c>
      <c r="D3187">
        <v>17892</v>
      </c>
      <c r="E3187">
        <v>85</v>
      </c>
      <c r="F3187">
        <v>10788.44</v>
      </c>
      <c r="G3187">
        <v>2634.34</v>
      </c>
      <c r="H3187" t="str">
        <f>VLOOKUP(myynnit[[#This Row],[TuoteID]],ohjaus!$A$4:$B$20,2,FALSE)</f>
        <v>Lepotuoli</v>
      </c>
    </row>
    <row r="3188" spans="1:8" x14ac:dyDescent="0.35">
      <c r="A3188" t="s">
        <v>38</v>
      </c>
      <c r="B3188">
        <v>2015</v>
      </c>
      <c r="C3188">
        <v>11</v>
      </c>
      <c r="D3188">
        <v>18342</v>
      </c>
      <c r="E3188">
        <v>220</v>
      </c>
      <c r="F3188">
        <v>167043.39000000001</v>
      </c>
      <c r="G3188">
        <v>43421.17</v>
      </c>
      <c r="H3188" t="str">
        <f>VLOOKUP(myynnit[[#This Row],[TuoteID]],ohjaus!$A$4:$B$20,2,FALSE)</f>
        <v>Työtuoli</v>
      </c>
    </row>
    <row r="3189" spans="1:8" x14ac:dyDescent="0.35">
      <c r="A3189" t="s">
        <v>38</v>
      </c>
      <c r="B3189">
        <v>2015</v>
      </c>
      <c r="C3189">
        <v>11</v>
      </c>
      <c r="D3189">
        <v>20177</v>
      </c>
      <c r="E3189">
        <v>43</v>
      </c>
      <c r="F3189">
        <v>4535.8999999999996</v>
      </c>
      <c r="G3189">
        <v>1490.37</v>
      </c>
      <c r="H3189" t="str">
        <f>VLOOKUP(myynnit[[#This Row],[TuoteID]],ohjaus!$A$4:$B$20,2,FALSE)</f>
        <v>Säkkituoli</v>
      </c>
    </row>
    <row r="3190" spans="1:8" x14ac:dyDescent="0.35">
      <c r="A3190" t="s">
        <v>38</v>
      </c>
      <c r="B3190">
        <v>2015</v>
      </c>
      <c r="C3190">
        <v>11</v>
      </c>
      <c r="D3190">
        <v>21179</v>
      </c>
      <c r="E3190">
        <v>49</v>
      </c>
      <c r="F3190">
        <v>6401.53</v>
      </c>
      <c r="G3190">
        <v>3537.24</v>
      </c>
      <c r="H3190" t="str">
        <f>VLOOKUP(myynnit[[#This Row],[TuoteID]],ohjaus!$A$4:$B$20,2,FALSE)</f>
        <v>Rahi</v>
      </c>
    </row>
    <row r="3191" spans="1:8" x14ac:dyDescent="0.35">
      <c r="A3191" t="s">
        <v>38</v>
      </c>
      <c r="B3191">
        <v>2015</v>
      </c>
      <c r="C3191">
        <v>11</v>
      </c>
      <c r="D3191">
        <v>21260</v>
      </c>
      <c r="E3191">
        <v>68</v>
      </c>
      <c r="F3191">
        <v>13672.99</v>
      </c>
      <c r="G3191">
        <v>3812.38</v>
      </c>
      <c r="H3191" t="str">
        <f>VLOOKUP(myynnit[[#This Row],[TuoteID]],ohjaus!$A$4:$B$20,2,FALSE)</f>
        <v>Lepotuoli</v>
      </c>
    </row>
    <row r="3192" spans="1:8" x14ac:dyDescent="0.35">
      <c r="A3192" t="s">
        <v>38</v>
      </c>
      <c r="B3192">
        <v>2015</v>
      </c>
      <c r="C3192">
        <v>11</v>
      </c>
      <c r="D3192">
        <v>22317</v>
      </c>
      <c r="E3192">
        <v>40</v>
      </c>
      <c r="F3192">
        <v>3240.91</v>
      </c>
      <c r="G3192">
        <v>1369.53</v>
      </c>
      <c r="H3192" t="str">
        <f>VLOOKUP(myynnit[[#This Row],[TuoteID]],ohjaus!$A$4:$B$20,2,FALSE)</f>
        <v>Säkkituoli</v>
      </c>
    </row>
    <row r="3193" spans="1:8" x14ac:dyDescent="0.35">
      <c r="A3193" t="s">
        <v>38</v>
      </c>
      <c r="B3193">
        <v>2015</v>
      </c>
      <c r="C3193">
        <v>11</v>
      </c>
      <c r="D3193">
        <v>22940</v>
      </c>
      <c r="E3193">
        <v>595</v>
      </c>
      <c r="F3193">
        <v>72158.070000000007</v>
      </c>
      <c r="G3193">
        <v>14062.36</v>
      </c>
      <c r="H3193" t="str">
        <f>VLOOKUP(myynnit[[#This Row],[TuoteID]],ohjaus!$A$4:$B$20,2,FALSE)</f>
        <v>Pinnatuoli</v>
      </c>
    </row>
    <row r="3194" spans="1:8" x14ac:dyDescent="0.35">
      <c r="A3194" t="s">
        <v>38</v>
      </c>
      <c r="B3194">
        <v>2015</v>
      </c>
      <c r="C3194">
        <v>11</v>
      </c>
      <c r="D3194">
        <v>23178</v>
      </c>
      <c r="E3194">
        <v>123</v>
      </c>
      <c r="F3194">
        <v>21815.95</v>
      </c>
      <c r="G3194">
        <v>5124.91</v>
      </c>
      <c r="H3194" t="str">
        <f>VLOOKUP(myynnit[[#This Row],[TuoteID]],ohjaus!$A$4:$B$20,2,FALSE)</f>
        <v>Pinnatuoli</v>
      </c>
    </row>
    <row r="3195" spans="1:8" x14ac:dyDescent="0.35">
      <c r="A3195" t="s">
        <v>38</v>
      </c>
      <c r="B3195">
        <v>2015</v>
      </c>
      <c r="C3195">
        <v>11</v>
      </c>
      <c r="D3195">
        <v>23600</v>
      </c>
      <c r="E3195">
        <v>915</v>
      </c>
      <c r="F3195">
        <v>107497.73</v>
      </c>
      <c r="G3195">
        <v>27779.88</v>
      </c>
      <c r="H3195" t="str">
        <f>VLOOKUP(myynnit[[#This Row],[TuoteID]],ohjaus!$A$4:$B$20,2,FALSE)</f>
        <v>Pinnatuoli</v>
      </c>
    </row>
    <row r="3196" spans="1:8" x14ac:dyDescent="0.35">
      <c r="A3196" t="s">
        <v>38</v>
      </c>
      <c r="B3196">
        <v>2015</v>
      </c>
      <c r="C3196">
        <v>11</v>
      </c>
      <c r="D3196">
        <v>23756</v>
      </c>
      <c r="E3196">
        <v>81</v>
      </c>
      <c r="F3196">
        <v>12492.73</v>
      </c>
      <c r="G3196">
        <v>5149.57</v>
      </c>
      <c r="H3196" t="str">
        <f>VLOOKUP(myynnit[[#This Row],[TuoteID]],ohjaus!$A$4:$B$20,2,FALSE)</f>
        <v>Pianotuoli</v>
      </c>
    </row>
    <row r="3197" spans="1:8" x14ac:dyDescent="0.35">
      <c r="A3197" t="s">
        <v>38</v>
      </c>
      <c r="B3197">
        <v>2015</v>
      </c>
      <c r="C3197">
        <v>11</v>
      </c>
      <c r="D3197">
        <v>24326</v>
      </c>
      <c r="E3197">
        <v>114</v>
      </c>
      <c r="F3197">
        <v>16698.759999999998</v>
      </c>
      <c r="G3197">
        <v>3778.25</v>
      </c>
      <c r="H3197" t="str">
        <f>VLOOKUP(myynnit[[#This Row],[TuoteID]],ohjaus!$A$4:$B$20,2,FALSE)</f>
        <v>Lepotuoli</v>
      </c>
    </row>
    <row r="3198" spans="1:8" x14ac:dyDescent="0.35">
      <c r="A3198" t="s">
        <v>37</v>
      </c>
      <c r="B3198">
        <v>2015</v>
      </c>
      <c r="C3198">
        <v>12</v>
      </c>
      <c r="D3198">
        <v>12184</v>
      </c>
      <c r="E3198">
        <v>50</v>
      </c>
      <c r="F3198">
        <v>5846.1</v>
      </c>
      <c r="G3198">
        <v>2960.32</v>
      </c>
      <c r="H3198" t="str">
        <f>VLOOKUP(myynnit[[#This Row],[TuoteID]],ohjaus!$A$4:$B$20,2,FALSE)</f>
        <v>Rahi</v>
      </c>
    </row>
    <row r="3199" spans="1:8" x14ac:dyDescent="0.35">
      <c r="A3199" t="s">
        <v>37</v>
      </c>
      <c r="B3199">
        <v>2015</v>
      </c>
      <c r="C3199">
        <v>12</v>
      </c>
      <c r="D3199">
        <v>12622</v>
      </c>
      <c r="E3199">
        <v>37</v>
      </c>
      <c r="F3199">
        <v>10873.9</v>
      </c>
      <c r="G3199">
        <v>5593.43</v>
      </c>
      <c r="H3199" t="str">
        <f>VLOOKUP(myynnit[[#This Row],[TuoteID]],ohjaus!$A$4:$B$20,2,FALSE)</f>
        <v>Pianotuoli</v>
      </c>
    </row>
    <row r="3200" spans="1:8" x14ac:dyDescent="0.35">
      <c r="A3200" t="s">
        <v>37</v>
      </c>
      <c r="B3200">
        <v>2015</v>
      </c>
      <c r="C3200">
        <v>12</v>
      </c>
      <c r="D3200">
        <v>13527</v>
      </c>
      <c r="E3200">
        <v>471</v>
      </c>
      <c r="F3200">
        <v>70412.33</v>
      </c>
      <c r="G3200">
        <v>12297.22</v>
      </c>
      <c r="H3200" t="str">
        <f>VLOOKUP(myynnit[[#This Row],[TuoteID]],ohjaus!$A$4:$B$20,2,FALSE)</f>
        <v>Pinnatuoli</v>
      </c>
    </row>
    <row r="3201" spans="1:8" x14ac:dyDescent="0.35">
      <c r="A3201" t="s">
        <v>37</v>
      </c>
      <c r="B3201">
        <v>2015</v>
      </c>
      <c r="C3201">
        <v>12</v>
      </c>
      <c r="D3201">
        <v>13618</v>
      </c>
      <c r="E3201">
        <v>19</v>
      </c>
      <c r="F3201">
        <v>7218.69</v>
      </c>
      <c r="G3201">
        <v>3340.38</v>
      </c>
      <c r="H3201" t="str">
        <f>VLOOKUP(myynnit[[#This Row],[TuoteID]],ohjaus!$A$4:$B$20,2,FALSE)</f>
        <v>Pianotuoli</v>
      </c>
    </row>
    <row r="3202" spans="1:8" x14ac:dyDescent="0.35">
      <c r="A3202" t="s">
        <v>37</v>
      </c>
      <c r="B3202">
        <v>2015</v>
      </c>
      <c r="C3202">
        <v>12</v>
      </c>
      <c r="D3202">
        <v>16024</v>
      </c>
      <c r="E3202">
        <v>263</v>
      </c>
      <c r="F3202">
        <v>112072.99</v>
      </c>
      <c r="G3202">
        <v>33809.839999999997</v>
      </c>
      <c r="H3202" t="str">
        <f>VLOOKUP(myynnit[[#This Row],[TuoteID]],ohjaus!$A$4:$B$20,2,FALSE)</f>
        <v>Työtuoli</v>
      </c>
    </row>
    <row r="3203" spans="1:8" x14ac:dyDescent="0.35">
      <c r="A3203" t="s">
        <v>37</v>
      </c>
      <c r="B3203">
        <v>2015</v>
      </c>
      <c r="C3203">
        <v>12</v>
      </c>
      <c r="D3203">
        <v>16650</v>
      </c>
      <c r="E3203">
        <v>50</v>
      </c>
      <c r="F3203">
        <v>8698.57</v>
      </c>
      <c r="G3203">
        <v>4181.25</v>
      </c>
      <c r="H3203" t="str">
        <f>VLOOKUP(myynnit[[#This Row],[TuoteID]],ohjaus!$A$4:$B$20,2,FALSE)</f>
        <v>Rahi</v>
      </c>
    </row>
    <row r="3204" spans="1:8" x14ac:dyDescent="0.35">
      <c r="A3204" t="s">
        <v>37</v>
      </c>
      <c r="B3204">
        <v>2015</v>
      </c>
      <c r="C3204">
        <v>12</v>
      </c>
      <c r="D3204">
        <v>17892</v>
      </c>
      <c r="E3204">
        <v>106</v>
      </c>
      <c r="F3204">
        <v>15633.08</v>
      </c>
      <c r="G3204">
        <v>4803.1899999999996</v>
      </c>
      <c r="H3204" t="str">
        <f>VLOOKUP(myynnit[[#This Row],[TuoteID]],ohjaus!$A$4:$B$20,2,FALSE)</f>
        <v>Lepotuoli</v>
      </c>
    </row>
    <row r="3205" spans="1:8" x14ac:dyDescent="0.35">
      <c r="A3205" t="s">
        <v>37</v>
      </c>
      <c r="B3205">
        <v>2015</v>
      </c>
      <c r="C3205">
        <v>12</v>
      </c>
      <c r="D3205">
        <v>18342</v>
      </c>
      <c r="E3205">
        <v>110</v>
      </c>
      <c r="F3205">
        <v>93302.44</v>
      </c>
      <c r="G3205">
        <v>30692.84</v>
      </c>
      <c r="H3205" t="str">
        <f>VLOOKUP(myynnit[[#This Row],[TuoteID]],ohjaus!$A$4:$B$20,2,FALSE)</f>
        <v>Työtuoli</v>
      </c>
    </row>
    <row r="3206" spans="1:8" x14ac:dyDescent="0.35">
      <c r="A3206" t="s">
        <v>37</v>
      </c>
      <c r="B3206">
        <v>2015</v>
      </c>
      <c r="C3206">
        <v>12</v>
      </c>
      <c r="D3206">
        <v>20177</v>
      </c>
      <c r="E3206">
        <v>145</v>
      </c>
      <c r="F3206">
        <v>15563.36</v>
      </c>
      <c r="G3206">
        <v>5238.4399999999996</v>
      </c>
      <c r="H3206" t="str">
        <f>VLOOKUP(myynnit[[#This Row],[TuoteID]],ohjaus!$A$4:$B$20,2,FALSE)</f>
        <v>Säkkituoli</v>
      </c>
    </row>
    <row r="3207" spans="1:8" x14ac:dyDescent="0.35">
      <c r="A3207" t="s">
        <v>37</v>
      </c>
      <c r="B3207">
        <v>2015</v>
      </c>
      <c r="C3207">
        <v>12</v>
      </c>
      <c r="D3207">
        <v>21179</v>
      </c>
      <c r="E3207">
        <v>44</v>
      </c>
      <c r="F3207">
        <v>4424.3999999999996</v>
      </c>
      <c r="G3207">
        <v>2070.98</v>
      </c>
      <c r="H3207" t="str">
        <f>VLOOKUP(myynnit[[#This Row],[TuoteID]],ohjaus!$A$4:$B$20,2,FALSE)</f>
        <v>Rahi</v>
      </c>
    </row>
    <row r="3208" spans="1:8" x14ac:dyDescent="0.35">
      <c r="A3208" t="s">
        <v>37</v>
      </c>
      <c r="B3208">
        <v>2015</v>
      </c>
      <c r="C3208">
        <v>12</v>
      </c>
      <c r="D3208">
        <v>21260</v>
      </c>
      <c r="E3208">
        <v>47</v>
      </c>
      <c r="F3208">
        <v>9003.26</v>
      </c>
      <c r="G3208">
        <v>2577.13</v>
      </c>
      <c r="H3208" t="str">
        <f>VLOOKUP(myynnit[[#This Row],[TuoteID]],ohjaus!$A$4:$B$20,2,FALSE)</f>
        <v>Lepotuoli</v>
      </c>
    </row>
    <row r="3209" spans="1:8" x14ac:dyDescent="0.35">
      <c r="A3209" t="s">
        <v>37</v>
      </c>
      <c r="B3209">
        <v>2015</v>
      </c>
      <c r="C3209">
        <v>12</v>
      </c>
      <c r="D3209">
        <v>22317</v>
      </c>
      <c r="E3209">
        <v>53</v>
      </c>
      <c r="F3209">
        <v>4180.71</v>
      </c>
      <c r="G3209">
        <v>1685.79</v>
      </c>
      <c r="H3209" t="str">
        <f>VLOOKUP(myynnit[[#This Row],[TuoteID]],ohjaus!$A$4:$B$20,2,FALSE)</f>
        <v>Säkkituoli</v>
      </c>
    </row>
    <row r="3210" spans="1:8" x14ac:dyDescent="0.35">
      <c r="A3210" t="s">
        <v>37</v>
      </c>
      <c r="B3210">
        <v>2015</v>
      </c>
      <c r="C3210">
        <v>12</v>
      </c>
      <c r="D3210">
        <v>22940</v>
      </c>
      <c r="E3210">
        <v>729</v>
      </c>
      <c r="F3210">
        <v>86247.63</v>
      </c>
      <c r="G3210">
        <v>18734.990000000002</v>
      </c>
      <c r="H3210" t="str">
        <f>VLOOKUP(myynnit[[#This Row],[TuoteID]],ohjaus!$A$4:$B$20,2,FALSE)</f>
        <v>Pinnatuoli</v>
      </c>
    </row>
    <row r="3211" spans="1:8" x14ac:dyDescent="0.35">
      <c r="A3211" t="s">
        <v>37</v>
      </c>
      <c r="B3211">
        <v>2015</v>
      </c>
      <c r="C3211">
        <v>12</v>
      </c>
      <c r="D3211">
        <v>23178</v>
      </c>
      <c r="E3211">
        <v>258</v>
      </c>
      <c r="F3211">
        <v>41259.18</v>
      </c>
      <c r="G3211">
        <v>9038.86</v>
      </c>
      <c r="H3211" t="str">
        <f>VLOOKUP(myynnit[[#This Row],[TuoteID]],ohjaus!$A$4:$B$20,2,FALSE)</f>
        <v>Pinnatuoli</v>
      </c>
    </row>
    <row r="3212" spans="1:8" x14ac:dyDescent="0.35">
      <c r="A3212" t="s">
        <v>37</v>
      </c>
      <c r="B3212">
        <v>2015</v>
      </c>
      <c r="C3212">
        <v>12</v>
      </c>
      <c r="D3212">
        <v>23600</v>
      </c>
      <c r="E3212">
        <v>846</v>
      </c>
      <c r="F3212">
        <v>92306.99</v>
      </c>
      <c r="G3212">
        <v>19369</v>
      </c>
      <c r="H3212" t="str">
        <f>VLOOKUP(myynnit[[#This Row],[TuoteID]],ohjaus!$A$4:$B$20,2,FALSE)</f>
        <v>Pinnatuoli</v>
      </c>
    </row>
    <row r="3213" spans="1:8" x14ac:dyDescent="0.35">
      <c r="A3213" t="s">
        <v>37</v>
      </c>
      <c r="B3213">
        <v>2015</v>
      </c>
      <c r="C3213">
        <v>12</v>
      </c>
      <c r="D3213">
        <v>23756</v>
      </c>
      <c r="E3213">
        <v>98</v>
      </c>
      <c r="F3213">
        <v>16405.22</v>
      </c>
      <c r="G3213">
        <v>8168.07</v>
      </c>
      <c r="H3213" t="str">
        <f>VLOOKUP(myynnit[[#This Row],[TuoteID]],ohjaus!$A$4:$B$20,2,FALSE)</f>
        <v>Pianotuoli</v>
      </c>
    </row>
    <row r="3214" spans="1:8" x14ac:dyDescent="0.35">
      <c r="A3214" t="s">
        <v>37</v>
      </c>
      <c r="B3214">
        <v>2015</v>
      </c>
      <c r="C3214">
        <v>12</v>
      </c>
      <c r="D3214">
        <v>24326</v>
      </c>
      <c r="E3214">
        <v>171</v>
      </c>
      <c r="F3214">
        <v>26321.15</v>
      </c>
      <c r="G3214">
        <v>7465.47</v>
      </c>
      <c r="H3214" t="str">
        <f>VLOOKUP(myynnit[[#This Row],[TuoteID]],ohjaus!$A$4:$B$20,2,FALSE)</f>
        <v>Lepotuoli</v>
      </c>
    </row>
    <row r="3215" spans="1:8" x14ac:dyDescent="0.35">
      <c r="A3215" t="s">
        <v>40</v>
      </c>
      <c r="B3215">
        <v>2015</v>
      </c>
      <c r="C3215">
        <v>12</v>
      </c>
      <c r="D3215">
        <v>12184</v>
      </c>
      <c r="E3215">
        <v>16</v>
      </c>
      <c r="F3215">
        <v>1728.23</v>
      </c>
      <c r="G3215">
        <v>750.2</v>
      </c>
      <c r="H3215" t="str">
        <f>VLOOKUP(myynnit[[#This Row],[TuoteID]],ohjaus!$A$4:$B$20,2,FALSE)</f>
        <v>Rahi</v>
      </c>
    </row>
    <row r="3216" spans="1:8" x14ac:dyDescent="0.35">
      <c r="A3216" t="s">
        <v>40</v>
      </c>
      <c r="B3216">
        <v>2015</v>
      </c>
      <c r="C3216">
        <v>12</v>
      </c>
      <c r="D3216">
        <v>12622</v>
      </c>
      <c r="E3216">
        <v>22</v>
      </c>
      <c r="F3216">
        <v>5775.31</v>
      </c>
      <c r="G3216">
        <v>2540.9499999999998</v>
      </c>
      <c r="H3216" t="str">
        <f>VLOOKUP(myynnit[[#This Row],[TuoteID]],ohjaus!$A$4:$B$20,2,FALSE)</f>
        <v>Pianotuoli</v>
      </c>
    </row>
    <row r="3217" spans="1:8" x14ac:dyDescent="0.35">
      <c r="A3217" t="s">
        <v>40</v>
      </c>
      <c r="B3217">
        <v>2015</v>
      </c>
      <c r="C3217">
        <v>12</v>
      </c>
      <c r="D3217">
        <v>13527</v>
      </c>
      <c r="E3217">
        <v>266</v>
      </c>
      <c r="F3217">
        <v>39195.82</v>
      </c>
      <c r="G3217">
        <v>5898.8</v>
      </c>
      <c r="H3217" t="str">
        <f>VLOOKUP(myynnit[[#This Row],[TuoteID]],ohjaus!$A$4:$B$20,2,FALSE)</f>
        <v>Pinnatuoli</v>
      </c>
    </row>
    <row r="3218" spans="1:8" x14ac:dyDescent="0.35">
      <c r="A3218" t="s">
        <v>40</v>
      </c>
      <c r="B3218">
        <v>2015</v>
      </c>
      <c r="C3218">
        <v>12</v>
      </c>
      <c r="D3218">
        <v>13618</v>
      </c>
      <c r="E3218">
        <v>6</v>
      </c>
      <c r="F3218">
        <v>2381.85</v>
      </c>
      <c r="G3218">
        <v>1076.08</v>
      </c>
      <c r="H3218" t="str">
        <f>VLOOKUP(myynnit[[#This Row],[TuoteID]],ohjaus!$A$4:$B$20,2,FALSE)</f>
        <v>Pianotuoli</v>
      </c>
    </row>
    <row r="3219" spans="1:8" x14ac:dyDescent="0.35">
      <c r="A3219" t="s">
        <v>40</v>
      </c>
      <c r="B3219">
        <v>2015</v>
      </c>
      <c r="C3219">
        <v>12</v>
      </c>
      <c r="D3219">
        <v>16024</v>
      </c>
      <c r="E3219">
        <v>199</v>
      </c>
      <c r="F3219">
        <v>97528.45</v>
      </c>
      <c r="G3219">
        <v>26666.65</v>
      </c>
      <c r="H3219" t="str">
        <f>VLOOKUP(myynnit[[#This Row],[TuoteID]],ohjaus!$A$4:$B$20,2,FALSE)</f>
        <v>Työtuoli</v>
      </c>
    </row>
    <row r="3220" spans="1:8" x14ac:dyDescent="0.35">
      <c r="A3220" t="s">
        <v>40</v>
      </c>
      <c r="B3220">
        <v>2015</v>
      </c>
      <c r="C3220">
        <v>12</v>
      </c>
      <c r="D3220">
        <v>16650</v>
      </c>
      <c r="E3220">
        <v>34</v>
      </c>
      <c r="F3220">
        <v>5361.28</v>
      </c>
      <c r="G3220">
        <v>3517.61</v>
      </c>
      <c r="H3220" t="str">
        <f>VLOOKUP(myynnit[[#This Row],[TuoteID]],ohjaus!$A$4:$B$20,2,FALSE)</f>
        <v>Rahi</v>
      </c>
    </row>
    <row r="3221" spans="1:8" x14ac:dyDescent="0.35">
      <c r="A3221" t="s">
        <v>40</v>
      </c>
      <c r="B3221">
        <v>2015</v>
      </c>
      <c r="C3221">
        <v>12</v>
      </c>
      <c r="D3221">
        <v>17892</v>
      </c>
      <c r="E3221">
        <v>40</v>
      </c>
      <c r="F3221">
        <v>5676.5</v>
      </c>
      <c r="G3221">
        <v>1470.47</v>
      </c>
      <c r="H3221" t="str">
        <f>VLOOKUP(myynnit[[#This Row],[TuoteID]],ohjaus!$A$4:$B$20,2,FALSE)</f>
        <v>Lepotuoli</v>
      </c>
    </row>
    <row r="3222" spans="1:8" x14ac:dyDescent="0.35">
      <c r="A3222" t="s">
        <v>40</v>
      </c>
      <c r="B3222">
        <v>2015</v>
      </c>
      <c r="C3222">
        <v>12</v>
      </c>
      <c r="D3222">
        <v>18342</v>
      </c>
      <c r="E3222">
        <v>23</v>
      </c>
      <c r="F3222">
        <v>20809.189999999999</v>
      </c>
      <c r="G3222">
        <v>6727.42</v>
      </c>
      <c r="H3222" t="str">
        <f>VLOOKUP(myynnit[[#This Row],[TuoteID]],ohjaus!$A$4:$B$20,2,FALSE)</f>
        <v>Työtuoli</v>
      </c>
    </row>
    <row r="3223" spans="1:8" x14ac:dyDescent="0.35">
      <c r="A3223" t="s">
        <v>40</v>
      </c>
      <c r="B3223">
        <v>2015</v>
      </c>
      <c r="C3223">
        <v>12</v>
      </c>
      <c r="D3223">
        <v>20177</v>
      </c>
      <c r="E3223">
        <v>15</v>
      </c>
      <c r="F3223">
        <v>1349.51</v>
      </c>
      <c r="G3223">
        <v>607.55999999999995</v>
      </c>
      <c r="H3223" t="str">
        <f>VLOOKUP(myynnit[[#This Row],[TuoteID]],ohjaus!$A$4:$B$20,2,FALSE)</f>
        <v>Säkkituoli</v>
      </c>
    </row>
    <row r="3224" spans="1:8" x14ac:dyDescent="0.35">
      <c r="A3224" t="s">
        <v>40</v>
      </c>
      <c r="B3224">
        <v>2015</v>
      </c>
      <c r="C3224">
        <v>12</v>
      </c>
      <c r="D3224">
        <v>21179</v>
      </c>
      <c r="E3224">
        <v>19</v>
      </c>
      <c r="F3224">
        <v>2047.73</v>
      </c>
      <c r="G3224">
        <v>1198.3800000000001</v>
      </c>
      <c r="H3224" t="str">
        <f>VLOOKUP(myynnit[[#This Row],[TuoteID]],ohjaus!$A$4:$B$20,2,FALSE)</f>
        <v>Rahi</v>
      </c>
    </row>
    <row r="3225" spans="1:8" x14ac:dyDescent="0.35">
      <c r="A3225" t="s">
        <v>40</v>
      </c>
      <c r="B3225">
        <v>2015</v>
      </c>
      <c r="C3225">
        <v>12</v>
      </c>
      <c r="D3225">
        <v>21260</v>
      </c>
      <c r="E3225">
        <v>42</v>
      </c>
      <c r="F3225">
        <v>7910.89</v>
      </c>
      <c r="G3225">
        <v>1648.16</v>
      </c>
      <c r="H3225" t="str">
        <f>VLOOKUP(myynnit[[#This Row],[TuoteID]],ohjaus!$A$4:$B$20,2,FALSE)</f>
        <v>Lepotuoli</v>
      </c>
    </row>
    <row r="3226" spans="1:8" x14ac:dyDescent="0.35">
      <c r="A3226" t="s">
        <v>40</v>
      </c>
      <c r="B3226">
        <v>2015</v>
      </c>
      <c r="C3226">
        <v>12</v>
      </c>
      <c r="D3226">
        <v>22317</v>
      </c>
      <c r="E3226">
        <v>11</v>
      </c>
      <c r="F3226">
        <v>1110.01</v>
      </c>
      <c r="G3226">
        <v>514.51</v>
      </c>
      <c r="H3226" t="str">
        <f>VLOOKUP(myynnit[[#This Row],[TuoteID]],ohjaus!$A$4:$B$20,2,FALSE)</f>
        <v>Säkkituoli</v>
      </c>
    </row>
    <row r="3227" spans="1:8" x14ac:dyDescent="0.35">
      <c r="A3227" t="s">
        <v>40</v>
      </c>
      <c r="B3227">
        <v>2015</v>
      </c>
      <c r="C3227">
        <v>12</v>
      </c>
      <c r="D3227">
        <v>22940</v>
      </c>
      <c r="E3227">
        <v>225</v>
      </c>
      <c r="F3227">
        <v>30758.9</v>
      </c>
      <c r="G3227">
        <v>7115.72</v>
      </c>
      <c r="H3227" t="str">
        <f>VLOOKUP(myynnit[[#This Row],[TuoteID]],ohjaus!$A$4:$B$20,2,FALSE)</f>
        <v>Pinnatuoli</v>
      </c>
    </row>
    <row r="3228" spans="1:8" x14ac:dyDescent="0.35">
      <c r="A3228" t="s">
        <v>40</v>
      </c>
      <c r="B3228">
        <v>2015</v>
      </c>
      <c r="C3228">
        <v>12</v>
      </c>
      <c r="D3228">
        <v>23178</v>
      </c>
      <c r="E3228">
        <v>334</v>
      </c>
      <c r="F3228">
        <v>63812.28</v>
      </c>
      <c r="G3228">
        <v>19212.29</v>
      </c>
      <c r="H3228" t="str">
        <f>VLOOKUP(myynnit[[#This Row],[TuoteID]],ohjaus!$A$4:$B$20,2,FALSE)</f>
        <v>Pinnatuoli</v>
      </c>
    </row>
    <row r="3229" spans="1:8" x14ac:dyDescent="0.35">
      <c r="A3229" t="s">
        <v>40</v>
      </c>
      <c r="B3229">
        <v>2015</v>
      </c>
      <c r="C3229">
        <v>12</v>
      </c>
      <c r="D3229">
        <v>23600</v>
      </c>
      <c r="E3229">
        <v>648</v>
      </c>
      <c r="F3229">
        <v>64431.44</v>
      </c>
      <c r="G3229">
        <v>17214.07</v>
      </c>
      <c r="H3229" t="str">
        <f>VLOOKUP(myynnit[[#This Row],[TuoteID]],ohjaus!$A$4:$B$20,2,FALSE)</f>
        <v>Pinnatuoli</v>
      </c>
    </row>
    <row r="3230" spans="1:8" x14ac:dyDescent="0.35">
      <c r="A3230" t="s">
        <v>40</v>
      </c>
      <c r="B3230">
        <v>2015</v>
      </c>
      <c r="C3230">
        <v>12</v>
      </c>
      <c r="D3230">
        <v>23756</v>
      </c>
      <c r="E3230">
        <v>77</v>
      </c>
      <c r="F3230">
        <v>14187.56</v>
      </c>
      <c r="G3230">
        <v>5500.68</v>
      </c>
      <c r="H3230" t="str">
        <f>VLOOKUP(myynnit[[#This Row],[TuoteID]],ohjaus!$A$4:$B$20,2,FALSE)</f>
        <v>Pianotuoli</v>
      </c>
    </row>
    <row r="3231" spans="1:8" x14ac:dyDescent="0.35">
      <c r="A3231" t="s">
        <v>40</v>
      </c>
      <c r="B3231">
        <v>2015</v>
      </c>
      <c r="C3231">
        <v>12</v>
      </c>
      <c r="D3231">
        <v>24326</v>
      </c>
      <c r="E3231">
        <v>17</v>
      </c>
      <c r="F3231">
        <v>2611.58</v>
      </c>
      <c r="G3231">
        <v>844.33</v>
      </c>
      <c r="H3231" t="str">
        <f>VLOOKUP(myynnit[[#This Row],[TuoteID]],ohjaus!$A$4:$B$20,2,FALSE)</f>
        <v>Lepotuoli</v>
      </c>
    </row>
    <row r="3232" spans="1:8" x14ac:dyDescent="0.35">
      <c r="A3232" t="s">
        <v>39</v>
      </c>
      <c r="B3232">
        <v>2015</v>
      </c>
      <c r="C3232">
        <v>12</v>
      </c>
      <c r="D3232">
        <v>12184</v>
      </c>
      <c r="E3232">
        <v>116</v>
      </c>
      <c r="F3232">
        <v>14380.97</v>
      </c>
      <c r="G3232">
        <v>10237.57</v>
      </c>
      <c r="H3232" t="str">
        <f>VLOOKUP(myynnit[[#This Row],[TuoteID]],ohjaus!$A$4:$B$20,2,FALSE)</f>
        <v>Rahi</v>
      </c>
    </row>
    <row r="3233" spans="1:8" x14ac:dyDescent="0.35">
      <c r="A3233" t="s">
        <v>39</v>
      </c>
      <c r="B3233">
        <v>2015</v>
      </c>
      <c r="C3233">
        <v>12</v>
      </c>
      <c r="D3233">
        <v>12622</v>
      </c>
      <c r="E3233">
        <v>31</v>
      </c>
      <c r="F3233">
        <v>7718.86</v>
      </c>
      <c r="G3233">
        <v>3974.28</v>
      </c>
      <c r="H3233" t="str">
        <f>VLOOKUP(myynnit[[#This Row],[TuoteID]],ohjaus!$A$4:$B$20,2,FALSE)</f>
        <v>Pianotuoli</v>
      </c>
    </row>
    <row r="3234" spans="1:8" x14ac:dyDescent="0.35">
      <c r="A3234" t="s">
        <v>39</v>
      </c>
      <c r="B3234">
        <v>2015</v>
      </c>
      <c r="C3234">
        <v>12</v>
      </c>
      <c r="D3234">
        <v>13527</v>
      </c>
      <c r="E3234">
        <v>268</v>
      </c>
      <c r="F3234">
        <v>46753.62</v>
      </c>
      <c r="G3234">
        <v>10307.280000000001</v>
      </c>
      <c r="H3234" t="str">
        <f>VLOOKUP(myynnit[[#This Row],[TuoteID]],ohjaus!$A$4:$B$20,2,FALSE)</f>
        <v>Pinnatuoli</v>
      </c>
    </row>
    <row r="3235" spans="1:8" x14ac:dyDescent="0.35">
      <c r="A3235" t="s">
        <v>39</v>
      </c>
      <c r="B3235">
        <v>2015</v>
      </c>
      <c r="C3235">
        <v>12</v>
      </c>
      <c r="D3235">
        <v>13618</v>
      </c>
      <c r="E3235">
        <v>27</v>
      </c>
      <c r="F3235">
        <v>12644.85</v>
      </c>
      <c r="G3235">
        <v>7053.7</v>
      </c>
      <c r="H3235" t="str">
        <f>VLOOKUP(myynnit[[#This Row],[TuoteID]],ohjaus!$A$4:$B$20,2,FALSE)</f>
        <v>Pianotuoli</v>
      </c>
    </row>
    <row r="3236" spans="1:8" x14ac:dyDescent="0.35">
      <c r="A3236" t="s">
        <v>39</v>
      </c>
      <c r="B3236">
        <v>2015</v>
      </c>
      <c r="C3236">
        <v>12</v>
      </c>
      <c r="D3236">
        <v>16024</v>
      </c>
      <c r="E3236">
        <v>238</v>
      </c>
      <c r="F3236">
        <v>107822.32</v>
      </c>
      <c r="G3236">
        <v>32612.04</v>
      </c>
      <c r="H3236" t="str">
        <f>VLOOKUP(myynnit[[#This Row],[TuoteID]],ohjaus!$A$4:$B$20,2,FALSE)</f>
        <v>Työtuoli</v>
      </c>
    </row>
    <row r="3237" spans="1:8" x14ac:dyDescent="0.35">
      <c r="A3237" t="s">
        <v>39</v>
      </c>
      <c r="B3237">
        <v>2015</v>
      </c>
      <c r="C3237">
        <v>12</v>
      </c>
      <c r="D3237">
        <v>16650</v>
      </c>
      <c r="E3237">
        <v>27</v>
      </c>
      <c r="F3237">
        <v>4694.8599999999997</v>
      </c>
      <c r="G3237">
        <v>3642.28</v>
      </c>
      <c r="H3237" t="str">
        <f>VLOOKUP(myynnit[[#This Row],[TuoteID]],ohjaus!$A$4:$B$20,2,FALSE)</f>
        <v>Rahi</v>
      </c>
    </row>
    <row r="3238" spans="1:8" x14ac:dyDescent="0.35">
      <c r="A3238" t="s">
        <v>39</v>
      </c>
      <c r="B3238">
        <v>2015</v>
      </c>
      <c r="C3238">
        <v>12</v>
      </c>
      <c r="D3238">
        <v>17892</v>
      </c>
      <c r="E3238">
        <v>132</v>
      </c>
      <c r="F3238">
        <v>21111.91</v>
      </c>
      <c r="G3238">
        <v>7489.03</v>
      </c>
      <c r="H3238" t="str">
        <f>VLOOKUP(myynnit[[#This Row],[TuoteID]],ohjaus!$A$4:$B$20,2,FALSE)</f>
        <v>Lepotuoli</v>
      </c>
    </row>
    <row r="3239" spans="1:8" x14ac:dyDescent="0.35">
      <c r="A3239" t="s">
        <v>39</v>
      </c>
      <c r="B3239">
        <v>2015</v>
      </c>
      <c r="C3239">
        <v>12</v>
      </c>
      <c r="D3239">
        <v>18342</v>
      </c>
      <c r="E3239">
        <v>97</v>
      </c>
      <c r="F3239">
        <v>81846.67</v>
      </c>
      <c r="G3239">
        <v>20445.29</v>
      </c>
      <c r="H3239" t="str">
        <f>VLOOKUP(myynnit[[#This Row],[TuoteID]],ohjaus!$A$4:$B$20,2,FALSE)</f>
        <v>Työtuoli</v>
      </c>
    </row>
    <row r="3240" spans="1:8" x14ac:dyDescent="0.35">
      <c r="A3240" t="s">
        <v>39</v>
      </c>
      <c r="B3240">
        <v>2015</v>
      </c>
      <c r="C3240">
        <v>12</v>
      </c>
      <c r="D3240">
        <v>20177</v>
      </c>
      <c r="E3240">
        <v>38</v>
      </c>
      <c r="F3240">
        <v>3344.63</v>
      </c>
      <c r="G3240">
        <v>1289.08</v>
      </c>
      <c r="H3240" t="str">
        <f>VLOOKUP(myynnit[[#This Row],[TuoteID]],ohjaus!$A$4:$B$20,2,FALSE)</f>
        <v>Säkkituoli</v>
      </c>
    </row>
    <row r="3241" spans="1:8" x14ac:dyDescent="0.35">
      <c r="A3241" t="s">
        <v>39</v>
      </c>
      <c r="B3241">
        <v>2015</v>
      </c>
      <c r="C3241">
        <v>12</v>
      </c>
      <c r="D3241">
        <v>21179</v>
      </c>
      <c r="E3241">
        <v>53</v>
      </c>
      <c r="F3241">
        <v>6542.78</v>
      </c>
      <c r="G3241">
        <v>4919.1400000000003</v>
      </c>
      <c r="H3241" t="str">
        <f>VLOOKUP(myynnit[[#This Row],[TuoteID]],ohjaus!$A$4:$B$20,2,FALSE)</f>
        <v>Rahi</v>
      </c>
    </row>
    <row r="3242" spans="1:8" x14ac:dyDescent="0.35">
      <c r="A3242" t="s">
        <v>39</v>
      </c>
      <c r="B3242">
        <v>2015</v>
      </c>
      <c r="C3242">
        <v>12</v>
      </c>
      <c r="D3242">
        <v>21260</v>
      </c>
      <c r="E3242">
        <v>56</v>
      </c>
      <c r="F3242">
        <v>9870.4699999999993</v>
      </c>
      <c r="G3242">
        <v>3239.96</v>
      </c>
      <c r="H3242" t="str">
        <f>VLOOKUP(myynnit[[#This Row],[TuoteID]],ohjaus!$A$4:$B$20,2,FALSE)</f>
        <v>Lepotuoli</v>
      </c>
    </row>
    <row r="3243" spans="1:8" x14ac:dyDescent="0.35">
      <c r="A3243" t="s">
        <v>39</v>
      </c>
      <c r="B3243">
        <v>2015</v>
      </c>
      <c r="C3243">
        <v>12</v>
      </c>
      <c r="D3243">
        <v>22317</v>
      </c>
      <c r="E3243">
        <v>35</v>
      </c>
      <c r="F3243">
        <v>3370.98</v>
      </c>
      <c r="G3243">
        <v>1675.76</v>
      </c>
      <c r="H3243" t="str">
        <f>VLOOKUP(myynnit[[#This Row],[TuoteID]],ohjaus!$A$4:$B$20,2,FALSE)</f>
        <v>Säkkituoli</v>
      </c>
    </row>
    <row r="3244" spans="1:8" x14ac:dyDescent="0.35">
      <c r="A3244" t="s">
        <v>39</v>
      </c>
      <c r="B3244">
        <v>2015</v>
      </c>
      <c r="C3244">
        <v>12</v>
      </c>
      <c r="D3244">
        <v>22940</v>
      </c>
      <c r="E3244">
        <v>353</v>
      </c>
      <c r="F3244">
        <v>48992.06</v>
      </c>
      <c r="G3244">
        <v>12175.32</v>
      </c>
      <c r="H3244" t="str">
        <f>VLOOKUP(myynnit[[#This Row],[TuoteID]],ohjaus!$A$4:$B$20,2,FALSE)</f>
        <v>Pinnatuoli</v>
      </c>
    </row>
    <row r="3245" spans="1:8" x14ac:dyDescent="0.35">
      <c r="A3245" t="s">
        <v>39</v>
      </c>
      <c r="B3245">
        <v>2015</v>
      </c>
      <c r="C3245">
        <v>12</v>
      </c>
      <c r="D3245">
        <v>23178</v>
      </c>
      <c r="E3245">
        <v>180</v>
      </c>
      <c r="F3245">
        <v>35185.9</v>
      </c>
      <c r="G3245">
        <v>10197.83</v>
      </c>
      <c r="H3245" t="str">
        <f>VLOOKUP(myynnit[[#This Row],[TuoteID]],ohjaus!$A$4:$B$20,2,FALSE)</f>
        <v>Pinnatuoli</v>
      </c>
    </row>
    <row r="3246" spans="1:8" x14ac:dyDescent="0.35">
      <c r="A3246" t="s">
        <v>39</v>
      </c>
      <c r="B3246">
        <v>2015</v>
      </c>
      <c r="C3246">
        <v>12</v>
      </c>
      <c r="D3246">
        <v>23600</v>
      </c>
      <c r="E3246">
        <v>975</v>
      </c>
      <c r="F3246">
        <v>120181.63</v>
      </c>
      <c r="G3246">
        <v>37213.279999999999</v>
      </c>
      <c r="H3246" t="str">
        <f>VLOOKUP(myynnit[[#This Row],[TuoteID]],ohjaus!$A$4:$B$20,2,FALSE)</f>
        <v>Pinnatuoli</v>
      </c>
    </row>
    <row r="3247" spans="1:8" x14ac:dyDescent="0.35">
      <c r="A3247" t="s">
        <v>39</v>
      </c>
      <c r="B3247">
        <v>2015</v>
      </c>
      <c r="C3247">
        <v>12</v>
      </c>
      <c r="D3247">
        <v>23756</v>
      </c>
      <c r="E3247">
        <v>46</v>
      </c>
      <c r="F3247">
        <v>8405.94</v>
      </c>
      <c r="G3247">
        <v>5097.34</v>
      </c>
      <c r="H3247" t="str">
        <f>VLOOKUP(myynnit[[#This Row],[TuoteID]],ohjaus!$A$4:$B$20,2,FALSE)</f>
        <v>Pianotuoli</v>
      </c>
    </row>
    <row r="3248" spans="1:8" x14ac:dyDescent="0.35">
      <c r="A3248" t="s">
        <v>39</v>
      </c>
      <c r="B3248">
        <v>2015</v>
      </c>
      <c r="C3248">
        <v>12</v>
      </c>
      <c r="D3248">
        <v>24326</v>
      </c>
      <c r="E3248">
        <v>93</v>
      </c>
      <c r="F3248">
        <v>12426.81</v>
      </c>
      <c r="G3248">
        <v>3875.27</v>
      </c>
      <c r="H3248" t="str">
        <f>VLOOKUP(myynnit[[#This Row],[TuoteID]],ohjaus!$A$4:$B$20,2,FALSE)</f>
        <v>Lepotuoli</v>
      </c>
    </row>
    <row r="3249" spans="1:8" x14ac:dyDescent="0.35">
      <c r="A3249" t="s">
        <v>38</v>
      </c>
      <c r="B3249">
        <v>2015</v>
      </c>
      <c r="C3249">
        <v>12</v>
      </c>
      <c r="D3249">
        <v>12184</v>
      </c>
      <c r="E3249">
        <v>46</v>
      </c>
      <c r="F3249">
        <v>6705.24</v>
      </c>
      <c r="G3249">
        <v>3651.1</v>
      </c>
      <c r="H3249" t="str">
        <f>VLOOKUP(myynnit[[#This Row],[TuoteID]],ohjaus!$A$4:$B$20,2,FALSE)</f>
        <v>Rahi</v>
      </c>
    </row>
    <row r="3250" spans="1:8" x14ac:dyDescent="0.35">
      <c r="A3250" t="s">
        <v>38</v>
      </c>
      <c r="B3250">
        <v>2015</v>
      </c>
      <c r="C3250">
        <v>12</v>
      </c>
      <c r="D3250">
        <v>12622</v>
      </c>
      <c r="E3250">
        <v>66</v>
      </c>
      <c r="F3250">
        <v>20866.73</v>
      </c>
      <c r="G3250">
        <v>8971.25</v>
      </c>
      <c r="H3250" t="str">
        <f>VLOOKUP(myynnit[[#This Row],[TuoteID]],ohjaus!$A$4:$B$20,2,FALSE)</f>
        <v>Pianotuoli</v>
      </c>
    </row>
    <row r="3251" spans="1:8" x14ac:dyDescent="0.35">
      <c r="A3251" t="s">
        <v>38</v>
      </c>
      <c r="B3251">
        <v>2015</v>
      </c>
      <c r="C3251">
        <v>12</v>
      </c>
      <c r="D3251">
        <v>13527</v>
      </c>
      <c r="E3251">
        <v>425</v>
      </c>
      <c r="F3251">
        <v>68538.64</v>
      </c>
      <c r="G3251">
        <v>15649.3</v>
      </c>
      <c r="H3251" t="str">
        <f>VLOOKUP(myynnit[[#This Row],[TuoteID]],ohjaus!$A$4:$B$20,2,FALSE)</f>
        <v>Pinnatuoli</v>
      </c>
    </row>
    <row r="3252" spans="1:8" x14ac:dyDescent="0.35">
      <c r="A3252" t="s">
        <v>38</v>
      </c>
      <c r="B3252">
        <v>2015</v>
      </c>
      <c r="C3252">
        <v>12</v>
      </c>
      <c r="D3252">
        <v>13618</v>
      </c>
      <c r="E3252">
        <v>12</v>
      </c>
      <c r="F3252">
        <v>5476.34</v>
      </c>
      <c r="G3252">
        <v>2370.71</v>
      </c>
      <c r="H3252" t="str">
        <f>VLOOKUP(myynnit[[#This Row],[TuoteID]],ohjaus!$A$4:$B$20,2,FALSE)</f>
        <v>Pianotuoli</v>
      </c>
    </row>
    <row r="3253" spans="1:8" x14ac:dyDescent="0.35">
      <c r="A3253" t="s">
        <v>38</v>
      </c>
      <c r="B3253">
        <v>2015</v>
      </c>
      <c r="C3253">
        <v>12</v>
      </c>
      <c r="D3253">
        <v>16024</v>
      </c>
      <c r="E3253">
        <v>187</v>
      </c>
      <c r="F3253">
        <v>81137.899999999994</v>
      </c>
      <c r="G3253">
        <v>18534.28</v>
      </c>
      <c r="H3253" t="str">
        <f>VLOOKUP(myynnit[[#This Row],[TuoteID]],ohjaus!$A$4:$B$20,2,FALSE)</f>
        <v>Työtuoli</v>
      </c>
    </row>
    <row r="3254" spans="1:8" x14ac:dyDescent="0.35">
      <c r="A3254" t="s">
        <v>38</v>
      </c>
      <c r="B3254">
        <v>2015</v>
      </c>
      <c r="C3254">
        <v>12</v>
      </c>
      <c r="D3254">
        <v>16650</v>
      </c>
      <c r="E3254">
        <v>54</v>
      </c>
      <c r="F3254">
        <v>9532.39</v>
      </c>
      <c r="G3254">
        <v>4721.58</v>
      </c>
      <c r="H3254" t="str">
        <f>VLOOKUP(myynnit[[#This Row],[TuoteID]],ohjaus!$A$4:$B$20,2,FALSE)</f>
        <v>Rahi</v>
      </c>
    </row>
    <row r="3255" spans="1:8" x14ac:dyDescent="0.35">
      <c r="A3255" t="s">
        <v>38</v>
      </c>
      <c r="B3255">
        <v>2015</v>
      </c>
      <c r="C3255">
        <v>12</v>
      </c>
      <c r="D3255">
        <v>17892</v>
      </c>
      <c r="E3255">
        <v>72</v>
      </c>
      <c r="F3255">
        <v>9814.84</v>
      </c>
      <c r="G3255">
        <v>2640.46</v>
      </c>
      <c r="H3255" t="str">
        <f>VLOOKUP(myynnit[[#This Row],[TuoteID]],ohjaus!$A$4:$B$20,2,FALSE)</f>
        <v>Lepotuoli</v>
      </c>
    </row>
    <row r="3256" spans="1:8" x14ac:dyDescent="0.35">
      <c r="A3256" t="s">
        <v>38</v>
      </c>
      <c r="B3256">
        <v>2015</v>
      </c>
      <c r="C3256">
        <v>12</v>
      </c>
      <c r="D3256">
        <v>18342</v>
      </c>
      <c r="E3256">
        <v>217</v>
      </c>
      <c r="F3256">
        <v>192603.6</v>
      </c>
      <c r="G3256">
        <v>41064.76</v>
      </c>
      <c r="H3256" t="str">
        <f>VLOOKUP(myynnit[[#This Row],[TuoteID]],ohjaus!$A$4:$B$20,2,FALSE)</f>
        <v>Työtuoli</v>
      </c>
    </row>
    <row r="3257" spans="1:8" x14ac:dyDescent="0.35">
      <c r="A3257" t="s">
        <v>38</v>
      </c>
      <c r="B3257">
        <v>2015</v>
      </c>
      <c r="C3257">
        <v>12</v>
      </c>
      <c r="D3257">
        <v>20177</v>
      </c>
      <c r="E3257">
        <v>56</v>
      </c>
      <c r="F3257">
        <v>6360.71</v>
      </c>
      <c r="G3257">
        <v>2673.24</v>
      </c>
      <c r="H3257" t="str">
        <f>VLOOKUP(myynnit[[#This Row],[TuoteID]],ohjaus!$A$4:$B$20,2,FALSE)</f>
        <v>Säkkituoli</v>
      </c>
    </row>
    <row r="3258" spans="1:8" x14ac:dyDescent="0.35">
      <c r="A3258" t="s">
        <v>38</v>
      </c>
      <c r="B3258">
        <v>2015</v>
      </c>
      <c r="C3258">
        <v>12</v>
      </c>
      <c r="D3258">
        <v>21179</v>
      </c>
      <c r="E3258">
        <v>33</v>
      </c>
      <c r="F3258">
        <v>3388.54</v>
      </c>
      <c r="G3258">
        <v>1893.86</v>
      </c>
      <c r="H3258" t="str">
        <f>VLOOKUP(myynnit[[#This Row],[TuoteID]],ohjaus!$A$4:$B$20,2,FALSE)</f>
        <v>Rahi</v>
      </c>
    </row>
    <row r="3259" spans="1:8" x14ac:dyDescent="0.35">
      <c r="A3259" t="s">
        <v>38</v>
      </c>
      <c r="B3259">
        <v>2015</v>
      </c>
      <c r="C3259">
        <v>12</v>
      </c>
      <c r="D3259">
        <v>21260</v>
      </c>
      <c r="E3259">
        <v>81</v>
      </c>
      <c r="F3259">
        <v>17182.439999999999</v>
      </c>
      <c r="G3259">
        <v>4966.01</v>
      </c>
      <c r="H3259" t="str">
        <f>VLOOKUP(myynnit[[#This Row],[TuoteID]],ohjaus!$A$4:$B$20,2,FALSE)</f>
        <v>Lepotuoli</v>
      </c>
    </row>
    <row r="3260" spans="1:8" x14ac:dyDescent="0.35">
      <c r="A3260" t="s">
        <v>38</v>
      </c>
      <c r="B3260">
        <v>2015</v>
      </c>
      <c r="C3260">
        <v>12</v>
      </c>
      <c r="D3260">
        <v>22317</v>
      </c>
      <c r="E3260">
        <v>44</v>
      </c>
      <c r="F3260">
        <v>4065.43</v>
      </c>
      <c r="G3260">
        <v>1629.74</v>
      </c>
      <c r="H3260" t="str">
        <f>VLOOKUP(myynnit[[#This Row],[TuoteID]],ohjaus!$A$4:$B$20,2,FALSE)</f>
        <v>Säkkituoli</v>
      </c>
    </row>
    <row r="3261" spans="1:8" x14ac:dyDescent="0.35">
      <c r="A3261" t="s">
        <v>38</v>
      </c>
      <c r="B3261">
        <v>2015</v>
      </c>
      <c r="C3261">
        <v>12</v>
      </c>
      <c r="D3261">
        <v>22940</v>
      </c>
      <c r="E3261">
        <v>323</v>
      </c>
      <c r="F3261">
        <v>40251.040000000001</v>
      </c>
      <c r="G3261">
        <v>8905.2000000000007</v>
      </c>
      <c r="H3261" t="str">
        <f>VLOOKUP(myynnit[[#This Row],[TuoteID]],ohjaus!$A$4:$B$20,2,FALSE)</f>
        <v>Pinnatuoli</v>
      </c>
    </row>
    <row r="3262" spans="1:8" x14ac:dyDescent="0.35">
      <c r="A3262" t="s">
        <v>38</v>
      </c>
      <c r="B3262">
        <v>2015</v>
      </c>
      <c r="C3262">
        <v>12</v>
      </c>
      <c r="D3262">
        <v>23178</v>
      </c>
      <c r="E3262">
        <v>268</v>
      </c>
      <c r="F3262">
        <v>45324.24</v>
      </c>
      <c r="G3262">
        <v>9022.19</v>
      </c>
      <c r="H3262" t="str">
        <f>VLOOKUP(myynnit[[#This Row],[TuoteID]],ohjaus!$A$4:$B$20,2,FALSE)</f>
        <v>Pinnatuoli</v>
      </c>
    </row>
    <row r="3263" spans="1:8" x14ac:dyDescent="0.35">
      <c r="A3263" t="s">
        <v>38</v>
      </c>
      <c r="B3263">
        <v>2015</v>
      </c>
      <c r="C3263">
        <v>12</v>
      </c>
      <c r="D3263">
        <v>23600</v>
      </c>
      <c r="E3263">
        <v>731</v>
      </c>
      <c r="F3263">
        <v>76446.58</v>
      </c>
      <c r="G3263">
        <v>15880.57</v>
      </c>
      <c r="H3263" t="str">
        <f>VLOOKUP(myynnit[[#This Row],[TuoteID]],ohjaus!$A$4:$B$20,2,FALSE)</f>
        <v>Pinnatuoli</v>
      </c>
    </row>
    <row r="3264" spans="1:8" x14ac:dyDescent="0.35">
      <c r="A3264" t="s">
        <v>38</v>
      </c>
      <c r="B3264">
        <v>2015</v>
      </c>
      <c r="C3264">
        <v>12</v>
      </c>
      <c r="D3264">
        <v>23756</v>
      </c>
      <c r="E3264">
        <v>56</v>
      </c>
      <c r="F3264">
        <v>10253.120000000001</v>
      </c>
      <c r="G3264">
        <v>4824.82</v>
      </c>
      <c r="H3264" t="str">
        <f>VLOOKUP(myynnit[[#This Row],[TuoteID]],ohjaus!$A$4:$B$20,2,FALSE)</f>
        <v>Pianotuoli</v>
      </c>
    </row>
    <row r="3265" spans="1:8" x14ac:dyDescent="0.35">
      <c r="A3265" t="s">
        <v>38</v>
      </c>
      <c r="B3265">
        <v>2015</v>
      </c>
      <c r="C3265">
        <v>12</v>
      </c>
      <c r="D3265">
        <v>24326</v>
      </c>
      <c r="E3265">
        <v>96</v>
      </c>
      <c r="F3265">
        <v>14677.8</v>
      </c>
      <c r="G3265">
        <v>3485.93</v>
      </c>
      <c r="H3265" t="str">
        <f>VLOOKUP(myynnit[[#This Row],[TuoteID]],ohjaus!$A$4:$B$20,2,FALSE)</f>
        <v>Lepotuoli</v>
      </c>
    </row>
    <row r="3266" spans="1:8" x14ac:dyDescent="0.35">
      <c r="A3266" t="s">
        <v>37</v>
      </c>
      <c r="B3266">
        <v>2016</v>
      </c>
      <c r="C3266">
        <v>1</v>
      </c>
      <c r="D3266">
        <v>12184</v>
      </c>
      <c r="E3266">
        <v>97</v>
      </c>
      <c r="F3266">
        <v>12914.93</v>
      </c>
      <c r="G3266">
        <v>7020.93</v>
      </c>
      <c r="H3266" t="str">
        <f>VLOOKUP(myynnit[[#This Row],[TuoteID]],ohjaus!$A$4:$B$20,2,FALSE)</f>
        <v>Rahi</v>
      </c>
    </row>
    <row r="3267" spans="1:8" x14ac:dyDescent="0.35">
      <c r="A3267" t="s">
        <v>37</v>
      </c>
      <c r="B3267">
        <v>2016</v>
      </c>
      <c r="C3267">
        <v>1</v>
      </c>
      <c r="D3267">
        <v>12622</v>
      </c>
      <c r="E3267">
        <v>71</v>
      </c>
      <c r="F3267">
        <v>16349.02</v>
      </c>
      <c r="G3267">
        <v>7461.5</v>
      </c>
      <c r="H3267" t="str">
        <f>VLOOKUP(myynnit[[#This Row],[TuoteID]],ohjaus!$A$4:$B$20,2,FALSE)</f>
        <v>Pianotuoli</v>
      </c>
    </row>
    <row r="3268" spans="1:8" x14ac:dyDescent="0.35">
      <c r="A3268" t="s">
        <v>37</v>
      </c>
      <c r="B3268">
        <v>2016</v>
      </c>
      <c r="C3268">
        <v>1</v>
      </c>
      <c r="D3268">
        <v>13527</v>
      </c>
      <c r="E3268">
        <v>531</v>
      </c>
      <c r="F3268">
        <v>82590.600000000006</v>
      </c>
      <c r="G3268">
        <v>17416</v>
      </c>
      <c r="H3268" t="str">
        <f>VLOOKUP(myynnit[[#This Row],[TuoteID]],ohjaus!$A$4:$B$20,2,FALSE)</f>
        <v>Pinnatuoli</v>
      </c>
    </row>
    <row r="3269" spans="1:8" x14ac:dyDescent="0.35">
      <c r="A3269" t="s">
        <v>37</v>
      </c>
      <c r="B3269">
        <v>2016</v>
      </c>
      <c r="C3269">
        <v>1</v>
      </c>
      <c r="D3269">
        <v>13618</v>
      </c>
      <c r="E3269">
        <v>22</v>
      </c>
      <c r="F3269">
        <v>9570.84</v>
      </c>
      <c r="G3269">
        <v>4119.07</v>
      </c>
      <c r="H3269" t="str">
        <f>VLOOKUP(myynnit[[#This Row],[TuoteID]],ohjaus!$A$4:$B$20,2,FALSE)</f>
        <v>Pianotuoli</v>
      </c>
    </row>
    <row r="3270" spans="1:8" x14ac:dyDescent="0.35">
      <c r="A3270" t="s">
        <v>37</v>
      </c>
      <c r="B3270">
        <v>2016</v>
      </c>
      <c r="C3270">
        <v>1</v>
      </c>
      <c r="D3270">
        <v>16024</v>
      </c>
      <c r="E3270">
        <v>335</v>
      </c>
      <c r="F3270">
        <v>149740.03</v>
      </c>
      <c r="G3270">
        <v>47503.62</v>
      </c>
      <c r="H3270" t="str">
        <f>VLOOKUP(myynnit[[#This Row],[TuoteID]],ohjaus!$A$4:$B$20,2,FALSE)</f>
        <v>Työtuoli</v>
      </c>
    </row>
    <row r="3271" spans="1:8" x14ac:dyDescent="0.35">
      <c r="A3271" t="s">
        <v>37</v>
      </c>
      <c r="B3271">
        <v>2016</v>
      </c>
      <c r="C3271">
        <v>1</v>
      </c>
      <c r="D3271">
        <v>16650</v>
      </c>
      <c r="E3271">
        <v>50</v>
      </c>
      <c r="F3271">
        <v>7425.74</v>
      </c>
      <c r="G3271">
        <v>3183.96</v>
      </c>
      <c r="H3271" t="str">
        <f>VLOOKUP(myynnit[[#This Row],[TuoteID]],ohjaus!$A$4:$B$20,2,FALSE)</f>
        <v>Rahi</v>
      </c>
    </row>
    <row r="3272" spans="1:8" x14ac:dyDescent="0.35">
      <c r="A3272" t="s">
        <v>37</v>
      </c>
      <c r="B3272">
        <v>2016</v>
      </c>
      <c r="C3272">
        <v>1</v>
      </c>
      <c r="D3272">
        <v>17892</v>
      </c>
      <c r="E3272">
        <v>79</v>
      </c>
      <c r="F3272">
        <v>12361.22</v>
      </c>
      <c r="G3272">
        <v>3822.66</v>
      </c>
      <c r="H3272" t="str">
        <f>VLOOKUP(myynnit[[#This Row],[TuoteID]],ohjaus!$A$4:$B$20,2,FALSE)</f>
        <v>Lepotuoli</v>
      </c>
    </row>
    <row r="3273" spans="1:8" x14ac:dyDescent="0.35">
      <c r="A3273" t="s">
        <v>37</v>
      </c>
      <c r="B3273">
        <v>2016</v>
      </c>
      <c r="C3273">
        <v>1</v>
      </c>
      <c r="D3273">
        <v>18342</v>
      </c>
      <c r="E3273">
        <v>181</v>
      </c>
      <c r="F3273">
        <v>138669.20000000001</v>
      </c>
      <c r="G3273">
        <v>35034.32</v>
      </c>
      <c r="H3273" t="str">
        <f>VLOOKUP(myynnit[[#This Row],[TuoteID]],ohjaus!$A$4:$B$20,2,FALSE)</f>
        <v>Työtuoli</v>
      </c>
    </row>
    <row r="3274" spans="1:8" x14ac:dyDescent="0.35">
      <c r="A3274" t="s">
        <v>37</v>
      </c>
      <c r="B3274">
        <v>2016</v>
      </c>
      <c r="C3274">
        <v>1</v>
      </c>
      <c r="D3274">
        <v>20177</v>
      </c>
      <c r="E3274">
        <v>60</v>
      </c>
      <c r="F3274">
        <v>5175.05</v>
      </c>
      <c r="G3274">
        <v>1905.03</v>
      </c>
      <c r="H3274" t="str">
        <f>VLOOKUP(myynnit[[#This Row],[TuoteID]],ohjaus!$A$4:$B$20,2,FALSE)</f>
        <v>Säkkituoli</v>
      </c>
    </row>
    <row r="3275" spans="1:8" x14ac:dyDescent="0.35">
      <c r="A3275" t="s">
        <v>37</v>
      </c>
      <c r="B3275">
        <v>2016</v>
      </c>
      <c r="C3275">
        <v>1</v>
      </c>
      <c r="D3275">
        <v>21179</v>
      </c>
      <c r="E3275">
        <v>31</v>
      </c>
      <c r="F3275">
        <v>3869.77</v>
      </c>
      <c r="G3275">
        <v>2059.2199999999998</v>
      </c>
      <c r="H3275" t="str">
        <f>VLOOKUP(myynnit[[#This Row],[TuoteID]],ohjaus!$A$4:$B$20,2,FALSE)</f>
        <v>Rahi</v>
      </c>
    </row>
    <row r="3276" spans="1:8" x14ac:dyDescent="0.35">
      <c r="A3276" t="s">
        <v>37</v>
      </c>
      <c r="B3276">
        <v>2016</v>
      </c>
      <c r="C3276">
        <v>1</v>
      </c>
      <c r="D3276">
        <v>21260</v>
      </c>
      <c r="E3276">
        <v>64</v>
      </c>
      <c r="F3276">
        <v>11188.13</v>
      </c>
      <c r="G3276">
        <v>3326.74</v>
      </c>
      <c r="H3276" t="str">
        <f>VLOOKUP(myynnit[[#This Row],[TuoteID]],ohjaus!$A$4:$B$20,2,FALSE)</f>
        <v>Lepotuoli</v>
      </c>
    </row>
    <row r="3277" spans="1:8" x14ac:dyDescent="0.35">
      <c r="A3277" t="s">
        <v>37</v>
      </c>
      <c r="B3277">
        <v>2016</v>
      </c>
      <c r="C3277">
        <v>1</v>
      </c>
      <c r="D3277">
        <v>22317</v>
      </c>
      <c r="E3277">
        <v>72</v>
      </c>
      <c r="F3277">
        <v>6535.38</v>
      </c>
      <c r="G3277">
        <v>2738.79</v>
      </c>
      <c r="H3277" t="str">
        <f>VLOOKUP(myynnit[[#This Row],[TuoteID]],ohjaus!$A$4:$B$20,2,FALSE)</f>
        <v>Säkkituoli</v>
      </c>
    </row>
    <row r="3278" spans="1:8" x14ac:dyDescent="0.35">
      <c r="A3278" t="s">
        <v>37</v>
      </c>
      <c r="B3278">
        <v>2016</v>
      </c>
      <c r="C3278">
        <v>1</v>
      </c>
      <c r="D3278">
        <v>22940</v>
      </c>
      <c r="E3278">
        <v>641</v>
      </c>
      <c r="F3278">
        <v>88027.91</v>
      </c>
      <c r="G3278">
        <v>17094.39</v>
      </c>
      <c r="H3278" t="str">
        <f>VLOOKUP(myynnit[[#This Row],[TuoteID]],ohjaus!$A$4:$B$20,2,FALSE)</f>
        <v>Pinnatuoli</v>
      </c>
    </row>
    <row r="3279" spans="1:8" x14ac:dyDescent="0.35">
      <c r="A3279" t="s">
        <v>37</v>
      </c>
      <c r="B3279">
        <v>2016</v>
      </c>
      <c r="C3279">
        <v>1</v>
      </c>
      <c r="D3279">
        <v>23178</v>
      </c>
      <c r="E3279">
        <v>172</v>
      </c>
      <c r="F3279">
        <v>28347.07</v>
      </c>
      <c r="G3279">
        <v>5500.28</v>
      </c>
      <c r="H3279" t="str">
        <f>VLOOKUP(myynnit[[#This Row],[TuoteID]],ohjaus!$A$4:$B$20,2,FALSE)</f>
        <v>Pinnatuoli</v>
      </c>
    </row>
    <row r="3280" spans="1:8" x14ac:dyDescent="0.35">
      <c r="A3280" t="s">
        <v>37</v>
      </c>
      <c r="B3280">
        <v>2016</v>
      </c>
      <c r="C3280">
        <v>1</v>
      </c>
      <c r="D3280">
        <v>23600</v>
      </c>
      <c r="E3280">
        <v>1336</v>
      </c>
      <c r="F3280">
        <v>154190.73000000001</v>
      </c>
      <c r="G3280">
        <v>31515.72</v>
      </c>
      <c r="H3280" t="str">
        <f>VLOOKUP(myynnit[[#This Row],[TuoteID]],ohjaus!$A$4:$B$20,2,FALSE)</f>
        <v>Pinnatuoli</v>
      </c>
    </row>
    <row r="3281" spans="1:8" x14ac:dyDescent="0.35">
      <c r="A3281" t="s">
        <v>37</v>
      </c>
      <c r="B3281">
        <v>2016</v>
      </c>
      <c r="C3281">
        <v>1</v>
      </c>
      <c r="D3281">
        <v>23756</v>
      </c>
      <c r="E3281">
        <v>57</v>
      </c>
      <c r="F3281">
        <v>11333.1</v>
      </c>
      <c r="G3281">
        <v>5693.98</v>
      </c>
      <c r="H3281" t="str">
        <f>VLOOKUP(myynnit[[#This Row],[TuoteID]],ohjaus!$A$4:$B$20,2,FALSE)</f>
        <v>Pianotuoli</v>
      </c>
    </row>
    <row r="3282" spans="1:8" x14ac:dyDescent="0.35">
      <c r="A3282" t="s">
        <v>37</v>
      </c>
      <c r="B3282">
        <v>2016</v>
      </c>
      <c r="C3282">
        <v>1</v>
      </c>
      <c r="D3282">
        <v>24326</v>
      </c>
      <c r="E3282">
        <v>130</v>
      </c>
      <c r="F3282">
        <v>16461.73</v>
      </c>
      <c r="G3282">
        <v>5221.29</v>
      </c>
      <c r="H3282" t="str">
        <f>VLOOKUP(myynnit[[#This Row],[TuoteID]],ohjaus!$A$4:$B$20,2,FALSE)</f>
        <v>Lepotuoli</v>
      </c>
    </row>
    <row r="3283" spans="1:8" x14ac:dyDescent="0.35">
      <c r="A3283" t="s">
        <v>40</v>
      </c>
      <c r="B3283">
        <v>2016</v>
      </c>
      <c r="C3283">
        <v>1</v>
      </c>
      <c r="D3283">
        <v>12184</v>
      </c>
      <c r="E3283">
        <v>28</v>
      </c>
      <c r="F3283">
        <v>3618.36</v>
      </c>
      <c r="G3283">
        <v>2051.15</v>
      </c>
      <c r="H3283" t="str">
        <f>VLOOKUP(myynnit[[#This Row],[TuoteID]],ohjaus!$A$4:$B$20,2,FALSE)</f>
        <v>Rahi</v>
      </c>
    </row>
    <row r="3284" spans="1:8" x14ac:dyDescent="0.35">
      <c r="A3284" t="s">
        <v>40</v>
      </c>
      <c r="B3284">
        <v>2016</v>
      </c>
      <c r="C3284">
        <v>1</v>
      </c>
      <c r="D3284">
        <v>12622</v>
      </c>
      <c r="E3284">
        <v>21</v>
      </c>
      <c r="F3284">
        <v>6156.95</v>
      </c>
      <c r="G3284">
        <v>2428.81</v>
      </c>
      <c r="H3284" t="str">
        <f>VLOOKUP(myynnit[[#This Row],[TuoteID]],ohjaus!$A$4:$B$20,2,FALSE)</f>
        <v>Pianotuoli</v>
      </c>
    </row>
    <row r="3285" spans="1:8" x14ac:dyDescent="0.35">
      <c r="A3285" t="s">
        <v>40</v>
      </c>
      <c r="B3285">
        <v>2016</v>
      </c>
      <c r="C3285">
        <v>1</v>
      </c>
      <c r="D3285">
        <v>13527</v>
      </c>
      <c r="E3285">
        <v>255</v>
      </c>
      <c r="F3285">
        <v>38447.18</v>
      </c>
      <c r="G3285">
        <v>6859.93</v>
      </c>
      <c r="H3285" t="str">
        <f>VLOOKUP(myynnit[[#This Row],[TuoteID]],ohjaus!$A$4:$B$20,2,FALSE)</f>
        <v>Pinnatuoli</v>
      </c>
    </row>
    <row r="3286" spans="1:8" x14ac:dyDescent="0.35">
      <c r="A3286" t="s">
        <v>40</v>
      </c>
      <c r="B3286">
        <v>2016</v>
      </c>
      <c r="C3286">
        <v>1</v>
      </c>
      <c r="D3286">
        <v>13618</v>
      </c>
      <c r="E3286">
        <v>3</v>
      </c>
      <c r="F3286">
        <v>1296.06</v>
      </c>
      <c r="G3286">
        <v>505.13</v>
      </c>
      <c r="H3286" t="str">
        <f>VLOOKUP(myynnit[[#This Row],[TuoteID]],ohjaus!$A$4:$B$20,2,FALSE)</f>
        <v>Pianotuoli</v>
      </c>
    </row>
    <row r="3287" spans="1:8" x14ac:dyDescent="0.35">
      <c r="A3287" t="s">
        <v>40</v>
      </c>
      <c r="B3287">
        <v>2016</v>
      </c>
      <c r="C3287">
        <v>1</v>
      </c>
      <c r="D3287">
        <v>16024</v>
      </c>
      <c r="E3287">
        <v>202</v>
      </c>
      <c r="F3287">
        <v>82809.100000000006</v>
      </c>
      <c r="G3287">
        <v>28668.41</v>
      </c>
      <c r="H3287" t="str">
        <f>VLOOKUP(myynnit[[#This Row],[TuoteID]],ohjaus!$A$4:$B$20,2,FALSE)</f>
        <v>Työtuoli</v>
      </c>
    </row>
    <row r="3288" spans="1:8" x14ac:dyDescent="0.35">
      <c r="A3288" t="s">
        <v>40</v>
      </c>
      <c r="B3288">
        <v>2016</v>
      </c>
      <c r="C3288">
        <v>1</v>
      </c>
      <c r="D3288">
        <v>16650</v>
      </c>
      <c r="E3288">
        <v>32</v>
      </c>
      <c r="F3288">
        <v>3965.89</v>
      </c>
      <c r="G3288">
        <v>2683.55</v>
      </c>
      <c r="H3288" t="str">
        <f>VLOOKUP(myynnit[[#This Row],[TuoteID]],ohjaus!$A$4:$B$20,2,FALSE)</f>
        <v>Rahi</v>
      </c>
    </row>
    <row r="3289" spans="1:8" x14ac:dyDescent="0.35">
      <c r="A3289" t="s">
        <v>40</v>
      </c>
      <c r="B3289">
        <v>2016</v>
      </c>
      <c r="C3289">
        <v>1</v>
      </c>
      <c r="D3289">
        <v>17892</v>
      </c>
      <c r="E3289">
        <v>64</v>
      </c>
      <c r="F3289">
        <v>8554.39</v>
      </c>
      <c r="G3289">
        <v>1931.39</v>
      </c>
      <c r="H3289" t="str">
        <f>VLOOKUP(myynnit[[#This Row],[TuoteID]],ohjaus!$A$4:$B$20,2,FALSE)</f>
        <v>Lepotuoli</v>
      </c>
    </row>
    <row r="3290" spans="1:8" x14ac:dyDescent="0.35">
      <c r="A3290" t="s">
        <v>40</v>
      </c>
      <c r="B3290">
        <v>2016</v>
      </c>
      <c r="C3290">
        <v>1</v>
      </c>
      <c r="D3290">
        <v>18342</v>
      </c>
      <c r="E3290">
        <v>17</v>
      </c>
      <c r="F3290">
        <v>13084.86</v>
      </c>
      <c r="G3290">
        <v>4460.8100000000004</v>
      </c>
      <c r="H3290" t="str">
        <f>VLOOKUP(myynnit[[#This Row],[TuoteID]],ohjaus!$A$4:$B$20,2,FALSE)</f>
        <v>Työtuoli</v>
      </c>
    </row>
    <row r="3291" spans="1:8" x14ac:dyDescent="0.35">
      <c r="A3291" t="s">
        <v>40</v>
      </c>
      <c r="B3291">
        <v>2016</v>
      </c>
      <c r="C3291">
        <v>1</v>
      </c>
      <c r="D3291">
        <v>20177</v>
      </c>
      <c r="E3291">
        <v>28</v>
      </c>
      <c r="F3291">
        <v>3280.13</v>
      </c>
      <c r="G3291">
        <v>1380.49</v>
      </c>
      <c r="H3291" t="str">
        <f>VLOOKUP(myynnit[[#This Row],[TuoteID]],ohjaus!$A$4:$B$20,2,FALSE)</f>
        <v>Säkkituoli</v>
      </c>
    </row>
    <row r="3292" spans="1:8" x14ac:dyDescent="0.35">
      <c r="A3292" t="s">
        <v>40</v>
      </c>
      <c r="B3292">
        <v>2016</v>
      </c>
      <c r="C3292">
        <v>1</v>
      </c>
      <c r="D3292">
        <v>21179</v>
      </c>
      <c r="E3292">
        <v>42</v>
      </c>
      <c r="F3292">
        <v>5070.72</v>
      </c>
      <c r="G3292">
        <v>2648.18</v>
      </c>
      <c r="H3292" t="str">
        <f>VLOOKUP(myynnit[[#This Row],[TuoteID]],ohjaus!$A$4:$B$20,2,FALSE)</f>
        <v>Rahi</v>
      </c>
    </row>
    <row r="3293" spans="1:8" x14ac:dyDescent="0.35">
      <c r="A3293" t="s">
        <v>40</v>
      </c>
      <c r="B3293">
        <v>2016</v>
      </c>
      <c r="C3293">
        <v>1</v>
      </c>
      <c r="D3293">
        <v>21260</v>
      </c>
      <c r="E3293">
        <v>35</v>
      </c>
      <c r="F3293">
        <v>6725.3</v>
      </c>
      <c r="G3293">
        <v>1681.61</v>
      </c>
      <c r="H3293" t="str">
        <f>VLOOKUP(myynnit[[#This Row],[TuoteID]],ohjaus!$A$4:$B$20,2,FALSE)</f>
        <v>Lepotuoli</v>
      </c>
    </row>
    <row r="3294" spans="1:8" x14ac:dyDescent="0.35">
      <c r="A3294" t="s">
        <v>40</v>
      </c>
      <c r="B3294">
        <v>2016</v>
      </c>
      <c r="C3294">
        <v>1</v>
      </c>
      <c r="D3294">
        <v>22317</v>
      </c>
      <c r="E3294">
        <v>11</v>
      </c>
      <c r="F3294">
        <v>828.59</v>
      </c>
      <c r="G3294">
        <v>387.11</v>
      </c>
      <c r="H3294" t="str">
        <f>VLOOKUP(myynnit[[#This Row],[TuoteID]],ohjaus!$A$4:$B$20,2,FALSE)</f>
        <v>Säkkituoli</v>
      </c>
    </row>
    <row r="3295" spans="1:8" x14ac:dyDescent="0.35">
      <c r="A3295" t="s">
        <v>40</v>
      </c>
      <c r="B3295">
        <v>2016</v>
      </c>
      <c r="C3295">
        <v>1</v>
      </c>
      <c r="D3295">
        <v>22940</v>
      </c>
      <c r="E3295">
        <v>229</v>
      </c>
      <c r="F3295">
        <v>30373.87</v>
      </c>
      <c r="G3295">
        <v>7754.19</v>
      </c>
      <c r="H3295" t="str">
        <f>VLOOKUP(myynnit[[#This Row],[TuoteID]],ohjaus!$A$4:$B$20,2,FALSE)</f>
        <v>Pinnatuoli</v>
      </c>
    </row>
    <row r="3296" spans="1:8" x14ac:dyDescent="0.35">
      <c r="A3296" t="s">
        <v>40</v>
      </c>
      <c r="B3296">
        <v>2016</v>
      </c>
      <c r="C3296">
        <v>1</v>
      </c>
      <c r="D3296">
        <v>23178</v>
      </c>
      <c r="E3296">
        <v>300</v>
      </c>
      <c r="F3296">
        <v>56032.13</v>
      </c>
      <c r="G3296">
        <v>15144.73</v>
      </c>
      <c r="H3296" t="str">
        <f>VLOOKUP(myynnit[[#This Row],[TuoteID]],ohjaus!$A$4:$B$20,2,FALSE)</f>
        <v>Pinnatuoli</v>
      </c>
    </row>
    <row r="3297" spans="1:8" x14ac:dyDescent="0.35">
      <c r="A3297" t="s">
        <v>40</v>
      </c>
      <c r="B3297">
        <v>2016</v>
      </c>
      <c r="C3297">
        <v>1</v>
      </c>
      <c r="D3297">
        <v>23600</v>
      </c>
      <c r="E3297">
        <v>657</v>
      </c>
      <c r="F3297">
        <v>76600.7</v>
      </c>
      <c r="G3297">
        <v>17596.560000000001</v>
      </c>
      <c r="H3297" t="str">
        <f>VLOOKUP(myynnit[[#This Row],[TuoteID]],ohjaus!$A$4:$B$20,2,FALSE)</f>
        <v>Pinnatuoli</v>
      </c>
    </row>
    <row r="3298" spans="1:8" x14ac:dyDescent="0.35">
      <c r="A3298" t="s">
        <v>40</v>
      </c>
      <c r="B3298">
        <v>2016</v>
      </c>
      <c r="C3298">
        <v>1</v>
      </c>
      <c r="D3298">
        <v>23756</v>
      </c>
      <c r="E3298">
        <v>48</v>
      </c>
      <c r="F3298">
        <v>9359.76</v>
      </c>
      <c r="G3298">
        <v>3830.53</v>
      </c>
      <c r="H3298" t="str">
        <f>VLOOKUP(myynnit[[#This Row],[TuoteID]],ohjaus!$A$4:$B$20,2,FALSE)</f>
        <v>Pianotuoli</v>
      </c>
    </row>
    <row r="3299" spans="1:8" x14ac:dyDescent="0.35">
      <c r="A3299" t="s">
        <v>40</v>
      </c>
      <c r="B3299">
        <v>2016</v>
      </c>
      <c r="C3299">
        <v>1</v>
      </c>
      <c r="D3299">
        <v>24326</v>
      </c>
      <c r="E3299">
        <v>24</v>
      </c>
      <c r="F3299">
        <v>3625.21</v>
      </c>
      <c r="G3299">
        <v>1107.0899999999999</v>
      </c>
      <c r="H3299" t="str">
        <f>VLOOKUP(myynnit[[#This Row],[TuoteID]],ohjaus!$A$4:$B$20,2,FALSE)</f>
        <v>Lepotuoli</v>
      </c>
    </row>
    <row r="3300" spans="1:8" x14ac:dyDescent="0.35">
      <c r="A3300" t="s">
        <v>39</v>
      </c>
      <c r="B3300">
        <v>2016</v>
      </c>
      <c r="C3300">
        <v>1</v>
      </c>
      <c r="D3300">
        <v>12184</v>
      </c>
      <c r="E3300">
        <v>78</v>
      </c>
      <c r="F3300">
        <v>8481.8700000000008</v>
      </c>
      <c r="G3300">
        <v>5347.18</v>
      </c>
      <c r="H3300" t="str">
        <f>VLOOKUP(myynnit[[#This Row],[TuoteID]],ohjaus!$A$4:$B$20,2,FALSE)</f>
        <v>Rahi</v>
      </c>
    </row>
    <row r="3301" spans="1:8" x14ac:dyDescent="0.35">
      <c r="A3301" t="s">
        <v>39</v>
      </c>
      <c r="B3301">
        <v>2016</v>
      </c>
      <c r="C3301">
        <v>1</v>
      </c>
      <c r="D3301">
        <v>12622</v>
      </c>
      <c r="E3301">
        <v>56</v>
      </c>
      <c r="F3301">
        <v>18622.98</v>
      </c>
      <c r="G3301">
        <v>10497.5</v>
      </c>
      <c r="H3301" t="str">
        <f>VLOOKUP(myynnit[[#This Row],[TuoteID]],ohjaus!$A$4:$B$20,2,FALSE)</f>
        <v>Pianotuoli</v>
      </c>
    </row>
    <row r="3302" spans="1:8" x14ac:dyDescent="0.35">
      <c r="A3302" t="s">
        <v>39</v>
      </c>
      <c r="B3302">
        <v>2016</v>
      </c>
      <c r="C3302">
        <v>1</v>
      </c>
      <c r="D3302">
        <v>13527</v>
      </c>
      <c r="E3302">
        <v>361</v>
      </c>
      <c r="F3302">
        <v>61634.87</v>
      </c>
      <c r="G3302">
        <v>16972.07</v>
      </c>
      <c r="H3302" t="str">
        <f>VLOOKUP(myynnit[[#This Row],[TuoteID]],ohjaus!$A$4:$B$20,2,FALSE)</f>
        <v>Pinnatuoli</v>
      </c>
    </row>
    <row r="3303" spans="1:8" x14ac:dyDescent="0.35">
      <c r="A3303" t="s">
        <v>39</v>
      </c>
      <c r="B3303">
        <v>2016</v>
      </c>
      <c r="C3303">
        <v>1</v>
      </c>
      <c r="D3303">
        <v>13618</v>
      </c>
      <c r="E3303">
        <v>29</v>
      </c>
      <c r="F3303">
        <v>11259.26</v>
      </c>
      <c r="G3303">
        <v>6170.77</v>
      </c>
      <c r="H3303" t="str">
        <f>VLOOKUP(myynnit[[#This Row],[TuoteID]],ohjaus!$A$4:$B$20,2,FALSE)</f>
        <v>Pianotuoli</v>
      </c>
    </row>
    <row r="3304" spans="1:8" x14ac:dyDescent="0.35">
      <c r="A3304" t="s">
        <v>39</v>
      </c>
      <c r="B3304">
        <v>2016</v>
      </c>
      <c r="C3304">
        <v>1</v>
      </c>
      <c r="D3304">
        <v>16024</v>
      </c>
      <c r="E3304">
        <v>249</v>
      </c>
      <c r="F3304">
        <v>112672.13</v>
      </c>
      <c r="G3304">
        <v>37790.730000000003</v>
      </c>
      <c r="H3304" t="str">
        <f>VLOOKUP(myynnit[[#This Row],[TuoteID]],ohjaus!$A$4:$B$20,2,FALSE)</f>
        <v>Työtuoli</v>
      </c>
    </row>
    <row r="3305" spans="1:8" x14ac:dyDescent="0.35">
      <c r="A3305" t="s">
        <v>39</v>
      </c>
      <c r="B3305">
        <v>2016</v>
      </c>
      <c r="C3305">
        <v>1</v>
      </c>
      <c r="D3305">
        <v>16650</v>
      </c>
      <c r="E3305">
        <v>33</v>
      </c>
      <c r="F3305">
        <v>5433.45</v>
      </c>
      <c r="G3305">
        <v>3298.52</v>
      </c>
      <c r="H3305" t="str">
        <f>VLOOKUP(myynnit[[#This Row],[TuoteID]],ohjaus!$A$4:$B$20,2,FALSE)</f>
        <v>Rahi</v>
      </c>
    </row>
    <row r="3306" spans="1:8" x14ac:dyDescent="0.35">
      <c r="A3306" t="s">
        <v>39</v>
      </c>
      <c r="B3306">
        <v>2016</v>
      </c>
      <c r="C3306">
        <v>1</v>
      </c>
      <c r="D3306">
        <v>17892</v>
      </c>
      <c r="E3306">
        <v>100</v>
      </c>
      <c r="F3306">
        <v>13354.36</v>
      </c>
      <c r="G3306">
        <v>4657.3999999999996</v>
      </c>
      <c r="H3306" t="str">
        <f>VLOOKUP(myynnit[[#This Row],[TuoteID]],ohjaus!$A$4:$B$20,2,FALSE)</f>
        <v>Lepotuoli</v>
      </c>
    </row>
    <row r="3307" spans="1:8" x14ac:dyDescent="0.35">
      <c r="A3307" t="s">
        <v>39</v>
      </c>
      <c r="B3307">
        <v>2016</v>
      </c>
      <c r="C3307">
        <v>1</v>
      </c>
      <c r="D3307">
        <v>18342</v>
      </c>
      <c r="E3307">
        <v>175</v>
      </c>
      <c r="F3307">
        <v>157593.10999999999</v>
      </c>
      <c r="G3307">
        <v>53547.16</v>
      </c>
      <c r="H3307" t="str">
        <f>VLOOKUP(myynnit[[#This Row],[TuoteID]],ohjaus!$A$4:$B$20,2,FALSE)</f>
        <v>Työtuoli</v>
      </c>
    </row>
    <row r="3308" spans="1:8" x14ac:dyDescent="0.35">
      <c r="A3308" t="s">
        <v>39</v>
      </c>
      <c r="B3308">
        <v>2016</v>
      </c>
      <c r="C3308">
        <v>1</v>
      </c>
      <c r="D3308">
        <v>20177</v>
      </c>
      <c r="E3308">
        <v>88</v>
      </c>
      <c r="F3308">
        <v>9655.52</v>
      </c>
      <c r="G3308">
        <v>4121.37</v>
      </c>
      <c r="H3308" t="str">
        <f>VLOOKUP(myynnit[[#This Row],[TuoteID]],ohjaus!$A$4:$B$20,2,FALSE)</f>
        <v>Säkkituoli</v>
      </c>
    </row>
    <row r="3309" spans="1:8" x14ac:dyDescent="0.35">
      <c r="A3309" t="s">
        <v>39</v>
      </c>
      <c r="B3309">
        <v>2016</v>
      </c>
      <c r="C3309">
        <v>1</v>
      </c>
      <c r="D3309">
        <v>21179</v>
      </c>
      <c r="E3309">
        <v>71</v>
      </c>
      <c r="F3309">
        <v>8172.9</v>
      </c>
      <c r="G3309">
        <v>5422.58</v>
      </c>
      <c r="H3309" t="str">
        <f>VLOOKUP(myynnit[[#This Row],[TuoteID]],ohjaus!$A$4:$B$20,2,FALSE)</f>
        <v>Rahi</v>
      </c>
    </row>
    <row r="3310" spans="1:8" x14ac:dyDescent="0.35">
      <c r="A3310" t="s">
        <v>39</v>
      </c>
      <c r="B3310">
        <v>2016</v>
      </c>
      <c r="C3310">
        <v>1</v>
      </c>
      <c r="D3310">
        <v>21260</v>
      </c>
      <c r="E3310">
        <v>34</v>
      </c>
      <c r="F3310">
        <v>7357.61</v>
      </c>
      <c r="G3310">
        <v>2256.3000000000002</v>
      </c>
      <c r="H3310" t="str">
        <f>VLOOKUP(myynnit[[#This Row],[TuoteID]],ohjaus!$A$4:$B$20,2,FALSE)</f>
        <v>Lepotuoli</v>
      </c>
    </row>
    <row r="3311" spans="1:8" x14ac:dyDescent="0.35">
      <c r="A3311" t="s">
        <v>39</v>
      </c>
      <c r="B3311">
        <v>2016</v>
      </c>
      <c r="C3311">
        <v>1</v>
      </c>
      <c r="D3311">
        <v>22317</v>
      </c>
      <c r="E3311">
        <v>46</v>
      </c>
      <c r="F3311">
        <v>3624.83</v>
      </c>
      <c r="G3311">
        <v>1612.98</v>
      </c>
      <c r="H3311" t="str">
        <f>VLOOKUP(myynnit[[#This Row],[TuoteID]],ohjaus!$A$4:$B$20,2,FALSE)</f>
        <v>Säkkituoli</v>
      </c>
    </row>
    <row r="3312" spans="1:8" x14ac:dyDescent="0.35">
      <c r="A3312" t="s">
        <v>39</v>
      </c>
      <c r="B3312">
        <v>2016</v>
      </c>
      <c r="C3312">
        <v>1</v>
      </c>
      <c r="D3312">
        <v>22940</v>
      </c>
      <c r="E3312">
        <v>307</v>
      </c>
      <c r="F3312">
        <v>42423.07</v>
      </c>
      <c r="G3312">
        <v>10777.25</v>
      </c>
      <c r="H3312" t="str">
        <f>VLOOKUP(myynnit[[#This Row],[TuoteID]],ohjaus!$A$4:$B$20,2,FALSE)</f>
        <v>Pinnatuoli</v>
      </c>
    </row>
    <row r="3313" spans="1:8" x14ac:dyDescent="0.35">
      <c r="A3313" t="s">
        <v>39</v>
      </c>
      <c r="B3313">
        <v>2016</v>
      </c>
      <c r="C3313">
        <v>1</v>
      </c>
      <c r="D3313">
        <v>23178</v>
      </c>
      <c r="E3313">
        <v>156</v>
      </c>
      <c r="F3313">
        <v>27166.71</v>
      </c>
      <c r="G3313">
        <v>6751.77</v>
      </c>
      <c r="H3313" t="str">
        <f>VLOOKUP(myynnit[[#This Row],[TuoteID]],ohjaus!$A$4:$B$20,2,FALSE)</f>
        <v>Pinnatuoli</v>
      </c>
    </row>
    <row r="3314" spans="1:8" x14ac:dyDescent="0.35">
      <c r="A3314" t="s">
        <v>39</v>
      </c>
      <c r="B3314">
        <v>2016</v>
      </c>
      <c r="C3314">
        <v>1</v>
      </c>
      <c r="D3314">
        <v>23600</v>
      </c>
      <c r="E3314">
        <v>559</v>
      </c>
      <c r="F3314">
        <v>62055.72</v>
      </c>
      <c r="G3314">
        <v>17823.8</v>
      </c>
      <c r="H3314" t="str">
        <f>VLOOKUP(myynnit[[#This Row],[TuoteID]],ohjaus!$A$4:$B$20,2,FALSE)</f>
        <v>Pinnatuoli</v>
      </c>
    </row>
    <row r="3315" spans="1:8" x14ac:dyDescent="0.35">
      <c r="A3315" t="s">
        <v>39</v>
      </c>
      <c r="B3315">
        <v>2016</v>
      </c>
      <c r="C3315">
        <v>1</v>
      </c>
      <c r="D3315">
        <v>23756</v>
      </c>
      <c r="E3315">
        <v>121</v>
      </c>
      <c r="F3315">
        <v>18196.2</v>
      </c>
      <c r="G3315">
        <v>10944.38</v>
      </c>
      <c r="H3315" t="str">
        <f>VLOOKUP(myynnit[[#This Row],[TuoteID]],ohjaus!$A$4:$B$20,2,FALSE)</f>
        <v>Pianotuoli</v>
      </c>
    </row>
    <row r="3316" spans="1:8" x14ac:dyDescent="0.35">
      <c r="A3316" t="s">
        <v>39</v>
      </c>
      <c r="B3316">
        <v>2016</v>
      </c>
      <c r="C3316">
        <v>1</v>
      </c>
      <c r="D3316">
        <v>24326</v>
      </c>
      <c r="E3316">
        <v>155</v>
      </c>
      <c r="F3316">
        <v>20460.52</v>
      </c>
      <c r="G3316">
        <v>5483.78</v>
      </c>
      <c r="H3316" t="str">
        <f>VLOOKUP(myynnit[[#This Row],[TuoteID]],ohjaus!$A$4:$B$20,2,FALSE)</f>
        <v>Lepotuoli</v>
      </c>
    </row>
    <row r="3317" spans="1:8" x14ac:dyDescent="0.35">
      <c r="A3317" t="s">
        <v>38</v>
      </c>
      <c r="B3317">
        <v>2016</v>
      </c>
      <c r="C3317">
        <v>1</v>
      </c>
      <c r="D3317">
        <v>12184</v>
      </c>
      <c r="E3317">
        <v>91</v>
      </c>
      <c r="F3317">
        <v>9884.59</v>
      </c>
      <c r="G3317">
        <v>5152.49</v>
      </c>
      <c r="H3317" t="str">
        <f>VLOOKUP(myynnit[[#This Row],[TuoteID]],ohjaus!$A$4:$B$20,2,FALSE)</f>
        <v>Rahi</v>
      </c>
    </row>
    <row r="3318" spans="1:8" x14ac:dyDescent="0.35">
      <c r="A3318" t="s">
        <v>38</v>
      </c>
      <c r="B3318">
        <v>2016</v>
      </c>
      <c r="C3318">
        <v>1</v>
      </c>
      <c r="D3318">
        <v>12622</v>
      </c>
      <c r="E3318">
        <v>24</v>
      </c>
      <c r="F3318">
        <v>6694.82</v>
      </c>
      <c r="G3318">
        <v>3475.94</v>
      </c>
      <c r="H3318" t="str">
        <f>VLOOKUP(myynnit[[#This Row],[TuoteID]],ohjaus!$A$4:$B$20,2,FALSE)</f>
        <v>Pianotuoli</v>
      </c>
    </row>
    <row r="3319" spans="1:8" x14ac:dyDescent="0.35">
      <c r="A3319" t="s">
        <v>38</v>
      </c>
      <c r="B3319">
        <v>2016</v>
      </c>
      <c r="C3319">
        <v>1</v>
      </c>
      <c r="D3319">
        <v>13527</v>
      </c>
      <c r="E3319">
        <v>646</v>
      </c>
      <c r="F3319">
        <v>106492.23</v>
      </c>
      <c r="G3319">
        <v>24808.87</v>
      </c>
      <c r="H3319" t="str">
        <f>VLOOKUP(myynnit[[#This Row],[TuoteID]],ohjaus!$A$4:$B$20,2,FALSE)</f>
        <v>Pinnatuoli</v>
      </c>
    </row>
    <row r="3320" spans="1:8" x14ac:dyDescent="0.35">
      <c r="A3320" t="s">
        <v>38</v>
      </c>
      <c r="B3320">
        <v>2016</v>
      </c>
      <c r="C3320">
        <v>1</v>
      </c>
      <c r="D3320">
        <v>13618</v>
      </c>
      <c r="E3320">
        <v>14</v>
      </c>
      <c r="F3320">
        <v>5464.33</v>
      </c>
      <c r="G3320">
        <v>2667.94</v>
      </c>
      <c r="H3320" t="str">
        <f>VLOOKUP(myynnit[[#This Row],[TuoteID]],ohjaus!$A$4:$B$20,2,FALSE)</f>
        <v>Pianotuoli</v>
      </c>
    </row>
    <row r="3321" spans="1:8" x14ac:dyDescent="0.35">
      <c r="A3321" t="s">
        <v>38</v>
      </c>
      <c r="B3321">
        <v>2016</v>
      </c>
      <c r="C3321">
        <v>1</v>
      </c>
      <c r="D3321">
        <v>16024</v>
      </c>
      <c r="E3321">
        <v>95</v>
      </c>
      <c r="F3321">
        <v>37626.800000000003</v>
      </c>
      <c r="G3321">
        <v>9066.5400000000009</v>
      </c>
      <c r="H3321" t="str">
        <f>VLOOKUP(myynnit[[#This Row],[TuoteID]],ohjaus!$A$4:$B$20,2,FALSE)</f>
        <v>Työtuoli</v>
      </c>
    </row>
    <row r="3322" spans="1:8" x14ac:dyDescent="0.35">
      <c r="A3322" t="s">
        <v>38</v>
      </c>
      <c r="B3322">
        <v>2016</v>
      </c>
      <c r="C3322">
        <v>1</v>
      </c>
      <c r="D3322">
        <v>16650</v>
      </c>
      <c r="E3322">
        <v>42</v>
      </c>
      <c r="F3322">
        <v>7383.02</v>
      </c>
      <c r="G3322">
        <v>4691.0200000000004</v>
      </c>
      <c r="H3322" t="str">
        <f>VLOOKUP(myynnit[[#This Row],[TuoteID]],ohjaus!$A$4:$B$20,2,FALSE)</f>
        <v>Rahi</v>
      </c>
    </row>
    <row r="3323" spans="1:8" x14ac:dyDescent="0.35">
      <c r="A3323" t="s">
        <v>38</v>
      </c>
      <c r="B3323">
        <v>2016</v>
      </c>
      <c r="C3323">
        <v>1</v>
      </c>
      <c r="D3323">
        <v>17892</v>
      </c>
      <c r="E3323">
        <v>50</v>
      </c>
      <c r="F3323">
        <v>7618.96</v>
      </c>
      <c r="G3323">
        <v>2052.13</v>
      </c>
      <c r="H3323" t="str">
        <f>VLOOKUP(myynnit[[#This Row],[TuoteID]],ohjaus!$A$4:$B$20,2,FALSE)</f>
        <v>Lepotuoli</v>
      </c>
    </row>
    <row r="3324" spans="1:8" x14ac:dyDescent="0.35">
      <c r="A3324" t="s">
        <v>38</v>
      </c>
      <c r="B3324">
        <v>2016</v>
      </c>
      <c r="C3324">
        <v>1</v>
      </c>
      <c r="D3324">
        <v>18342</v>
      </c>
      <c r="E3324">
        <v>137</v>
      </c>
      <c r="F3324">
        <v>124389.63</v>
      </c>
      <c r="G3324">
        <v>26333.8</v>
      </c>
      <c r="H3324" t="str">
        <f>VLOOKUP(myynnit[[#This Row],[TuoteID]],ohjaus!$A$4:$B$20,2,FALSE)</f>
        <v>Työtuoli</v>
      </c>
    </row>
    <row r="3325" spans="1:8" x14ac:dyDescent="0.35">
      <c r="A3325" t="s">
        <v>38</v>
      </c>
      <c r="B3325">
        <v>2016</v>
      </c>
      <c r="C3325">
        <v>1</v>
      </c>
      <c r="D3325">
        <v>20177</v>
      </c>
      <c r="E3325">
        <v>97</v>
      </c>
      <c r="F3325">
        <v>8589.2199999999993</v>
      </c>
      <c r="G3325">
        <v>2970.25</v>
      </c>
      <c r="H3325" t="str">
        <f>VLOOKUP(myynnit[[#This Row],[TuoteID]],ohjaus!$A$4:$B$20,2,FALSE)</f>
        <v>Säkkituoli</v>
      </c>
    </row>
    <row r="3326" spans="1:8" x14ac:dyDescent="0.35">
      <c r="A3326" t="s">
        <v>38</v>
      </c>
      <c r="B3326">
        <v>2016</v>
      </c>
      <c r="C3326">
        <v>1</v>
      </c>
      <c r="D3326">
        <v>21179</v>
      </c>
      <c r="E3326">
        <v>39</v>
      </c>
      <c r="F3326">
        <v>4736.63</v>
      </c>
      <c r="G3326">
        <v>2684.64</v>
      </c>
      <c r="H3326" t="str">
        <f>VLOOKUP(myynnit[[#This Row],[TuoteID]],ohjaus!$A$4:$B$20,2,FALSE)</f>
        <v>Rahi</v>
      </c>
    </row>
    <row r="3327" spans="1:8" x14ac:dyDescent="0.35">
      <c r="A3327" t="s">
        <v>38</v>
      </c>
      <c r="B3327">
        <v>2016</v>
      </c>
      <c r="C3327">
        <v>1</v>
      </c>
      <c r="D3327">
        <v>21260</v>
      </c>
      <c r="E3327">
        <v>43</v>
      </c>
      <c r="F3327">
        <v>7836.37</v>
      </c>
      <c r="G3327">
        <v>1741</v>
      </c>
      <c r="H3327" t="str">
        <f>VLOOKUP(myynnit[[#This Row],[TuoteID]],ohjaus!$A$4:$B$20,2,FALSE)</f>
        <v>Lepotuoli</v>
      </c>
    </row>
    <row r="3328" spans="1:8" x14ac:dyDescent="0.35">
      <c r="A3328" t="s">
        <v>38</v>
      </c>
      <c r="B3328">
        <v>2016</v>
      </c>
      <c r="C3328">
        <v>1</v>
      </c>
      <c r="D3328">
        <v>22317</v>
      </c>
      <c r="E3328">
        <v>73</v>
      </c>
      <c r="F3328">
        <v>6958.32</v>
      </c>
      <c r="G3328">
        <v>2845.29</v>
      </c>
      <c r="H3328" t="str">
        <f>VLOOKUP(myynnit[[#This Row],[TuoteID]],ohjaus!$A$4:$B$20,2,FALSE)</f>
        <v>Säkkituoli</v>
      </c>
    </row>
    <row r="3329" spans="1:8" x14ac:dyDescent="0.35">
      <c r="A3329" t="s">
        <v>38</v>
      </c>
      <c r="B3329">
        <v>2016</v>
      </c>
      <c r="C3329">
        <v>1</v>
      </c>
      <c r="D3329">
        <v>22940</v>
      </c>
      <c r="E3329">
        <v>419</v>
      </c>
      <c r="F3329">
        <v>49022.96</v>
      </c>
      <c r="G3329">
        <v>9871.08</v>
      </c>
      <c r="H3329" t="str">
        <f>VLOOKUP(myynnit[[#This Row],[TuoteID]],ohjaus!$A$4:$B$20,2,FALSE)</f>
        <v>Pinnatuoli</v>
      </c>
    </row>
    <row r="3330" spans="1:8" x14ac:dyDescent="0.35">
      <c r="A3330" t="s">
        <v>38</v>
      </c>
      <c r="B3330">
        <v>2016</v>
      </c>
      <c r="C3330">
        <v>1</v>
      </c>
      <c r="D3330">
        <v>23178</v>
      </c>
      <c r="E3330">
        <v>138</v>
      </c>
      <c r="F3330">
        <v>23389.279999999999</v>
      </c>
      <c r="G3330">
        <v>5076.8100000000004</v>
      </c>
      <c r="H3330" t="str">
        <f>VLOOKUP(myynnit[[#This Row],[TuoteID]],ohjaus!$A$4:$B$20,2,FALSE)</f>
        <v>Pinnatuoli</v>
      </c>
    </row>
    <row r="3331" spans="1:8" x14ac:dyDescent="0.35">
      <c r="A3331" t="s">
        <v>38</v>
      </c>
      <c r="B3331">
        <v>2016</v>
      </c>
      <c r="C3331">
        <v>1</v>
      </c>
      <c r="D3331">
        <v>23600</v>
      </c>
      <c r="E3331">
        <v>551</v>
      </c>
      <c r="F3331">
        <v>60308.6</v>
      </c>
      <c r="G3331">
        <v>14022.76</v>
      </c>
      <c r="H3331" t="str">
        <f>VLOOKUP(myynnit[[#This Row],[TuoteID]],ohjaus!$A$4:$B$20,2,FALSE)</f>
        <v>Pinnatuoli</v>
      </c>
    </row>
    <row r="3332" spans="1:8" x14ac:dyDescent="0.35">
      <c r="A3332" t="s">
        <v>38</v>
      </c>
      <c r="B3332">
        <v>2016</v>
      </c>
      <c r="C3332">
        <v>1</v>
      </c>
      <c r="D3332">
        <v>23756</v>
      </c>
      <c r="E3332">
        <v>130</v>
      </c>
      <c r="F3332">
        <v>25609.59</v>
      </c>
      <c r="G3332">
        <v>12259.46</v>
      </c>
      <c r="H3332" t="str">
        <f>VLOOKUP(myynnit[[#This Row],[TuoteID]],ohjaus!$A$4:$B$20,2,FALSE)</f>
        <v>Pianotuoli</v>
      </c>
    </row>
    <row r="3333" spans="1:8" x14ac:dyDescent="0.35">
      <c r="A3333" t="s">
        <v>38</v>
      </c>
      <c r="B3333">
        <v>2016</v>
      </c>
      <c r="C3333">
        <v>1</v>
      </c>
      <c r="D3333">
        <v>24326</v>
      </c>
      <c r="E3333">
        <v>108</v>
      </c>
      <c r="F3333">
        <v>15167.96</v>
      </c>
      <c r="G3333">
        <v>3666.33</v>
      </c>
      <c r="H3333" t="str">
        <f>VLOOKUP(myynnit[[#This Row],[TuoteID]],ohjaus!$A$4:$B$20,2,FALSE)</f>
        <v>Lepotuoli</v>
      </c>
    </row>
    <row r="3334" spans="1:8" x14ac:dyDescent="0.35">
      <c r="A3334" t="s">
        <v>37</v>
      </c>
      <c r="B3334">
        <v>2016</v>
      </c>
      <c r="C3334">
        <v>2</v>
      </c>
      <c r="D3334">
        <v>12184</v>
      </c>
      <c r="E3334">
        <v>83</v>
      </c>
      <c r="F3334">
        <v>10671.55</v>
      </c>
      <c r="G3334">
        <v>4864.9399999999996</v>
      </c>
      <c r="H3334" t="str">
        <f>VLOOKUP(myynnit[[#This Row],[TuoteID]],ohjaus!$A$4:$B$20,2,FALSE)</f>
        <v>Rahi</v>
      </c>
    </row>
    <row r="3335" spans="1:8" x14ac:dyDescent="0.35">
      <c r="A3335" t="s">
        <v>37</v>
      </c>
      <c r="B3335">
        <v>2016</v>
      </c>
      <c r="C3335">
        <v>2</v>
      </c>
      <c r="D3335">
        <v>12622</v>
      </c>
      <c r="E3335">
        <v>73</v>
      </c>
      <c r="F3335">
        <v>19101.689999999999</v>
      </c>
      <c r="G3335">
        <v>8777.69</v>
      </c>
      <c r="H3335" t="str">
        <f>VLOOKUP(myynnit[[#This Row],[TuoteID]],ohjaus!$A$4:$B$20,2,FALSE)</f>
        <v>Pianotuoli</v>
      </c>
    </row>
    <row r="3336" spans="1:8" x14ac:dyDescent="0.35">
      <c r="A3336" t="s">
        <v>37</v>
      </c>
      <c r="B3336">
        <v>2016</v>
      </c>
      <c r="C3336">
        <v>2</v>
      </c>
      <c r="D3336">
        <v>13527</v>
      </c>
      <c r="E3336">
        <v>424</v>
      </c>
      <c r="F3336">
        <v>63148.24</v>
      </c>
      <c r="G3336">
        <v>13835.56</v>
      </c>
      <c r="H3336" t="str">
        <f>VLOOKUP(myynnit[[#This Row],[TuoteID]],ohjaus!$A$4:$B$20,2,FALSE)</f>
        <v>Pinnatuoli</v>
      </c>
    </row>
    <row r="3337" spans="1:8" x14ac:dyDescent="0.35">
      <c r="A3337" t="s">
        <v>37</v>
      </c>
      <c r="B3337">
        <v>2016</v>
      </c>
      <c r="C3337">
        <v>2</v>
      </c>
      <c r="D3337">
        <v>13618</v>
      </c>
      <c r="E3337">
        <v>13</v>
      </c>
      <c r="F3337">
        <v>4529.0200000000004</v>
      </c>
      <c r="G3337">
        <v>2211.4899999999998</v>
      </c>
      <c r="H3337" t="str">
        <f>VLOOKUP(myynnit[[#This Row],[TuoteID]],ohjaus!$A$4:$B$20,2,FALSE)</f>
        <v>Pianotuoli</v>
      </c>
    </row>
    <row r="3338" spans="1:8" x14ac:dyDescent="0.35">
      <c r="A3338" t="s">
        <v>37</v>
      </c>
      <c r="B3338">
        <v>2016</v>
      </c>
      <c r="C3338">
        <v>2</v>
      </c>
      <c r="D3338">
        <v>16024</v>
      </c>
      <c r="E3338">
        <v>128</v>
      </c>
      <c r="F3338">
        <v>50642.09</v>
      </c>
      <c r="G3338">
        <v>14351.66</v>
      </c>
      <c r="H3338" t="str">
        <f>VLOOKUP(myynnit[[#This Row],[TuoteID]],ohjaus!$A$4:$B$20,2,FALSE)</f>
        <v>Työtuoli</v>
      </c>
    </row>
    <row r="3339" spans="1:8" x14ac:dyDescent="0.35">
      <c r="A3339" t="s">
        <v>37</v>
      </c>
      <c r="B3339">
        <v>2016</v>
      </c>
      <c r="C3339">
        <v>2</v>
      </c>
      <c r="D3339">
        <v>16650</v>
      </c>
      <c r="E3339">
        <v>79</v>
      </c>
      <c r="F3339">
        <v>10750.73</v>
      </c>
      <c r="G3339">
        <v>5338.93</v>
      </c>
      <c r="H3339" t="str">
        <f>VLOOKUP(myynnit[[#This Row],[TuoteID]],ohjaus!$A$4:$B$20,2,FALSE)</f>
        <v>Rahi</v>
      </c>
    </row>
    <row r="3340" spans="1:8" x14ac:dyDescent="0.35">
      <c r="A3340" t="s">
        <v>37</v>
      </c>
      <c r="B3340">
        <v>2016</v>
      </c>
      <c r="C3340">
        <v>2</v>
      </c>
      <c r="D3340">
        <v>17892</v>
      </c>
      <c r="E3340">
        <v>143</v>
      </c>
      <c r="F3340">
        <v>21506.6</v>
      </c>
      <c r="G3340">
        <v>6382.03</v>
      </c>
      <c r="H3340" t="str">
        <f>VLOOKUP(myynnit[[#This Row],[TuoteID]],ohjaus!$A$4:$B$20,2,FALSE)</f>
        <v>Lepotuoli</v>
      </c>
    </row>
    <row r="3341" spans="1:8" x14ac:dyDescent="0.35">
      <c r="A3341" t="s">
        <v>37</v>
      </c>
      <c r="B3341">
        <v>2016</v>
      </c>
      <c r="C3341">
        <v>2</v>
      </c>
      <c r="D3341">
        <v>18342</v>
      </c>
      <c r="E3341">
        <v>204</v>
      </c>
      <c r="F3341">
        <v>159245.79999999999</v>
      </c>
      <c r="G3341">
        <v>47778.18</v>
      </c>
      <c r="H3341" t="str">
        <f>VLOOKUP(myynnit[[#This Row],[TuoteID]],ohjaus!$A$4:$B$20,2,FALSE)</f>
        <v>Työtuoli</v>
      </c>
    </row>
    <row r="3342" spans="1:8" x14ac:dyDescent="0.35">
      <c r="A3342" t="s">
        <v>37</v>
      </c>
      <c r="B3342">
        <v>2016</v>
      </c>
      <c r="C3342">
        <v>2</v>
      </c>
      <c r="D3342">
        <v>20177</v>
      </c>
      <c r="E3342">
        <v>156</v>
      </c>
      <c r="F3342">
        <v>16271.46</v>
      </c>
      <c r="G3342">
        <v>6584.9</v>
      </c>
      <c r="H3342" t="str">
        <f>VLOOKUP(myynnit[[#This Row],[TuoteID]],ohjaus!$A$4:$B$20,2,FALSE)</f>
        <v>Säkkituoli</v>
      </c>
    </row>
    <row r="3343" spans="1:8" x14ac:dyDescent="0.35">
      <c r="A3343" t="s">
        <v>37</v>
      </c>
      <c r="B3343">
        <v>2016</v>
      </c>
      <c r="C3343">
        <v>2</v>
      </c>
      <c r="D3343">
        <v>21179</v>
      </c>
      <c r="E3343">
        <v>74</v>
      </c>
      <c r="F3343">
        <v>9008.42</v>
      </c>
      <c r="G3343">
        <v>4673.24</v>
      </c>
      <c r="H3343" t="str">
        <f>VLOOKUP(myynnit[[#This Row],[TuoteID]],ohjaus!$A$4:$B$20,2,FALSE)</f>
        <v>Rahi</v>
      </c>
    </row>
    <row r="3344" spans="1:8" x14ac:dyDescent="0.35">
      <c r="A3344" t="s">
        <v>37</v>
      </c>
      <c r="B3344">
        <v>2016</v>
      </c>
      <c r="C3344">
        <v>2</v>
      </c>
      <c r="D3344">
        <v>21260</v>
      </c>
      <c r="E3344">
        <v>53</v>
      </c>
      <c r="F3344">
        <v>10494.46</v>
      </c>
      <c r="G3344">
        <v>3348.87</v>
      </c>
      <c r="H3344" t="str">
        <f>VLOOKUP(myynnit[[#This Row],[TuoteID]],ohjaus!$A$4:$B$20,2,FALSE)</f>
        <v>Lepotuoli</v>
      </c>
    </row>
    <row r="3345" spans="1:8" x14ac:dyDescent="0.35">
      <c r="A3345" t="s">
        <v>37</v>
      </c>
      <c r="B3345">
        <v>2016</v>
      </c>
      <c r="C3345">
        <v>2</v>
      </c>
      <c r="D3345">
        <v>22317</v>
      </c>
      <c r="E3345">
        <v>82</v>
      </c>
      <c r="F3345">
        <v>6289.3</v>
      </c>
      <c r="G3345">
        <v>2297.1</v>
      </c>
      <c r="H3345" t="str">
        <f>VLOOKUP(myynnit[[#This Row],[TuoteID]],ohjaus!$A$4:$B$20,2,FALSE)</f>
        <v>Säkkituoli</v>
      </c>
    </row>
    <row r="3346" spans="1:8" x14ac:dyDescent="0.35">
      <c r="A3346" t="s">
        <v>37</v>
      </c>
      <c r="B3346">
        <v>2016</v>
      </c>
      <c r="C3346">
        <v>2</v>
      </c>
      <c r="D3346">
        <v>22940</v>
      </c>
      <c r="E3346">
        <v>369</v>
      </c>
      <c r="F3346">
        <v>46727.1</v>
      </c>
      <c r="G3346">
        <v>9852.94</v>
      </c>
      <c r="H3346" t="str">
        <f>VLOOKUP(myynnit[[#This Row],[TuoteID]],ohjaus!$A$4:$B$20,2,FALSE)</f>
        <v>Pinnatuoli</v>
      </c>
    </row>
    <row r="3347" spans="1:8" x14ac:dyDescent="0.35">
      <c r="A3347" t="s">
        <v>37</v>
      </c>
      <c r="B3347">
        <v>2016</v>
      </c>
      <c r="C3347">
        <v>2</v>
      </c>
      <c r="D3347">
        <v>23178</v>
      </c>
      <c r="E3347">
        <v>450</v>
      </c>
      <c r="F3347">
        <v>83817.81</v>
      </c>
      <c r="G3347">
        <v>17338.02</v>
      </c>
      <c r="H3347" t="str">
        <f>VLOOKUP(myynnit[[#This Row],[TuoteID]],ohjaus!$A$4:$B$20,2,FALSE)</f>
        <v>Pinnatuoli</v>
      </c>
    </row>
    <row r="3348" spans="1:8" x14ac:dyDescent="0.35">
      <c r="A3348" t="s">
        <v>37</v>
      </c>
      <c r="B3348">
        <v>2016</v>
      </c>
      <c r="C3348">
        <v>2</v>
      </c>
      <c r="D3348">
        <v>23600</v>
      </c>
      <c r="E3348">
        <v>1181</v>
      </c>
      <c r="F3348">
        <v>119404.16</v>
      </c>
      <c r="G3348">
        <v>32581.52</v>
      </c>
      <c r="H3348" t="str">
        <f>VLOOKUP(myynnit[[#This Row],[TuoteID]],ohjaus!$A$4:$B$20,2,FALSE)</f>
        <v>Pinnatuoli</v>
      </c>
    </row>
    <row r="3349" spans="1:8" x14ac:dyDescent="0.35">
      <c r="A3349" t="s">
        <v>37</v>
      </c>
      <c r="B3349">
        <v>2016</v>
      </c>
      <c r="C3349">
        <v>2</v>
      </c>
      <c r="D3349">
        <v>23756</v>
      </c>
      <c r="E3349">
        <v>113</v>
      </c>
      <c r="F3349">
        <v>20069.04</v>
      </c>
      <c r="G3349">
        <v>10355.56</v>
      </c>
      <c r="H3349" t="str">
        <f>VLOOKUP(myynnit[[#This Row],[TuoteID]],ohjaus!$A$4:$B$20,2,FALSE)</f>
        <v>Pianotuoli</v>
      </c>
    </row>
    <row r="3350" spans="1:8" x14ac:dyDescent="0.35">
      <c r="A3350" t="s">
        <v>37</v>
      </c>
      <c r="B3350">
        <v>2016</v>
      </c>
      <c r="C3350">
        <v>2</v>
      </c>
      <c r="D3350">
        <v>24326</v>
      </c>
      <c r="E3350">
        <v>102</v>
      </c>
      <c r="F3350">
        <v>13984.44</v>
      </c>
      <c r="G3350">
        <v>3941.59</v>
      </c>
      <c r="H3350" t="str">
        <f>VLOOKUP(myynnit[[#This Row],[TuoteID]],ohjaus!$A$4:$B$20,2,FALSE)</f>
        <v>Lepotuoli</v>
      </c>
    </row>
    <row r="3351" spans="1:8" x14ac:dyDescent="0.35">
      <c r="A3351" t="s">
        <v>40</v>
      </c>
      <c r="B3351">
        <v>2016</v>
      </c>
      <c r="C3351">
        <v>2</v>
      </c>
      <c r="D3351">
        <v>12184</v>
      </c>
      <c r="E3351">
        <v>35</v>
      </c>
      <c r="F3351">
        <v>4281.79</v>
      </c>
      <c r="G3351">
        <v>2036.86</v>
      </c>
      <c r="H3351" t="str">
        <f>VLOOKUP(myynnit[[#This Row],[TuoteID]],ohjaus!$A$4:$B$20,2,FALSE)</f>
        <v>Rahi</v>
      </c>
    </row>
    <row r="3352" spans="1:8" x14ac:dyDescent="0.35">
      <c r="A3352" t="s">
        <v>40</v>
      </c>
      <c r="B3352">
        <v>2016</v>
      </c>
      <c r="C3352">
        <v>2</v>
      </c>
      <c r="D3352">
        <v>12622</v>
      </c>
      <c r="E3352">
        <v>9</v>
      </c>
      <c r="F3352">
        <v>2498.44</v>
      </c>
      <c r="G3352">
        <v>942.04</v>
      </c>
      <c r="H3352" t="str">
        <f>VLOOKUP(myynnit[[#This Row],[TuoteID]],ohjaus!$A$4:$B$20,2,FALSE)</f>
        <v>Pianotuoli</v>
      </c>
    </row>
    <row r="3353" spans="1:8" x14ac:dyDescent="0.35">
      <c r="A3353" t="s">
        <v>40</v>
      </c>
      <c r="B3353">
        <v>2016</v>
      </c>
      <c r="C3353">
        <v>2</v>
      </c>
      <c r="D3353">
        <v>13527</v>
      </c>
      <c r="E3353">
        <v>281</v>
      </c>
      <c r="F3353">
        <v>44044.66</v>
      </c>
      <c r="G3353">
        <v>6623.05</v>
      </c>
      <c r="H3353" t="str">
        <f>VLOOKUP(myynnit[[#This Row],[TuoteID]],ohjaus!$A$4:$B$20,2,FALSE)</f>
        <v>Pinnatuoli</v>
      </c>
    </row>
    <row r="3354" spans="1:8" x14ac:dyDescent="0.35">
      <c r="A3354" t="s">
        <v>40</v>
      </c>
      <c r="B3354">
        <v>2016</v>
      </c>
      <c r="C3354">
        <v>2</v>
      </c>
      <c r="D3354">
        <v>13618</v>
      </c>
      <c r="E3354">
        <v>5</v>
      </c>
      <c r="F3354">
        <v>1649.55</v>
      </c>
      <c r="G3354">
        <v>621.13</v>
      </c>
      <c r="H3354" t="str">
        <f>VLOOKUP(myynnit[[#This Row],[TuoteID]],ohjaus!$A$4:$B$20,2,FALSE)</f>
        <v>Pianotuoli</v>
      </c>
    </row>
    <row r="3355" spans="1:8" x14ac:dyDescent="0.35">
      <c r="A3355" t="s">
        <v>40</v>
      </c>
      <c r="B3355">
        <v>2016</v>
      </c>
      <c r="C3355">
        <v>2</v>
      </c>
      <c r="D3355">
        <v>16024</v>
      </c>
      <c r="E3355">
        <v>202</v>
      </c>
      <c r="F3355">
        <v>82711.59</v>
      </c>
      <c r="G3355">
        <v>25948.94</v>
      </c>
      <c r="H3355" t="str">
        <f>VLOOKUP(myynnit[[#This Row],[TuoteID]],ohjaus!$A$4:$B$20,2,FALSE)</f>
        <v>Työtuoli</v>
      </c>
    </row>
    <row r="3356" spans="1:8" x14ac:dyDescent="0.35">
      <c r="A3356" t="s">
        <v>40</v>
      </c>
      <c r="B3356">
        <v>2016</v>
      </c>
      <c r="C3356">
        <v>2</v>
      </c>
      <c r="D3356">
        <v>16650</v>
      </c>
      <c r="E3356">
        <v>14</v>
      </c>
      <c r="F3356">
        <v>2697.18</v>
      </c>
      <c r="G3356">
        <v>1696.12</v>
      </c>
      <c r="H3356" t="str">
        <f>VLOOKUP(myynnit[[#This Row],[TuoteID]],ohjaus!$A$4:$B$20,2,FALSE)</f>
        <v>Rahi</v>
      </c>
    </row>
    <row r="3357" spans="1:8" x14ac:dyDescent="0.35">
      <c r="A3357" t="s">
        <v>40</v>
      </c>
      <c r="B3357">
        <v>2016</v>
      </c>
      <c r="C3357">
        <v>2</v>
      </c>
      <c r="D3357">
        <v>17892</v>
      </c>
      <c r="E3357">
        <v>105</v>
      </c>
      <c r="F3357">
        <v>14204.1</v>
      </c>
      <c r="G3357">
        <v>2961.73</v>
      </c>
      <c r="H3357" t="str">
        <f>VLOOKUP(myynnit[[#This Row],[TuoteID]],ohjaus!$A$4:$B$20,2,FALSE)</f>
        <v>Lepotuoli</v>
      </c>
    </row>
    <row r="3358" spans="1:8" x14ac:dyDescent="0.35">
      <c r="A3358" t="s">
        <v>40</v>
      </c>
      <c r="B3358">
        <v>2016</v>
      </c>
      <c r="C3358">
        <v>2</v>
      </c>
      <c r="D3358">
        <v>18342</v>
      </c>
      <c r="E3358">
        <v>31</v>
      </c>
      <c r="F3358">
        <v>27545.37</v>
      </c>
      <c r="G3358">
        <v>8175.35</v>
      </c>
      <c r="H3358" t="str">
        <f>VLOOKUP(myynnit[[#This Row],[TuoteID]],ohjaus!$A$4:$B$20,2,FALSE)</f>
        <v>Työtuoli</v>
      </c>
    </row>
    <row r="3359" spans="1:8" x14ac:dyDescent="0.35">
      <c r="A3359" t="s">
        <v>40</v>
      </c>
      <c r="B3359">
        <v>2016</v>
      </c>
      <c r="C3359">
        <v>2</v>
      </c>
      <c r="D3359">
        <v>20177</v>
      </c>
      <c r="E3359">
        <v>23</v>
      </c>
      <c r="F3359">
        <v>2290.61</v>
      </c>
      <c r="G3359">
        <v>873.51</v>
      </c>
      <c r="H3359" t="str">
        <f>VLOOKUP(myynnit[[#This Row],[TuoteID]],ohjaus!$A$4:$B$20,2,FALSE)</f>
        <v>Säkkituoli</v>
      </c>
    </row>
    <row r="3360" spans="1:8" x14ac:dyDescent="0.35">
      <c r="A3360" t="s">
        <v>40</v>
      </c>
      <c r="B3360">
        <v>2016</v>
      </c>
      <c r="C3360">
        <v>2</v>
      </c>
      <c r="D3360">
        <v>21179</v>
      </c>
      <c r="E3360">
        <v>20</v>
      </c>
      <c r="F3360">
        <v>2056.5100000000002</v>
      </c>
      <c r="G3360">
        <v>1123.0899999999999</v>
      </c>
      <c r="H3360" t="str">
        <f>VLOOKUP(myynnit[[#This Row],[TuoteID]],ohjaus!$A$4:$B$20,2,FALSE)</f>
        <v>Rahi</v>
      </c>
    </row>
    <row r="3361" spans="1:8" x14ac:dyDescent="0.35">
      <c r="A3361" t="s">
        <v>40</v>
      </c>
      <c r="B3361">
        <v>2016</v>
      </c>
      <c r="C3361">
        <v>2</v>
      </c>
      <c r="D3361">
        <v>21260</v>
      </c>
      <c r="E3361">
        <v>41</v>
      </c>
      <c r="F3361">
        <v>7930.67</v>
      </c>
      <c r="G3361">
        <v>1932.23</v>
      </c>
      <c r="H3361" t="str">
        <f>VLOOKUP(myynnit[[#This Row],[TuoteID]],ohjaus!$A$4:$B$20,2,FALSE)</f>
        <v>Lepotuoli</v>
      </c>
    </row>
    <row r="3362" spans="1:8" x14ac:dyDescent="0.35">
      <c r="A3362" t="s">
        <v>40</v>
      </c>
      <c r="B3362">
        <v>2016</v>
      </c>
      <c r="C3362">
        <v>2</v>
      </c>
      <c r="D3362">
        <v>22317</v>
      </c>
      <c r="E3362">
        <v>16</v>
      </c>
      <c r="F3362">
        <v>1440.12</v>
      </c>
      <c r="G3362">
        <v>654.13</v>
      </c>
      <c r="H3362" t="str">
        <f>VLOOKUP(myynnit[[#This Row],[TuoteID]],ohjaus!$A$4:$B$20,2,FALSE)</f>
        <v>Säkkituoli</v>
      </c>
    </row>
    <row r="3363" spans="1:8" x14ac:dyDescent="0.35">
      <c r="A3363" t="s">
        <v>40</v>
      </c>
      <c r="B3363">
        <v>2016</v>
      </c>
      <c r="C3363">
        <v>2</v>
      </c>
      <c r="D3363">
        <v>22940</v>
      </c>
      <c r="E3363">
        <v>202</v>
      </c>
      <c r="F3363">
        <v>27085.71</v>
      </c>
      <c r="G3363">
        <v>6449.05</v>
      </c>
      <c r="H3363" t="str">
        <f>VLOOKUP(myynnit[[#This Row],[TuoteID]],ohjaus!$A$4:$B$20,2,FALSE)</f>
        <v>Pinnatuoli</v>
      </c>
    </row>
    <row r="3364" spans="1:8" x14ac:dyDescent="0.35">
      <c r="A3364" t="s">
        <v>40</v>
      </c>
      <c r="B3364">
        <v>2016</v>
      </c>
      <c r="C3364">
        <v>2</v>
      </c>
      <c r="D3364">
        <v>23178</v>
      </c>
      <c r="E3364">
        <v>150</v>
      </c>
      <c r="F3364">
        <v>29498.47</v>
      </c>
      <c r="G3364">
        <v>7301.42</v>
      </c>
      <c r="H3364" t="str">
        <f>VLOOKUP(myynnit[[#This Row],[TuoteID]],ohjaus!$A$4:$B$20,2,FALSE)</f>
        <v>Pinnatuoli</v>
      </c>
    </row>
    <row r="3365" spans="1:8" x14ac:dyDescent="0.35">
      <c r="A3365" t="s">
        <v>40</v>
      </c>
      <c r="B3365">
        <v>2016</v>
      </c>
      <c r="C3365">
        <v>2</v>
      </c>
      <c r="D3365">
        <v>23600</v>
      </c>
      <c r="E3365">
        <v>402</v>
      </c>
      <c r="F3365">
        <v>45470.36</v>
      </c>
      <c r="G3365">
        <v>12267.4</v>
      </c>
      <c r="H3365" t="str">
        <f>VLOOKUP(myynnit[[#This Row],[TuoteID]],ohjaus!$A$4:$B$20,2,FALSE)</f>
        <v>Pinnatuoli</v>
      </c>
    </row>
    <row r="3366" spans="1:8" x14ac:dyDescent="0.35">
      <c r="A3366" t="s">
        <v>40</v>
      </c>
      <c r="B3366">
        <v>2016</v>
      </c>
      <c r="C3366">
        <v>2</v>
      </c>
      <c r="D3366">
        <v>23756</v>
      </c>
      <c r="E3366">
        <v>90</v>
      </c>
      <c r="F3366">
        <v>13391.71</v>
      </c>
      <c r="G3366">
        <v>6174.59</v>
      </c>
      <c r="H3366" t="str">
        <f>VLOOKUP(myynnit[[#This Row],[TuoteID]],ohjaus!$A$4:$B$20,2,FALSE)</f>
        <v>Pianotuoli</v>
      </c>
    </row>
    <row r="3367" spans="1:8" x14ac:dyDescent="0.35">
      <c r="A3367" t="s">
        <v>40</v>
      </c>
      <c r="B3367">
        <v>2016</v>
      </c>
      <c r="C3367">
        <v>2</v>
      </c>
      <c r="D3367">
        <v>24326</v>
      </c>
      <c r="E3367">
        <v>33</v>
      </c>
      <c r="F3367">
        <v>4430.57</v>
      </c>
      <c r="G3367">
        <v>1255.79</v>
      </c>
      <c r="H3367" t="str">
        <f>VLOOKUP(myynnit[[#This Row],[TuoteID]],ohjaus!$A$4:$B$20,2,FALSE)</f>
        <v>Lepotuoli</v>
      </c>
    </row>
    <row r="3368" spans="1:8" x14ac:dyDescent="0.35">
      <c r="A3368" t="s">
        <v>39</v>
      </c>
      <c r="B3368">
        <v>2016</v>
      </c>
      <c r="C3368">
        <v>2</v>
      </c>
      <c r="D3368">
        <v>12184</v>
      </c>
      <c r="E3368">
        <v>88</v>
      </c>
      <c r="F3368">
        <v>8783.84</v>
      </c>
      <c r="G3368">
        <v>6180.44</v>
      </c>
      <c r="H3368" t="str">
        <f>VLOOKUP(myynnit[[#This Row],[TuoteID]],ohjaus!$A$4:$B$20,2,FALSE)</f>
        <v>Rahi</v>
      </c>
    </row>
    <row r="3369" spans="1:8" x14ac:dyDescent="0.35">
      <c r="A3369" t="s">
        <v>39</v>
      </c>
      <c r="B3369">
        <v>2016</v>
      </c>
      <c r="C3369">
        <v>2</v>
      </c>
      <c r="D3369">
        <v>12622</v>
      </c>
      <c r="E3369">
        <v>42</v>
      </c>
      <c r="F3369">
        <v>10239.780000000001</v>
      </c>
      <c r="G3369">
        <v>6184.87</v>
      </c>
      <c r="H3369" t="str">
        <f>VLOOKUP(myynnit[[#This Row],[TuoteID]],ohjaus!$A$4:$B$20,2,FALSE)</f>
        <v>Pianotuoli</v>
      </c>
    </row>
    <row r="3370" spans="1:8" x14ac:dyDescent="0.35">
      <c r="A3370" t="s">
        <v>39</v>
      </c>
      <c r="B3370">
        <v>2016</v>
      </c>
      <c r="C3370">
        <v>2</v>
      </c>
      <c r="D3370">
        <v>13527</v>
      </c>
      <c r="E3370">
        <v>375</v>
      </c>
      <c r="F3370">
        <v>61215.69</v>
      </c>
      <c r="G3370">
        <v>17051.12</v>
      </c>
      <c r="H3370" t="str">
        <f>VLOOKUP(myynnit[[#This Row],[TuoteID]],ohjaus!$A$4:$B$20,2,FALSE)</f>
        <v>Pinnatuoli</v>
      </c>
    </row>
    <row r="3371" spans="1:8" x14ac:dyDescent="0.35">
      <c r="A3371" t="s">
        <v>39</v>
      </c>
      <c r="B3371">
        <v>2016</v>
      </c>
      <c r="C3371">
        <v>2</v>
      </c>
      <c r="D3371">
        <v>13618</v>
      </c>
      <c r="E3371">
        <v>24</v>
      </c>
      <c r="F3371">
        <v>10076.43</v>
      </c>
      <c r="G3371">
        <v>5686.58</v>
      </c>
      <c r="H3371" t="str">
        <f>VLOOKUP(myynnit[[#This Row],[TuoteID]],ohjaus!$A$4:$B$20,2,FALSE)</f>
        <v>Pianotuoli</v>
      </c>
    </row>
    <row r="3372" spans="1:8" x14ac:dyDescent="0.35">
      <c r="A3372" t="s">
        <v>39</v>
      </c>
      <c r="B3372">
        <v>2016</v>
      </c>
      <c r="C3372">
        <v>2</v>
      </c>
      <c r="D3372">
        <v>16024</v>
      </c>
      <c r="E3372">
        <v>177</v>
      </c>
      <c r="F3372">
        <v>85049.36</v>
      </c>
      <c r="G3372">
        <v>22749.05</v>
      </c>
      <c r="H3372" t="str">
        <f>VLOOKUP(myynnit[[#This Row],[TuoteID]],ohjaus!$A$4:$B$20,2,FALSE)</f>
        <v>Työtuoli</v>
      </c>
    </row>
    <row r="3373" spans="1:8" x14ac:dyDescent="0.35">
      <c r="A3373" t="s">
        <v>39</v>
      </c>
      <c r="B3373">
        <v>2016</v>
      </c>
      <c r="C3373">
        <v>2</v>
      </c>
      <c r="D3373">
        <v>16650</v>
      </c>
      <c r="E3373">
        <v>43</v>
      </c>
      <c r="F3373">
        <v>6754.57</v>
      </c>
      <c r="G3373">
        <v>4525.3599999999997</v>
      </c>
      <c r="H3373" t="str">
        <f>VLOOKUP(myynnit[[#This Row],[TuoteID]],ohjaus!$A$4:$B$20,2,FALSE)</f>
        <v>Rahi</v>
      </c>
    </row>
    <row r="3374" spans="1:8" x14ac:dyDescent="0.35">
      <c r="A3374" t="s">
        <v>39</v>
      </c>
      <c r="B3374">
        <v>2016</v>
      </c>
      <c r="C3374">
        <v>2</v>
      </c>
      <c r="D3374">
        <v>17892</v>
      </c>
      <c r="E3374">
        <v>60</v>
      </c>
      <c r="F3374">
        <v>8914.39</v>
      </c>
      <c r="G3374">
        <v>3108.81</v>
      </c>
      <c r="H3374" t="str">
        <f>VLOOKUP(myynnit[[#This Row],[TuoteID]],ohjaus!$A$4:$B$20,2,FALSE)</f>
        <v>Lepotuoli</v>
      </c>
    </row>
    <row r="3375" spans="1:8" x14ac:dyDescent="0.35">
      <c r="A3375" t="s">
        <v>39</v>
      </c>
      <c r="B3375">
        <v>2016</v>
      </c>
      <c r="C3375">
        <v>2</v>
      </c>
      <c r="D3375">
        <v>18342</v>
      </c>
      <c r="E3375">
        <v>131</v>
      </c>
      <c r="F3375">
        <v>105908.9</v>
      </c>
      <c r="G3375">
        <v>28704.639999999999</v>
      </c>
      <c r="H3375" t="str">
        <f>VLOOKUP(myynnit[[#This Row],[TuoteID]],ohjaus!$A$4:$B$20,2,FALSE)</f>
        <v>Työtuoli</v>
      </c>
    </row>
    <row r="3376" spans="1:8" x14ac:dyDescent="0.35">
      <c r="A3376" t="s">
        <v>39</v>
      </c>
      <c r="B3376">
        <v>2016</v>
      </c>
      <c r="C3376">
        <v>2</v>
      </c>
      <c r="D3376">
        <v>20177</v>
      </c>
      <c r="E3376">
        <v>65</v>
      </c>
      <c r="F3376">
        <v>6685.1</v>
      </c>
      <c r="G3376">
        <v>2940.08</v>
      </c>
      <c r="H3376" t="str">
        <f>VLOOKUP(myynnit[[#This Row],[TuoteID]],ohjaus!$A$4:$B$20,2,FALSE)</f>
        <v>Säkkituoli</v>
      </c>
    </row>
    <row r="3377" spans="1:8" x14ac:dyDescent="0.35">
      <c r="A3377" t="s">
        <v>39</v>
      </c>
      <c r="B3377">
        <v>2016</v>
      </c>
      <c r="C3377">
        <v>2</v>
      </c>
      <c r="D3377">
        <v>21179</v>
      </c>
      <c r="E3377">
        <v>56</v>
      </c>
      <c r="F3377">
        <v>6629.58</v>
      </c>
      <c r="G3377">
        <v>4069.55</v>
      </c>
      <c r="H3377" t="str">
        <f>VLOOKUP(myynnit[[#This Row],[TuoteID]],ohjaus!$A$4:$B$20,2,FALSE)</f>
        <v>Rahi</v>
      </c>
    </row>
    <row r="3378" spans="1:8" x14ac:dyDescent="0.35">
      <c r="A3378" t="s">
        <v>39</v>
      </c>
      <c r="B3378">
        <v>2016</v>
      </c>
      <c r="C3378">
        <v>2</v>
      </c>
      <c r="D3378">
        <v>21260</v>
      </c>
      <c r="E3378">
        <v>72</v>
      </c>
      <c r="F3378">
        <v>13750.87</v>
      </c>
      <c r="G3378">
        <v>4491.24</v>
      </c>
      <c r="H3378" t="str">
        <f>VLOOKUP(myynnit[[#This Row],[TuoteID]],ohjaus!$A$4:$B$20,2,FALSE)</f>
        <v>Lepotuoli</v>
      </c>
    </row>
    <row r="3379" spans="1:8" x14ac:dyDescent="0.35">
      <c r="A3379" t="s">
        <v>39</v>
      </c>
      <c r="B3379">
        <v>2016</v>
      </c>
      <c r="C3379">
        <v>2</v>
      </c>
      <c r="D3379">
        <v>22317</v>
      </c>
      <c r="E3379">
        <v>38</v>
      </c>
      <c r="F3379">
        <v>2998.33</v>
      </c>
      <c r="G3379">
        <v>1155.08</v>
      </c>
      <c r="H3379" t="str">
        <f>VLOOKUP(myynnit[[#This Row],[TuoteID]],ohjaus!$A$4:$B$20,2,FALSE)</f>
        <v>Säkkituoli</v>
      </c>
    </row>
    <row r="3380" spans="1:8" x14ac:dyDescent="0.35">
      <c r="A3380" t="s">
        <v>39</v>
      </c>
      <c r="B3380">
        <v>2016</v>
      </c>
      <c r="C3380">
        <v>2</v>
      </c>
      <c r="D3380">
        <v>22940</v>
      </c>
      <c r="E3380">
        <v>341</v>
      </c>
      <c r="F3380">
        <v>41031.1</v>
      </c>
      <c r="G3380">
        <v>10857.85</v>
      </c>
      <c r="H3380" t="str">
        <f>VLOOKUP(myynnit[[#This Row],[TuoteID]],ohjaus!$A$4:$B$20,2,FALSE)</f>
        <v>Pinnatuoli</v>
      </c>
    </row>
    <row r="3381" spans="1:8" x14ac:dyDescent="0.35">
      <c r="A3381" t="s">
        <v>39</v>
      </c>
      <c r="B3381">
        <v>2016</v>
      </c>
      <c r="C3381">
        <v>2</v>
      </c>
      <c r="D3381">
        <v>23178</v>
      </c>
      <c r="E3381">
        <v>125</v>
      </c>
      <c r="F3381">
        <v>21143.46</v>
      </c>
      <c r="G3381">
        <v>6098.64</v>
      </c>
      <c r="H3381" t="str">
        <f>VLOOKUP(myynnit[[#This Row],[TuoteID]],ohjaus!$A$4:$B$20,2,FALSE)</f>
        <v>Pinnatuoli</v>
      </c>
    </row>
    <row r="3382" spans="1:8" x14ac:dyDescent="0.35">
      <c r="A3382" t="s">
        <v>39</v>
      </c>
      <c r="B3382">
        <v>2016</v>
      </c>
      <c r="C3382">
        <v>2</v>
      </c>
      <c r="D3382">
        <v>23600</v>
      </c>
      <c r="E3382">
        <v>1028</v>
      </c>
      <c r="F3382">
        <v>106779.76</v>
      </c>
      <c r="G3382">
        <v>32573.79</v>
      </c>
      <c r="H3382" t="str">
        <f>VLOOKUP(myynnit[[#This Row],[TuoteID]],ohjaus!$A$4:$B$20,2,FALSE)</f>
        <v>Pinnatuoli</v>
      </c>
    </row>
    <row r="3383" spans="1:8" x14ac:dyDescent="0.35">
      <c r="A3383" t="s">
        <v>39</v>
      </c>
      <c r="B3383">
        <v>2016</v>
      </c>
      <c r="C3383">
        <v>2</v>
      </c>
      <c r="D3383">
        <v>23756</v>
      </c>
      <c r="E3383">
        <v>59</v>
      </c>
      <c r="F3383">
        <v>12548.56</v>
      </c>
      <c r="G3383">
        <v>7896.85</v>
      </c>
      <c r="H3383" t="str">
        <f>VLOOKUP(myynnit[[#This Row],[TuoteID]],ohjaus!$A$4:$B$20,2,FALSE)</f>
        <v>Pianotuoli</v>
      </c>
    </row>
    <row r="3384" spans="1:8" x14ac:dyDescent="0.35">
      <c r="A3384" t="s">
        <v>39</v>
      </c>
      <c r="B3384">
        <v>2016</v>
      </c>
      <c r="C3384">
        <v>2</v>
      </c>
      <c r="D3384">
        <v>24326</v>
      </c>
      <c r="E3384">
        <v>54</v>
      </c>
      <c r="F3384">
        <v>7052.68</v>
      </c>
      <c r="G3384">
        <v>2255.6799999999998</v>
      </c>
      <c r="H3384" t="str">
        <f>VLOOKUP(myynnit[[#This Row],[TuoteID]],ohjaus!$A$4:$B$20,2,FALSE)</f>
        <v>Lepotuoli</v>
      </c>
    </row>
    <row r="3385" spans="1:8" x14ac:dyDescent="0.35">
      <c r="A3385" t="s">
        <v>38</v>
      </c>
      <c r="B3385">
        <v>2016</v>
      </c>
      <c r="C3385">
        <v>2</v>
      </c>
      <c r="D3385">
        <v>12184</v>
      </c>
      <c r="E3385">
        <v>81</v>
      </c>
      <c r="F3385">
        <v>8852.19</v>
      </c>
      <c r="G3385">
        <v>4997.3900000000003</v>
      </c>
      <c r="H3385" t="str">
        <f>VLOOKUP(myynnit[[#This Row],[TuoteID]],ohjaus!$A$4:$B$20,2,FALSE)</f>
        <v>Rahi</v>
      </c>
    </row>
    <row r="3386" spans="1:8" x14ac:dyDescent="0.35">
      <c r="A3386" t="s">
        <v>38</v>
      </c>
      <c r="B3386">
        <v>2016</v>
      </c>
      <c r="C3386">
        <v>2</v>
      </c>
      <c r="D3386">
        <v>12622</v>
      </c>
      <c r="E3386">
        <v>29</v>
      </c>
      <c r="F3386">
        <v>7419.83</v>
      </c>
      <c r="G3386">
        <v>3371.69</v>
      </c>
      <c r="H3386" t="str">
        <f>VLOOKUP(myynnit[[#This Row],[TuoteID]],ohjaus!$A$4:$B$20,2,FALSE)</f>
        <v>Pianotuoli</v>
      </c>
    </row>
    <row r="3387" spans="1:8" x14ac:dyDescent="0.35">
      <c r="A3387" t="s">
        <v>38</v>
      </c>
      <c r="B3387">
        <v>2016</v>
      </c>
      <c r="C3387">
        <v>2</v>
      </c>
      <c r="D3387">
        <v>13527</v>
      </c>
      <c r="E3387">
        <v>279</v>
      </c>
      <c r="F3387">
        <v>46607.38</v>
      </c>
      <c r="G3387">
        <v>10157.030000000001</v>
      </c>
      <c r="H3387" t="str">
        <f>VLOOKUP(myynnit[[#This Row],[TuoteID]],ohjaus!$A$4:$B$20,2,FALSE)</f>
        <v>Pinnatuoli</v>
      </c>
    </row>
    <row r="3388" spans="1:8" x14ac:dyDescent="0.35">
      <c r="A3388" t="s">
        <v>38</v>
      </c>
      <c r="B3388">
        <v>2016</v>
      </c>
      <c r="C3388">
        <v>2</v>
      </c>
      <c r="D3388">
        <v>13618</v>
      </c>
      <c r="E3388">
        <v>13</v>
      </c>
      <c r="F3388">
        <v>4799.7299999999996</v>
      </c>
      <c r="G3388">
        <v>2599.96</v>
      </c>
      <c r="H3388" t="str">
        <f>VLOOKUP(myynnit[[#This Row],[TuoteID]],ohjaus!$A$4:$B$20,2,FALSE)</f>
        <v>Pianotuoli</v>
      </c>
    </row>
    <row r="3389" spans="1:8" x14ac:dyDescent="0.35">
      <c r="A3389" t="s">
        <v>38</v>
      </c>
      <c r="B3389">
        <v>2016</v>
      </c>
      <c r="C3389">
        <v>2</v>
      </c>
      <c r="D3389">
        <v>16024</v>
      </c>
      <c r="E3389">
        <v>154</v>
      </c>
      <c r="F3389">
        <v>62224.31</v>
      </c>
      <c r="G3389">
        <v>13770.57</v>
      </c>
      <c r="H3389" t="str">
        <f>VLOOKUP(myynnit[[#This Row],[TuoteID]],ohjaus!$A$4:$B$20,2,FALSE)</f>
        <v>Työtuoli</v>
      </c>
    </row>
    <row r="3390" spans="1:8" x14ac:dyDescent="0.35">
      <c r="A3390" t="s">
        <v>38</v>
      </c>
      <c r="B3390">
        <v>2016</v>
      </c>
      <c r="C3390">
        <v>2</v>
      </c>
      <c r="D3390">
        <v>16650</v>
      </c>
      <c r="E3390">
        <v>29</v>
      </c>
      <c r="F3390">
        <v>4065.64</v>
      </c>
      <c r="G3390">
        <v>2335.06</v>
      </c>
      <c r="H3390" t="str">
        <f>VLOOKUP(myynnit[[#This Row],[TuoteID]],ohjaus!$A$4:$B$20,2,FALSE)</f>
        <v>Rahi</v>
      </c>
    </row>
    <row r="3391" spans="1:8" x14ac:dyDescent="0.35">
      <c r="A3391" t="s">
        <v>38</v>
      </c>
      <c r="B3391">
        <v>2016</v>
      </c>
      <c r="C3391">
        <v>2</v>
      </c>
      <c r="D3391">
        <v>17892</v>
      </c>
      <c r="E3391">
        <v>55</v>
      </c>
      <c r="F3391">
        <v>8190.05</v>
      </c>
      <c r="G3391">
        <v>1828.71</v>
      </c>
      <c r="H3391" t="str">
        <f>VLOOKUP(myynnit[[#This Row],[TuoteID]],ohjaus!$A$4:$B$20,2,FALSE)</f>
        <v>Lepotuoli</v>
      </c>
    </row>
    <row r="3392" spans="1:8" x14ac:dyDescent="0.35">
      <c r="A3392" t="s">
        <v>38</v>
      </c>
      <c r="B3392">
        <v>2016</v>
      </c>
      <c r="C3392">
        <v>2</v>
      </c>
      <c r="D3392">
        <v>18342</v>
      </c>
      <c r="E3392">
        <v>106</v>
      </c>
      <c r="F3392">
        <v>78254.850000000006</v>
      </c>
      <c r="G3392">
        <v>20798.59</v>
      </c>
      <c r="H3392" t="str">
        <f>VLOOKUP(myynnit[[#This Row],[TuoteID]],ohjaus!$A$4:$B$20,2,FALSE)</f>
        <v>Työtuoli</v>
      </c>
    </row>
    <row r="3393" spans="1:8" x14ac:dyDescent="0.35">
      <c r="A3393" t="s">
        <v>38</v>
      </c>
      <c r="B3393">
        <v>2016</v>
      </c>
      <c r="C3393">
        <v>2</v>
      </c>
      <c r="D3393">
        <v>20177</v>
      </c>
      <c r="E3393">
        <v>62</v>
      </c>
      <c r="F3393">
        <v>6084.3</v>
      </c>
      <c r="G3393">
        <v>2480.27</v>
      </c>
      <c r="H3393" t="str">
        <f>VLOOKUP(myynnit[[#This Row],[TuoteID]],ohjaus!$A$4:$B$20,2,FALSE)</f>
        <v>Säkkituoli</v>
      </c>
    </row>
    <row r="3394" spans="1:8" x14ac:dyDescent="0.35">
      <c r="A3394" t="s">
        <v>38</v>
      </c>
      <c r="B3394">
        <v>2016</v>
      </c>
      <c r="C3394">
        <v>2</v>
      </c>
      <c r="D3394">
        <v>21179</v>
      </c>
      <c r="E3394">
        <v>57</v>
      </c>
      <c r="F3394">
        <v>8044.43</v>
      </c>
      <c r="G3394">
        <v>4502.3900000000003</v>
      </c>
      <c r="H3394" t="str">
        <f>VLOOKUP(myynnit[[#This Row],[TuoteID]],ohjaus!$A$4:$B$20,2,FALSE)</f>
        <v>Rahi</v>
      </c>
    </row>
    <row r="3395" spans="1:8" x14ac:dyDescent="0.35">
      <c r="A3395" t="s">
        <v>38</v>
      </c>
      <c r="B3395">
        <v>2016</v>
      </c>
      <c r="C3395">
        <v>2</v>
      </c>
      <c r="D3395">
        <v>21260</v>
      </c>
      <c r="E3395">
        <v>70</v>
      </c>
      <c r="F3395">
        <v>12124.82</v>
      </c>
      <c r="G3395">
        <v>3309.23</v>
      </c>
      <c r="H3395" t="str">
        <f>VLOOKUP(myynnit[[#This Row],[TuoteID]],ohjaus!$A$4:$B$20,2,FALSE)</f>
        <v>Lepotuoli</v>
      </c>
    </row>
    <row r="3396" spans="1:8" x14ac:dyDescent="0.35">
      <c r="A3396" t="s">
        <v>38</v>
      </c>
      <c r="B3396">
        <v>2016</v>
      </c>
      <c r="C3396">
        <v>2</v>
      </c>
      <c r="D3396">
        <v>22317</v>
      </c>
      <c r="E3396">
        <v>86</v>
      </c>
      <c r="F3396">
        <v>6746.64</v>
      </c>
      <c r="G3396">
        <v>2562.86</v>
      </c>
      <c r="H3396" t="str">
        <f>VLOOKUP(myynnit[[#This Row],[TuoteID]],ohjaus!$A$4:$B$20,2,FALSE)</f>
        <v>Säkkituoli</v>
      </c>
    </row>
    <row r="3397" spans="1:8" x14ac:dyDescent="0.35">
      <c r="A3397" t="s">
        <v>38</v>
      </c>
      <c r="B3397">
        <v>2016</v>
      </c>
      <c r="C3397">
        <v>2</v>
      </c>
      <c r="D3397">
        <v>22940</v>
      </c>
      <c r="E3397">
        <v>557</v>
      </c>
      <c r="F3397">
        <v>75493.73</v>
      </c>
      <c r="G3397">
        <v>15414.95</v>
      </c>
      <c r="H3397" t="str">
        <f>VLOOKUP(myynnit[[#This Row],[TuoteID]],ohjaus!$A$4:$B$20,2,FALSE)</f>
        <v>Pinnatuoli</v>
      </c>
    </row>
    <row r="3398" spans="1:8" x14ac:dyDescent="0.35">
      <c r="A3398" t="s">
        <v>38</v>
      </c>
      <c r="B3398">
        <v>2016</v>
      </c>
      <c r="C3398">
        <v>2</v>
      </c>
      <c r="D3398">
        <v>23178</v>
      </c>
      <c r="E3398">
        <v>204</v>
      </c>
      <c r="F3398">
        <v>37968.97</v>
      </c>
      <c r="G3398">
        <v>7153.02</v>
      </c>
      <c r="H3398" t="str">
        <f>VLOOKUP(myynnit[[#This Row],[TuoteID]],ohjaus!$A$4:$B$20,2,FALSE)</f>
        <v>Pinnatuoli</v>
      </c>
    </row>
    <row r="3399" spans="1:8" x14ac:dyDescent="0.35">
      <c r="A3399" t="s">
        <v>38</v>
      </c>
      <c r="B3399">
        <v>2016</v>
      </c>
      <c r="C3399">
        <v>2</v>
      </c>
      <c r="D3399">
        <v>23600</v>
      </c>
      <c r="E3399">
        <v>975</v>
      </c>
      <c r="F3399">
        <v>118231.06</v>
      </c>
      <c r="G3399">
        <v>32238.51</v>
      </c>
      <c r="H3399" t="str">
        <f>VLOOKUP(myynnit[[#This Row],[TuoteID]],ohjaus!$A$4:$B$20,2,FALSE)</f>
        <v>Pinnatuoli</v>
      </c>
    </row>
    <row r="3400" spans="1:8" x14ac:dyDescent="0.35">
      <c r="A3400" t="s">
        <v>38</v>
      </c>
      <c r="B3400">
        <v>2016</v>
      </c>
      <c r="C3400">
        <v>2</v>
      </c>
      <c r="D3400">
        <v>23756</v>
      </c>
      <c r="E3400">
        <v>85</v>
      </c>
      <c r="F3400">
        <v>17936.47</v>
      </c>
      <c r="G3400">
        <v>8557.8799999999992</v>
      </c>
      <c r="H3400" t="str">
        <f>VLOOKUP(myynnit[[#This Row],[TuoteID]],ohjaus!$A$4:$B$20,2,FALSE)</f>
        <v>Pianotuoli</v>
      </c>
    </row>
    <row r="3401" spans="1:8" x14ac:dyDescent="0.35">
      <c r="A3401" t="s">
        <v>38</v>
      </c>
      <c r="B3401">
        <v>2016</v>
      </c>
      <c r="C3401">
        <v>2</v>
      </c>
      <c r="D3401">
        <v>24326</v>
      </c>
      <c r="E3401">
        <v>84</v>
      </c>
      <c r="F3401">
        <v>11021.69</v>
      </c>
      <c r="G3401">
        <v>3137.83</v>
      </c>
      <c r="H3401" t="str">
        <f>VLOOKUP(myynnit[[#This Row],[TuoteID]],ohjaus!$A$4:$B$20,2,FALSE)</f>
        <v>Lepotuoli</v>
      </c>
    </row>
    <row r="3402" spans="1:8" x14ac:dyDescent="0.35">
      <c r="A3402" t="s">
        <v>37</v>
      </c>
      <c r="B3402">
        <v>2016</v>
      </c>
      <c r="C3402">
        <v>3</v>
      </c>
      <c r="D3402">
        <v>12184</v>
      </c>
      <c r="E3402">
        <v>111</v>
      </c>
      <c r="F3402">
        <v>12007.41</v>
      </c>
      <c r="G3402">
        <v>6160.46</v>
      </c>
      <c r="H3402" t="str">
        <f>VLOOKUP(myynnit[[#This Row],[TuoteID]],ohjaus!$A$4:$B$20,2,FALSE)</f>
        <v>Rahi</v>
      </c>
    </row>
    <row r="3403" spans="1:8" x14ac:dyDescent="0.35">
      <c r="A3403" t="s">
        <v>37</v>
      </c>
      <c r="B3403">
        <v>2016</v>
      </c>
      <c r="C3403">
        <v>3</v>
      </c>
      <c r="D3403">
        <v>12622</v>
      </c>
      <c r="E3403">
        <v>56</v>
      </c>
      <c r="F3403">
        <v>17455.82</v>
      </c>
      <c r="G3403">
        <v>7446.88</v>
      </c>
      <c r="H3403" t="str">
        <f>VLOOKUP(myynnit[[#This Row],[TuoteID]],ohjaus!$A$4:$B$20,2,FALSE)</f>
        <v>Pianotuoli</v>
      </c>
    </row>
    <row r="3404" spans="1:8" x14ac:dyDescent="0.35">
      <c r="A3404" t="s">
        <v>37</v>
      </c>
      <c r="B3404">
        <v>2016</v>
      </c>
      <c r="C3404">
        <v>3</v>
      </c>
      <c r="D3404">
        <v>13527</v>
      </c>
      <c r="E3404">
        <v>419</v>
      </c>
      <c r="F3404">
        <v>66767.53</v>
      </c>
      <c r="G3404">
        <v>13314.19</v>
      </c>
      <c r="H3404" t="str">
        <f>VLOOKUP(myynnit[[#This Row],[TuoteID]],ohjaus!$A$4:$B$20,2,FALSE)</f>
        <v>Pinnatuoli</v>
      </c>
    </row>
    <row r="3405" spans="1:8" x14ac:dyDescent="0.35">
      <c r="A3405" t="s">
        <v>37</v>
      </c>
      <c r="B3405">
        <v>2016</v>
      </c>
      <c r="C3405">
        <v>3</v>
      </c>
      <c r="D3405">
        <v>13618</v>
      </c>
      <c r="E3405">
        <v>31</v>
      </c>
      <c r="F3405">
        <v>11033.81</v>
      </c>
      <c r="G3405">
        <v>5209.66</v>
      </c>
      <c r="H3405" t="str">
        <f>VLOOKUP(myynnit[[#This Row],[TuoteID]],ohjaus!$A$4:$B$20,2,FALSE)</f>
        <v>Pianotuoli</v>
      </c>
    </row>
    <row r="3406" spans="1:8" x14ac:dyDescent="0.35">
      <c r="A3406" t="s">
        <v>37</v>
      </c>
      <c r="B3406">
        <v>2016</v>
      </c>
      <c r="C3406">
        <v>3</v>
      </c>
      <c r="D3406">
        <v>16024</v>
      </c>
      <c r="E3406">
        <v>153</v>
      </c>
      <c r="F3406">
        <v>58615.72</v>
      </c>
      <c r="G3406">
        <v>16617.59</v>
      </c>
      <c r="H3406" t="str">
        <f>VLOOKUP(myynnit[[#This Row],[TuoteID]],ohjaus!$A$4:$B$20,2,FALSE)</f>
        <v>Työtuoli</v>
      </c>
    </row>
    <row r="3407" spans="1:8" x14ac:dyDescent="0.35">
      <c r="A3407" t="s">
        <v>37</v>
      </c>
      <c r="B3407">
        <v>2016</v>
      </c>
      <c r="C3407">
        <v>3</v>
      </c>
      <c r="D3407">
        <v>16650</v>
      </c>
      <c r="E3407">
        <v>64</v>
      </c>
      <c r="F3407">
        <v>10402.02</v>
      </c>
      <c r="G3407">
        <v>5147.6499999999996</v>
      </c>
      <c r="H3407" t="str">
        <f>VLOOKUP(myynnit[[#This Row],[TuoteID]],ohjaus!$A$4:$B$20,2,FALSE)</f>
        <v>Rahi</v>
      </c>
    </row>
    <row r="3408" spans="1:8" x14ac:dyDescent="0.35">
      <c r="A3408" t="s">
        <v>37</v>
      </c>
      <c r="B3408">
        <v>2016</v>
      </c>
      <c r="C3408">
        <v>3</v>
      </c>
      <c r="D3408">
        <v>17892</v>
      </c>
      <c r="E3408">
        <v>161</v>
      </c>
      <c r="F3408">
        <v>24173.21</v>
      </c>
      <c r="G3408">
        <v>6828.46</v>
      </c>
      <c r="H3408" t="str">
        <f>VLOOKUP(myynnit[[#This Row],[TuoteID]],ohjaus!$A$4:$B$20,2,FALSE)</f>
        <v>Lepotuoli</v>
      </c>
    </row>
    <row r="3409" spans="1:8" x14ac:dyDescent="0.35">
      <c r="A3409" t="s">
        <v>37</v>
      </c>
      <c r="B3409">
        <v>2016</v>
      </c>
      <c r="C3409">
        <v>3</v>
      </c>
      <c r="D3409">
        <v>18342</v>
      </c>
      <c r="E3409">
        <v>125</v>
      </c>
      <c r="F3409">
        <v>115989.28</v>
      </c>
      <c r="G3409">
        <v>31929</v>
      </c>
      <c r="H3409" t="str">
        <f>VLOOKUP(myynnit[[#This Row],[TuoteID]],ohjaus!$A$4:$B$20,2,FALSE)</f>
        <v>Työtuoli</v>
      </c>
    </row>
    <row r="3410" spans="1:8" x14ac:dyDescent="0.35">
      <c r="A3410" t="s">
        <v>37</v>
      </c>
      <c r="B3410">
        <v>2016</v>
      </c>
      <c r="C3410">
        <v>3</v>
      </c>
      <c r="D3410">
        <v>20177</v>
      </c>
      <c r="E3410">
        <v>70</v>
      </c>
      <c r="F3410">
        <v>7881.15</v>
      </c>
      <c r="G3410">
        <v>3117.5</v>
      </c>
      <c r="H3410" t="str">
        <f>VLOOKUP(myynnit[[#This Row],[TuoteID]],ohjaus!$A$4:$B$20,2,FALSE)</f>
        <v>Säkkituoli</v>
      </c>
    </row>
    <row r="3411" spans="1:8" x14ac:dyDescent="0.35">
      <c r="A3411" t="s">
        <v>37</v>
      </c>
      <c r="B3411">
        <v>2016</v>
      </c>
      <c r="C3411">
        <v>3</v>
      </c>
      <c r="D3411">
        <v>21179</v>
      </c>
      <c r="E3411">
        <v>45</v>
      </c>
      <c r="F3411">
        <v>5285.05</v>
      </c>
      <c r="G3411">
        <v>2731.34</v>
      </c>
      <c r="H3411" t="str">
        <f>VLOOKUP(myynnit[[#This Row],[TuoteID]],ohjaus!$A$4:$B$20,2,FALSE)</f>
        <v>Rahi</v>
      </c>
    </row>
    <row r="3412" spans="1:8" x14ac:dyDescent="0.35">
      <c r="A3412" t="s">
        <v>37</v>
      </c>
      <c r="B3412">
        <v>2016</v>
      </c>
      <c r="C3412">
        <v>3</v>
      </c>
      <c r="D3412">
        <v>21260</v>
      </c>
      <c r="E3412">
        <v>70</v>
      </c>
      <c r="F3412">
        <v>14888.94</v>
      </c>
      <c r="G3412">
        <v>4190.01</v>
      </c>
      <c r="H3412" t="str">
        <f>VLOOKUP(myynnit[[#This Row],[TuoteID]],ohjaus!$A$4:$B$20,2,FALSE)</f>
        <v>Lepotuoli</v>
      </c>
    </row>
    <row r="3413" spans="1:8" x14ac:dyDescent="0.35">
      <c r="A3413" t="s">
        <v>37</v>
      </c>
      <c r="B3413">
        <v>2016</v>
      </c>
      <c r="C3413">
        <v>3</v>
      </c>
      <c r="D3413">
        <v>22317</v>
      </c>
      <c r="E3413">
        <v>47</v>
      </c>
      <c r="F3413">
        <v>4596.93</v>
      </c>
      <c r="G3413">
        <v>1848.72</v>
      </c>
      <c r="H3413" t="str">
        <f>VLOOKUP(myynnit[[#This Row],[TuoteID]],ohjaus!$A$4:$B$20,2,FALSE)</f>
        <v>Säkkituoli</v>
      </c>
    </row>
    <row r="3414" spans="1:8" x14ac:dyDescent="0.35">
      <c r="A3414" t="s">
        <v>37</v>
      </c>
      <c r="B3414">
        <v>2016</v>
      </c>
      <c r="C3414">
        <v>3</v>
      </c>
      <c r="D3414">
        <v>22940</v>
      </c>
      <c r="E3414">
        <v>394</v>
      </c>
      <c r="F3414">
        <v>50551.54</v>
      </c>
      <c r="G3414">
        <v>10820.4</v>
      </c>
      <c r="H3414" t="str">
        <f>VLOOKUP(myynnit[[#This Row],[TuoteID]],ohjaus!$A$4:$B$20,2,FALSE)</f>
        <v>Pinnatuoli</v>
      </c>
    </row>
    <row r="3415" spans="1:8" x14ac:dyDescent="0.35">
      <c r="A3415" t="s">
        <v>37</v>
      </c>
      <c r="B3415">
        <v>2016</v>
      </c>
      <c r="C3415">
        <v>3</v>
      </c>
      <c r="D3415">
        <v>23178</v>
      </c>
      <c r="E3415">
        <v>241</v>
      </c>
      <c r="F3415">
        <v>42395.03</v>
      </c>
      <c r="G3415">
        <v>8992.57</v>
      </c>
      <c r="H3415" t="str">
        <f>VLOOKUP(myynnit[[#This Row],[TuoteID]],ohjaus!$A$4:$B$20,2,FALSE)</f>
        <v>Pinnatuoli</v>
      </c>
    </row>
    <row r="3416" spans="1:8" x14ac:dyDescent="0.35">
      <c r="A3416" t="s">
        <v>37</v>
      </c>
      <c r="B3416">
        <v>2016</v>
      </c>
      <c r="C3416">
        <v>3</v>
      </c>
      <c r="D3416">
        <v>23600</v>
      </c>
      <c r="E3416">
        <v>1420</v>
      </c>
      <c r="F3416">
        <v>168979.47</v>
      </c>
      <c r="G3416">
        <v>34184.980000000003</v>
      </c>
      <c r="H3416" t="str">
        <f>VLOOKUP(myynnit[[#This Row],[TuoteID]],ohjaus!$A$4:$B$20,2,FALSE)</f>
        <v>Pinnatuoli</v>
      </c>
    </row>
    <row r="3417" spans="1:8" x14ac:dyDescent="0.35">
      <c r="A3417" t="s">
        <v>37</v>
      </c>
      <c r="B3417">
        <v>2016</v>
      </c>
      <c r="C3417">
        <v>3</v>
      </c>
      <c r="D3417">
        <v>23756</v>
      </c>
      <c r="E3417">
        <v>94</v>
      </c>
      <c r="F3417">
        <v>17220.36</v>
      </c>
      <c r="G3417">
        <v>7800.24</v>
      </c>
      <c r="H3417" t="str">
        <f>VLOOKUP(myynnit[[#This Row],[TuoteID]],ohjaus!$A$4:$B$20,2,FALSE)</f>
        <v>Pianotuoli</v>
      </c>
    </row>
    <row r="3418" spans="1:8" x14ac:dyDescent="0.35">
      <c r="A3418" t="s">
        <v>37</v>
      </c>
      <c r="B3418">
        <v>2016</v>
      </c>
      <c r="C3418">
        <v>3</v>
      </c>
      <c r="D3418">
        <v>24326</v>
      </c>
      <c r="E3418">
        <v>159</v>
      </c>
      <c r="F3418">
        <v>20753.759999999998</v>
      </c>
      <c r="G3418">
        <v>5566.7</v>
      </c>
      <c r="H3418" t="str">
        <f>VLOOKUP(myynnit[[#This Row],[TuoteID]],ohjaus!$A$4:$B$20,2,FALSE)</f>
        <v>Lepotuoli</v>
      </c>
    </row>
    <row r="3419" spans="1:8" x14ac:dyDescent="0.35">
      <c r="A3419" t="s">
        <v>40</v>
      </c>
      <c r="B3419">
        <v>2016</v>
      </c>
      <c r="C3419">
        <v>3</v>
      </c>
      <c r="D3419">
        <v>12184</v>
      </c>
      <c r="E3419">
        <v>32</v>
      </c>
      <c r="F3419">
        <v>4173.5600000000004</v>
      </c>
      <c r="G3419">
        <v>1870.7</v>
      </c>
      <c r="H3419" t="str">
        <f>VLOOKUP(myynnit[[#This Row],[TuoteID]],ohjaus!$A$4:$B$20,2,FALSE)</f>
        <v>Rahi</v>
      </c>
    </row>
    <row r="3420" spans="1:8" x14ac:dyDescent="0.35">
      <c r="A3420" t="s">
        <v>40</v>
      </c>
      <c r="B3420">
        <v>2016</v>
      </c>
      <c r="C3420">
        <v>3</v>
      </c>
      <c r="D3420">
        <v>12622</v>
      </c>
      <c r="E3420">
        <v>18</v>
      </c>
      <c r="F3420">
        <v>4432.1499999999996</v>
      </c>
      <c r="G3420">
        <v>1564.68</v>
      </c>
      <c r="H3420" t="str">
        <f>VLOOKUP(myynnit[[#This Row],[TuoteID]],ohjaus!$A$4:$B$20,2,FALSE)</f>
        <v>Pianotuoli</v>
      </c>
    </row>
    <row r="3421" spans="1:8" x14ac:dyDescent="0.35">
      <c r="A3421" t="s">
        <v>40</v>
      </c>
      <c r="B3421">
        <v>2016</v>
      </c>
      <c r="C3421">
        <v>3</v>
      </c>
      <c r="D3421">
        <v>13527</v>
      </c>
      <c r="E3421">
        <v>276</v>
      </c>
      <c r="F3421">
        <v>43869.8</v>
      </c>
      <c r="G3421">
        <v>7808.31</v>
      </c>
      <c r="H3421" t="str">
        <f>VLOOKUP(myynnit[[#This Row],[TuoteID]],ohjaus!$A$4:$B$20,2,FALSE)</f>
        <v>Pinnatuoli</v>
      </c>
    </row>
    <row r="3422" spans="1:8" x14ac:dyDescent="0.35">
      <c r="A3422" t="s">
        <v>40</v>
      </c>
      <c r="B3422">
        <v>2016</v>
      </c>
      <c r="C3422">
        <v>3</v>
      </c>
      <c r="D3422">
        <v>13618</v>
      </c>
      <c r="E3422">
        <v>6</v>
      </c>
      <c r="F3422">
        <v>2082.65</v>
      </c>
      <c r="G3422">
        <v>905.63</v>
      </c>
      <c r="H3422" t="str">
        <f>VLOOKUP(myynnit[[#This Row],[TuoteID]],ohjaus!$A$4:$B$20,2,FALSE)</f>
        <v>Pianotuoli</v>
      </c>
    </row>
    <row r="3423" spans="1:8" x14ac:dyDescent="0.35">
      <c r="A3423" t="s">
        <v>40</v>
      </c>
      <c r="B3423">
        <v>2016</v>
      </c>
      <c r="C3423">
        <v>3</v>
      </c>
      <c r="D3423">
        <v>16024</v>
      </c>
      <c r="E3423">
        <v>211</v>
      </c>
      <c r="F3423">
        <v>93948.11</v>
      </c>
      <c r="G3423">
        <v>25748.43</v>
      </c>
      <c r="H3423" t="str">
        <f>VLOOKUP(myynnit[[#This Row],[TuoteID]],ohjaus!$A$4:$B$20,2,FALSE)</f>
        <v>Työtuoli</v>
      </c>
    </row>
    <row r="3424" spans="1:8" x14ac:dyDescent="0.35">
      <c r="A3424" t="s">
        <v>40</v>
      </c>
      <c r="B3424">
        <v>2016</v>
      </c>
      <c r="C3424">
        <v>3</v>
      </c>
      <c r="D3424">
        <v>16650</v>
      </c>
      <c r="E3424">
        <v>36</v>
      </c>
      <c r="F3424">
        <v>4656.6400000000003</v>
      </c>
      <c r="G3424">
        <v>2711.5</v>
      </c>
      <c r="H3424" t="str">
        <f>VLOOKUP(myynnit[[#This Row],[TuoteID]],ohjaus!$A$4:$B$20,2,FALSE)</f>
        <v>Rahi</v>
      </c>
    </row>
    <row r="3425" spans="1:8" x14ac:dyDescent="0.35">
      <c r="A3425" t="s">
        <v>40</v>
      </c>
      <c r="B3425">
        <v>2016</v>
      </c>
      <c r="C3425">
        <v>3</v>
      </c>
      <c r="D3425">
        <v>17892</v>
      </c>
      <c r="E3425">
        <v>112</v>
      </c>
      <c r="F3425">
        <v>16900.7</v>
      </c>
      <c r="G3425">
        <v>3885.16</v>
      </c>
      <c r="H3425" t="str">
        <f>VLOOKUP(myynnit[[#This Row],[TuoteID]],ohjaus!$A$4:$B$20,2,FALSE)</f>
        <v>Lepotuoli</v>
      </c>
    </row>
    <row r="3426" spans="1:8" x14ac:dyDescent="0.35">
      <c r="A3426" t="s">
        <v>40</v>
      </c>
      <c r="B3426">
        <v>2016</v>
      </c>
      <c r="C3426">
        <v>3</v>
      </c>
      <c r="D3426">
        <v>18342</v>
      </c>
      <c r="E3426">
        <v>11</v>
      </c>
      <c r="F3426">
        <v>8957.91</v>
      </c>
      <c r="G3426">
        <v>2355.23</v>
      </c>
      <c r="H3426" t="str">
        <f>VLOOKUP(myynnit[[#This Row],[TuoteID]],ohjaus!$A$4:$B$20,2,FALSE)</f>
        <v>Työtuoli</v>
      </c>
    </row>
    <row r="3427" spans="1:8" x14ac:dyDescent="0.35">
      <c r="A3427" t="s">
        <v>40</v>
      </c>
      <c r="B3427">
        <v>2016</v>
      </c>
      <c r="C3427">
        <v>3</v>
      </c>
      <c r="D3427">
        <v>20177</v>
      </c>
      <c r="E3427">
        <v>16</v>
      </c>
      <c r="F3427">
        <v>1562.6</v>
      </c>
      <c r="G3427">
        <v>644.53</v>
      </c>
      <c r="H3427" t="str">
        <f>VLOOKUP(myynnit[[#This Row],[TuoteID]],ohjaus!$A$4:$B$20,2,FALSE)</f>
        <v>Säkkituoli</v>
      </c>
    </row>
    <row r="3428" spans="1:8" x14ac:dyDescent="0.35">
      <c r="A3428" t="s">
        <v>40</v>
      </c>
      <c r="B3428">
        <v>2016</v>
      </c>
      <c r="C3428">
        <v>3</v>
      </c>
      <c r="D3428">
        <v>21179</v>
      </c>
      <c r="E3428">
        <v>39</v>
      </c>
      <c r="F3428">
        <v>4315.68</v>
      </c>
      <c r="G3428">
        <v>2709.86</v>
      </c>
      <c r="H3428" t="str">
        <f>VLOOKUP(myynnit[[#This Row],[TuoteID]],ohjaus!$A$4:$B$20,2,FALSE)</f>
        <v>Rahi</v>
      </c>
    </row>
    <row r="3429" spans="1:8" x14ac:dyDescent="0.35">
      <c r="A3429" t="s">
        <v>40</v>
      </c>
      <c r="B3429">
        <v>2016</v>
      </c>
      <c r="C3429">
        <v>3</v>
      </c>
      <c r="D3429">
        <v>21260</v>
      </c>
      <c r="E3429">
        <v>51</v>
      </c>
      <c r="F3429">
        <v>10184.75</v>
      </c>
      <c r="G3429">
        <v>2120.1999999999998</v>
      </c>
      <c r="H3429" t="str">
        <f>VLOOKUP(myynnit[[#This Row],[TuoteID]],ohjaus!$A$4:$B$20,2,FALSE)</f>
        <v>Lepotuoli</v>
      </c>
    </row>
    <row r="3430" spans="1:8" x14ac:dyDescent="0.35">
      <c r="A3430" t="s">
        <v>40</v>
      </c>
      <c r="B3430">
        <v>2016</v>
      </c>
      <c r="C3430">
        <v>3</v>
      </c>
      <c r="D3430">
        <v>22317</v>
      </c>
      <c r="E3430">
        <v>12</v>
      </c>
      <c r="F3430">
        <v>999.12</v>
      </c>
      <c r="G3430">
        <v>455.49</v>
      </c>
      <c r="H3430" t="str">
        <f>VLOOKUP(myynnit[[#This Row],[TuoteID]],ohjaus!$A$4:$B$20,2,FALSE)</f>
        <v>Säkkituoli</v>
      </c>
    </row>
    <row r="3431" spans="1:8" x14ac:dyDescent="0.35">
      <c r="A3431" t="s">
        <v>40</v>
      </c>
      <c r="B3431">
        <v>2016</v>
      </c>
      <c r="C3431">
        <v>3</v>
      </c>
      <c r="D3431">
        <v>22940</v>
      </c>
      <c r="E3431">
        <v>97</v>
      </c>
      <c r="F3431">
        <v>13551.85</v>
      </c>
      <c r="G3431">
        <v>3836.85</v>
      </c>
      <c r="H3431" t="str">
        <f>VLOOKUP(myynnit[[#This Row],[TuoteID]],ohjaus!$A$4:$B$20,2,FALSE)</f>
        <v>Pinnatuoli</v>
      </c>
    </row>
    <row r="3432" spans="1:8" x14ac:dyDescent="0.35">
      <c r="A3432" t="s">
        <v>40</v>
      </c>
      <c r="B3432">
        <v>2016</v>
      </c>
      <c r="C3432">
        <v>3</v>
      </c>
      <c r="D3432">
        <v>23178</v>
      </c>
      <c r="E3432">
        <v>256</v>
      </c>
      <c r="F3432">
        <v>49151.35</v>
      </c>
      <c r="G3432">
        <v>13859.78</v>
      </c>
      <c r="H3432" t="str">
        <f>VLOOKUP(myynnit[[#This Row],[TuoteID]],ohjaus!$A$4:$B$20,2,FALSE)</f>
        <v>Pinnatuoli</v>
      </c>
    </row>
    <row r="3433" spans="1:8" x14ac:dyDescent="0.35">
      <c r="A3433" t="s">
        <v>40</v>
      </c>
      <c r="B3433">
        <v>2016</v>
      </c>
      <c r="C3433">
        <v>3</v>
      </c>
      <c r="D3433">
        <v>23600</v>
      </c>
      <c r="E3433">
        <v>562</v>
      </c>
      <c r="F3433">
        <v>57176.84</v>
      </c>
      <c r="G3433">
        <v>17766.87</v>
      </c>
      <c r="H3433" t="str">
        <f>VLOOKUP(myynnit[[#This Row],[TuoteID]],ohjaus!$A$4:$B$20,2,FALSE)</f>
        <v>Pinnatuoli</v>
      </c>
    </row>
    <row r="3434" spans="1:8" x14ac:dyDescent="0.35">
      <c r="A3434" t="s">
        <v>40</v>
      </c>
      <c r="B3434">
        <v>2016</v>
      </c>
      <c r="C3434">
        <v>3</v>
      </c>
      <c r="D3434">
        <v>23756</v>
      </c>
      <c r="E3434">
        <v>79</v>
      </c>
      <c r="F3434">
        <v>16402.7</v>
      </c>
      <c r="G3434">
        <v>8104.39</v>
      </c>
      <c r="H3434" t="str">
        <f>VLOOKUP(myynnit[[#This Row],[TuoteID]],ohjaus!$A$4:$B$20,2,FALSE)</f>
        <v>Pianotuoli</v>
      </c>
    </row>
    <row r="3435" spans="1:8" x14ac:dyDescent="0.35">
      <c r="A3435" t="s">
        <v>40</v>
      </c>
      <c r="B3435">
        <v>2016</v>
      </c>
      <c r="C3435">
        <v>3</v>
      </c>
      <c r="D3435">
        <v>24326</v>
      </c>
      <c r="E3435">
        <v>22</v>
      </c>
      <c r="F3435">
        <v>3194.92</v>
      </c>
      <c r="G3435">
        <v>887.99</v>
      </c>
      <c r="H3435" t="str">
        <f>VLOOKUP(myynnit[[#This Row],[TuoteID]],ohjaus!$A$4:$B$20,2,FALSE)</f>
        <v>Lepotuoli</v>
      </c>
    </row>
    <row r="3436" spans="1:8" x14ac:dyDescent="0.35">
      <c r="A3436" t="s">
        <v>39</v>
      </c>
      <c r="B3436">
        <v>2016</v>
      </c>
      <c r="C3436">
        <v>3</v>
      </c>
      <c r="D3436">
        <v>12184</v>
      </c>
      <c r="E3436">
        <v>59</v>
      </c>
      <c r="F3436">
        <v>8717.15</v>
      </c>
      <c r="G3436">
        <v>5367.77</v>
      </c>
      <c r="H3436" t="str">
        <f>VLOOKUP(myynnit[[#This Row],[TuoteID]],ohjaus!$A$4:$B$20,2,FALSE)</f>
        <v>Rahi</v>
      </c>
    </row>
    <row r="3437" spans="1:8" x14ac:dyDescent="0.35">
      <c r="A3437" t="s">
        <v>39</v>
      </c>
      <c r="B3437">
        <v>2016</v>
      </c>
      <c r="C3437">
        <v>3</v>
      </c>
      <c r="D3437">
        <v>12622</v>
      </c>
      <c r="E3437">
        <v>62</v>
      </c>
      <c r="F3437">
        <v>15973.35</v>
      </c>
      <c r="G3437">
        <v>8741.7000000000007</v>
      </c>
      <c r="H3437" t="str">
        <f>VLOOKUP(myynnit[[#This Row],[TuoteID]],ohjaus!$A$4:$B$20,2,FALSE)</f>
        <v>Pianotuoli</v>
      </c>
    </row>
    <row r="3438" spans="1:8" x14ac:dyDescent="0.35">
      <c r="A3438" t="s">
        <v>39</v>
      </c>
      <c r="B3438">
        <v>2016</v>
      </c>
      <c r="C3438">
        <v>3</v>
      </c>
      <c r="D3438">
        <v>13527</v>
      </c>
      <c r="E3438">
        <v>524</v>
      </c>
      <c r="F3438">
        <v>78587.759999999995</v>
      </c>
      <c r="G3438">
        <v>17425.27</v>
      </c>
      <c r="H3438" t="str">
        <f>VLOOKUP(myynnit[[#This Row],[TuoteID]],ohjaus!$A$4:$B$20,2,FALSE)</f>
        <v>Pinnatuoli</v>
      </c>
    </row>
    <row r="3439" spans="1:8" x14ac:dyDescent="0.35">
      <c r="A3439" t="s">
        <v>39</v>
      </c>
      <c r="B3439">
        <v>2016</v>
      </c>
      <c r="C3439">
        <v>3</v>
      </c>
      <c r="D3439">
        <v>13618</v>
      </c>
      <c r="E3439">
        <v>30</v>
      </c>
      <c r="F3439">
        <v>11646.81</v>
      </c>
      <c r="G3439">
        <v>6277.75</v>
      </c>
      <c r="H3439" t="str">
        <f>VLOOKUP(myynnit[[#This Row],[TuoteID]],ohjaus!$A$4:$B$20,2,FALSE)</f>
        <v>Pianotuoli</v>
      </c>
    </row>
    <row r="3440" spans="1:8" x14ac:dyDescent="0.35">
      <c r="A3440" t="s">
        <v>39</v>
      </c>
      <c r="B3440">
        <v>2016</v>
      </c>
      <c r="C3440">
        <v>3</v>
      </c>
      <c r="D3440">
        <v>16024</v>
      </c>
      <c r="E3440">
        <v>269</v>
      </c>
      <c r="F3440">
        <v>117168.56</v>
      </c>
      <c r="G3440">
        <v>30622.89</v>
      </c>
      <c r="H3440" t="str">
        <f>VLOOKUP(myynnit[[#This Row],[TuoteID]],ohjaus!$A$4:$B$20,2,FALSE)</f>
        <v>Työtuoli</v>
      </c>
    </row>
    <row r="3441" spans="1:8" x14ac:dyDescent="0.35">
      <c r="A3441" t="s">
        <v>39</v>
      </c>
      <c r="B3441">
        <v>2016</v>
      </c>
      <c r="C3441">
        <v>3</v>
      </c>
      <c r="D3441">
        <v>16650</v>
      </c>
      <c r="E3441">
        <v>28</v>
      </c>
      <c r="F3441">
        <v>4515.41</v>
      </c>
      <c r="G3441">
        <v>2755.32</v>
      </c>
      <c r="H3441" t="str">
        <f>VLOOKUP(myynnit[[#This Row],[TuoteID]],ohjaus!$A$4:$B$20,2,FALSE)</f>
        <v>Rahi</v>
      </c>
    </row>
    <row r="3442" spans="1:8" x14ac:dyDescent="0.35">
      <c r="A3442" t="s">
        <v>39</v>
      </c>
      <c r="B3442">
        <v>2016</v>
      </c>
      <c r="C3442">
        <v>3</v>
      </c>
      <c r="D3442">
        <v>17892</v>
      </c>
      <c r="E3442">
        <v>58</v>
      </c>
      <c r="F3442">
        <v>7760.9</v>
      </c>
      <c r="G3442">
        <v>2062.02</v>
      </c>
      <c r="H3442" t="str">
        <f>VLOOKUP(myynnit[[#This Row],[TuoteID]],ohjaus!$A$4:$B$20,2,FALSE)</f>
        <v>Lepotuoli</v>
      </c>
    </row>
    <row r="3443" spans="1:8" x14ac:dyDescent="0.35">
      <c r="A3443" t="s">
        <v>39</v>
      </c>
      <c r="B3443">
        <v>2016</v>
      </c>
      <c r="C3443">
        <v>3</v>
      </c>
      <c r="D3443">
        <v>18342</v>
      </c>
      <c r="E3443">
        <v>179</v>
      </c>
      <c r="F3443">
        <v>136629.88</v>
      </c>
      <c r="G3443">
        <v>40607.03</v>
      </c>
      <c r="H3443" t="str">
        <f>VLOOKUP(myynnit[[#This Row],[TuoteID]],ohjaus!$A$4:$B$20,2,FALSE)</f>
        <v>Työtuoli</v>
      </c>
    </row>
    <row r="3444" spans="1:8" x14ac:dyDescent="0.35">
      <c r="A3444" t="s">
        <v>39</v>
      </c>
      <c r="B3444">
        <v>2016</v>
      </c>
      <c r="C3444">
        <v>3</v>
      </c>
      <c r="D3444">
        <v>20177</v>
      </c>
      <c r="E3444">
        <v>52</v>
      </c>
      <c r="F3444">
        <v>6034.65</v>
      </c>
      <c r="G3444">
        <v>3175.95</v>
      </c>
      <c r="H3444" t="str">
        <f>VLOOKUP(myynnit[[#This Row],[TuoteID]],ohjaus!$A$4:$B$20,2,FALSE)</f>
        <v>Säkkituoli</v>
      </c>
    </row>
    <row r="3445" spans="1:8" x14ac:dyDescent="0.35">
      <c r="A3445" t="s">
        <v>39</v>
      </c>
      <c r="B3445">
        <v>2016</v>
      </c>
      <c r="C3445">
        <v>3</v>
      </c>
      <c r="D3445">
        <v>21179</v>
      </c>
      <c r="E3445">
        <v>39</v>
      </c>
      <c r="F3445">
        <v>6274.12</v>
      </c>
      <c r="G3445">
        <v>4622.47</v>
      </c>
      <c r="H3445" t="str">
        <f>VLOOKUP(myynnit[[#This Row],[TuoteID]],ohjaus!$A$4:$B$20,2,FALSE)</f>
        <v>Rahi</v>
      </c>
    </row>
    <row r="3446" spans="1:8" x14ac:dyDescent="0.35">
      <c r="A3446" t="s">
        <v>39</v>
      </c>
      <c r="B3446">
        <v>2016</v>
      </c>
      <c r="C3446">
        <v>3</v>
      </c>
      <c r="D3446">
        <v>21260</v>
      </c>
      <c r="E3446">
        <v>60</v>
      </c>
      <c r="F3446">
        <v>11666.73</v>
      </c>
      <c r="G3446">
        <v>3218.09</v>
      </c>
      <c r="H3446" t="str">
        <f>VLOOKUP(myynnit[[#This Row],[TuoteID]],ohjaus!$A$4:$B$20,2,FALSE)</f>
        <v>Lepotuoli</v>
      </c>
    </row>
    <row r="3447" spans="1:8" x14ac:dyDescent="0.35">
      <c r="A3447" t="s">
        <v>39</v>
      </c>
      <c r="B3447">
        <v>2016</v>
      </c>
      <c r="C3447">
        <v>3</v>
      </c>
      <c r="D3447">
        <v>22317</v>
      </c>
      <c r="E3447">
        <v>49</v>
      </c>
      <c r="F3447">
        <v>3695.6</v>
      </c>
      <c r="G3447">
        <v>1663.57</v>
      </c>
      <c r="H3447" t="str">
        <f>VLOOKUP(myynnit[[#This Row],[TuoteID]],ohjaus!$A$4:$B$20,2,FALSE)</f>
        <v>Säkkituoli</v>
      </c>
    </row>
    <row r="3448" spans="1:8" x14ac:dyDescent="0.35">
      <c r="A3448" t="s">
        <v>39</v>
      </c>
      <c r="B3448">
        <v>2016</v>
      </c>
      <c r="C3448">
        <v>3</v>
      </c>
      <c r="D3448">
        <v>22940</v>
      </c>
      <c r="E3448">
        <v>638</v>
      </c>
      <c r="F3448">
        <v>76867.81</v>
      </c>
      <c r="G3448">
        <v>20592.12</v>
      </c>
      <c r="H3448" t="str">
        <f>VLOOKUP(myynnit[[#This Row],[TuoteID]],ohjaus!$A$4:$B$20,2,FALSE)</f>
        <v>Pinnatuoli</v>
      </c>
    </row>
    <row r="3449" spans="1:8" x14ac:dyDescent="0.35">
      <c r="A3449" t="s">
        <v>39</v>
      </c>
      <c r="B3449">
        <v>2016</v>
      </c>
      <c r="C3449">
        <v>3</v>
      </c>
      <c r="D3449">
        <v>23178</v>
      </c>
      <c r="E3449">
        <v>252</v>
      </c>
      <c r="F3449">
        <v>46540.01</v>
      </c>
      <c r="G3449">
        <v>12299.6</v>
      </c>
      <c r="H3449" t="str">
        <f>VLOOKUP(myynnit[[#This Row],[TuoteID]],ohjaus!$A$4:$B$20,2,FALSE)</f>
        <v>Pinnatuoli</v>
      </c>
    </row>
    <row r="3450" spans="1:8" x14ac:dyDescent="0.35">
      <c r="A3450" t="s">
        <v>39</v>
      </c>
      <c r="B3450">
        <v>2016</v>
      </c>
      <c r="C3450">
        <v>3</v>
      </c>
      <c r="D3450">
        <v>23600</v>
      </c>
      <c r="E3450">
        <v>618</v>
      </c>
      <c r="F3450">
        <v>61705.99</v>
      </c>
      <c r="G3450">
        <v>14855.33</v>
      </c>
      <c r="H3450" t="str">
        <f>VLOOKUP(myynnit[[#This Row],[TuoteID]],ohjaus!$A$4:$B$20,2,FALSE)</f>
        <v>Pinnatuoli</v>
      </c>
    </row>
    <row r="3451" spans="1:8" x14ac:dyDescent="0.35">
      <c r="A3451" t="s">
        <v>39</v>
      </c>
      <c r="B3451">
        <v>2016</v>
      </c>
      <c r="C3451">
        <v>3</v>
      </c>
      <c r="D3451">
        <v>23756</v>
      </c>
      <c r="E3451">
        <v>51</v>
      </c>
      <c r="F3451">
        <v>9469.66</v>
      </c>
      <c r="G3451">
        <v>4568.58</v>
      </c>
      <c r="H3451" t="str">
        <f>VLOOKUP(myynnit[[#This Row],[TuoteID]],ohjaus!$A$4:$B$20,2,FALSE)</f>
        <v>Pianotuoli</v>
      </c>
    </row>
    <row r="3452" spans="1:8" x14ac:dyDescent="0.35">
      <c r="A3452" t="s">
        <v>39</v>
      </c>
      <c r="B3452">
        <v>2016</v>
      </c>
      <c r="C3452">
        <v>3</v>
      </c>
      <c r="D3452">
        <v>24326</v>
      </c>
      <c r="E3452">
        <v>77</v>
      </c>
      <c r="F3452">
        <v>11502.91</v>
      </c>
      <c r="G3452">
        <v>3041.63</v>
      </c>
      <c r="H3452" t="str">
        <f>VLOOKUP(myynnit[[#This Row],[TuoteID]],ohjaus!$A$4:$B$20,2,FALSE)</f>
        <v>Lepotuoli</v>
      </c>
    </row>
    <row r="3453" spans="1:8" x14ac:dyDescent="0.35">
      <c r="A3453" t="s">
        <v>38</v>
      </c>
      <c r="B3453">
        <v>2016</v>
      </c>
      <c r="C3453">
        <v>3</v>
      </c>
      <c r="D3453">
        <v>12184</v>
      </c>
      <c r="E3453">
        <v>95</v>
      </c>
      <c r="F3453">
        <v>10222.09</v>
      </c>
      <c r="G3453">
        <v>5775.42</v>
      </c>
      <c r="H3453" t="str">
        <f>VLOOKUP(myynnit[[#This Row],[TuoteID]],ohjaus!$A$4:$B$20,2,FALSE)</f>
        <v>Rahi</v>
      </c>
    </row>
    <row r="3454" spans="1:8" x14ac:dyDescent="0.35">
      <c r="A3454" t="s">
        <v>38</v>
      </c>
      <c r="B3454">
        <v>2016</v>
      </c>
      <c r="C3454">
        <v>3</v>
      </c>
      <c r="D3454">
        <v>12622</v>
      </c>
      <c r="E3454">
        <v>35</v>
      </c>
      <c r="F3454">
        <v>10746.45</v>
      </c>
      <c r="G3454">
        <v>5463.77</v>
      </c>
      <c r="H3454" t="str">
        <f>VLOOKUP(myynnit[[#This Row],[TuoteID]],ohjaus!$A$4:$B$20,2,FALSE)</f>
        <v>Pianotuoli</v>
      </c>
    </row>
    <row r="3455" spans="1:8" x14ac:dyDescent="0.35">
      <c r="A3455" t="s">
        <v>38</v>
      </c>
      <c r="B3455">
        <v>2016</v>
      </c>
      <c r="C3455">
        <v>3</v>
      </c>
      <c r="D3455">
        <v>13527</v>
      </c>
      <c r="E3455">
        <v>495</v>
      </c>
      <c r="F3455">
        <v>75608.83</v>
      </c>
      <c r="G3455">
        <v>16482.689999999999</v>
      </c>
      <c r="H3455" t="str">
        <f>VLOOKUP(myynnit[[#This Row],[TuoteID]],ohjaus!$A$4:$B$20,2,FALSE)</f>
        <v>Pinnatuoli</v>
      </c>
    </row>
    <row r="3456" spans="1:8" x14ac:dyDescent="0.35">
      <c r="A3456" t="s">
        <v>38</v>
      </c>
      <c r="B3456">
        <v>2016</v>
      </c>
      <c r="C3456">
        <v>3</v>
      </c>
      <c r="D3456">
        <v>13618</v>
      </c>
      <c r="E3456">
        <v>12</v>
      </c>
      <c r="F3456">
        <v>4761.6400000000003</v>
      </c>
      <c r="G3456">
        <v>1996.17</v>
      </c>
      <c r="H3456" t="str">
        <f>VLOOKUP(myynnit[[#This Row],[TuoteID]],ohjaus!$A$4:$B$20,2,FALSE)</f>
        <v>Pianotuoli</v>
      </c>
    </row>
    <row r="3457" spans="1:8" x14ac:dyDescent="0.35">
      <c r="A3457" t="s">
        <v>38</v>
      </c>
      <c r="B3457">
        <v>2016</v>
      </c>
      <c r="C3457">
        <v>3</v>
      </c>
      <c r="D3457">
        <v>16024</v>
      </c>
      <c r="E3457">
        <v>89</v>
      </c>
      <c r="F3457">
        <v>39127.79</v>
      </c>
      <c r="G3457">
        <v>10700.43</v>
      </c>
      <c r="H3457" t="str">
        <f>VLOOKUP(myynnit[[#This Row],[TuoteID]],ohjaus!$A$4:$B$20,2,FALSE)</f>
        <v>Työtuoli</v>
      </c>
    </row>
    <row r="3458" spans="1:8" x14ac:dyDescent="0.35">
      <c r="A3458" t="s">
        <v>38</v>
      </c>
      <c r="B3458">
        <v>2016</v>
      </c>
      <c r="C3458">
        <v>3</v>
      </c>
      <c r="D3458">
        <v>16650</v>
      </c>
      <c r="E3458">
        <v>60</v>
      </c>
      <c r="F3458">
        <v>7720.58</v>
      </c>
      <c r="G3458">
        <v>3994.3</v>
      </c>
      <c r="H3458" t="str">
        <f>VLOOKUP(myynnit[[#This Row],[TuoteID]],ohjaus!$A$4:$B$20,2,FALSE)</f>
        <v>Rahi</v>
      </c>
    </row>
    <row r="3459" spans="1:8" x14ac:dyDescent="0.35">
      <c r="A3459" t="s">
        <v>38</v>
      </c>
      <c r="B3459">
        <v>2016</v>
      </c>
      <c r="C3459">
        <v>3</v>
      </c>
      <c r="D3459">
        <v>17892</v>
      </c>
      <c r="E3459">
        <v>61</v>
      </c>
      <c r="F3459">
        <v>9052.31</v>
      </c>
      <c r="G3459">
        <v>2250.08</v>
      </c>
      <c r="H3459" t="str">
        <f>VLOOKUP(myynnit[[#This Row],[TuoteID]],ohjaus!$A$4:$B$20,2,FALSE)</f>
        <v>Lepotuoli</v>
      </c>
    </row>
    <row r="3460" spans="1:8" x14ac:dyDescent="0.35">
      <c r="A3460" t="s">
        <v>38</v>
      </c>
      <c r="B3460">
        <v>2016</v>
      </c>
      <c r="C3460">
        <v>3</v>
      </c>
      <c r="D3460">
        <v>18342</v>
      </c>
      <c r="E3460">
        <v>89</v>
      </c>
      <c r="F3460">
        <v>67648.929999999993</v>
      </c>
      <c r="G3460">
        <v>16124.26</v>
      </c>
      <c r="H3460" t="str">
        <f>VLOOKUP(myynnit[[#This Row],[TuoteID]],ohjaus!$A$4:$B$20,2,FALSE)</f>
        <v>Työtuoli</v>
      </c>
    </row>
    <row r="3461" spans="1:8" x14ac:dyDescent="0.35">
      <c r="A3461" t="s">
        <v>38</v>
      </c>
      <c r="B3461">
        <v>2016</v>
      </c>
      <c r="C3461">
        <v>3</v>
      </c>
      <c r="D3461">
        <v>20177</v>
      </c>
      <c r="E3461">
        <v>62</v>
      </c>
      <c r="F3461">
        <v>7213.8</v>
      </c>
      <c r="G3461">
        <v>2458.65</v>
      </c>
      <c r="H3461" t="str">
        <f>VLOOKUP(myynnit[[#This Row],[TuoteID]],ohjaus!$A$4:$B$20,2,FALSE)</f>
        <v>Säkkituoli</v>
      </c>
    </row>
    <row r="3462" spans="1:8" x14ac:dyDescent="0.35">
      <c r="A3462" t="s">
        <v>38</v>
      </c>
      <c r="B3462">
        <v>2016</v>
      </c>
      <c r="C3462">
        <v>3</v>
      </c>
      <c r="D3462">
        <v>21179</v>
      </c>
      <c r="E3462">
        <v>51</v>
      </c>
      <c r="F3462">
        <v>6778.91</v>
      </c>
      <c r="G3462">
        <v>3801.71</v>
      </c>
      <c r="H3462" t="str">
        <f>VLOOKUP(myynnit[[#This Row],[TuoteID]],ohjaus!$A$4:$B$20,2,FALSE)</f>
        <v>Rahi</v>
      </c>
    </row>
    <row r="3463" spans="1:8" x14ac:dyDescent="0.35">
      <c r="A3463" t="s">
        <v>38</v>
      </c>
      <c r="B3463">
        <v>2016</v>
      </c>
      <c r="C3463">
        <v>3</v>
      </c>
      <c r="D3463">
        <v>21260</v>
      </c>
      <c r="E3463">
        <v>43</v>
      </c>
      <c r="F3463">
        <v>8578.5499999999993</v>
      </c>
      <c r="G3463">
        <v>1883.55</v>
      </c>
      <c r="H3463" t="str">
        <f>VLOOKUP(myynnit[[#This Row],[TuoteID]],ohjaus!$A$4:$B$20,2,FALSE)</f>
        <v>Lepotuoli</v>
      </c>
    </row>
    <row r="3464" spans="1:8" x14ac:dyDescent="0.35">
      <c r="A3464" t="s">
        <v>38</v>
      </c>
      <c r="B3464">
        <v>2016</v>
      </c>
      <c r="C3464">
        <v>3</v>
      </c>
      <c r="D3464">
        <v>22317</v>
      </c>
      <c r="E3464">
        <v>83</v>
      </c>
      <c r="F3464">
        <v>7973.03</v>
      </c>
      <c r="G3464">
        <v>3389.57</v>
      </c>
      <c r="H3464" t="str">
        <f>VLOOKUP(myynnit[[#This Row],[TuoteID]],ohjaus!$A$4:$B$20,2,FALSE)</f>
        <v>Säkkituoli</v>
      </c>
    </row>
    <row r="3465" spans="1:8" x14ac:dyDescent="0.35">
      <c r="A3465" t="s">
        <v>38</v>
      </c>
      <c r="B3465">
        <v>2016</v>
      </c>
      <c r="C3465">
        <v>3</v>
      </c>
      <c r="D3465">
        <v>22940</v>
      </c>
      <c r="E3465">
        <v>699</v>
      </c>
      <c r="F3465">
        <v>82478.3</v>
      </c>
      <c r="G3465">
        <v>16277.7</v>
      </c>
      <c r="H3465" t="str">
        <f>VLOOKUP(myynnit[[#This Row],[TuoteID]],ohjaus!$A$4:$B$20,2,FALSE)</f>
        <v>Pinnatuoli</v>
      </c>
    </row>
    <row r="3466" spans="1:8" x14ac:dyDescent="0.35">
      <c r="A3466" t="s">
        <v>38</v>
      </c>
      <c r="B3466">
        <v>2016</v>
      </c>
      <c r="C3466">
        <v>3</v>
      </c>
      <c r="D3466">
        <v>23178</v>
      </c>
      <c r="E3466">
        <v>304</v>
      </c>
      <c r="F3466">
        <v>55414.07</v>
      </c>
      <c r="G3466">
        <v>9870.58</v>
      </c>
      <c r="H3466" t="str">
        <f>VLOOKUP(myynnit[[#This Row],[TuoteID]],ohjaus!$A$4:$B$20,2,FALSE)</f>
        <v>Pinnatuoli</v>
      </c>
    </row>
    <row r="3467" spans="1:8" x14ac:dyDescent="0.35">
      <c r="A3467" t="s">
        <v>38</v>
      </c>
      <c r="B3467">
        <v>2016</v>
      </c>
      <c r="C3467">
        <v>3</v>
      </c>
      <c r="D3467">
        <v>23600</v>
      </c>
      <c r="E3467">
        <v>541</v>
      </c>
      <c r="F3467">
        <v>55132</v>
      </c>
      <c r="G3467">
        <v>12034.82</v>
      </c>
      <c r="H3467" t="str">
        <f>VLOOKUP(myynnit[[#This Row],[TuoteID]],ohjaus!$A$4:$B$20,2,FALSE)</f>
        <v>Pinnatuoli</v>
      </c>
    </row>
    <row r="3468" spans="1:8" x14ac:dyDescent="0.35">
      <c r="A3468" t="s">
        <v>38</v>
      </c>
      <c r="B3468">
        <v>2016</v>
      </c>
      <c r="C3468">
        <v>3</v>
      </c>
      <c r="D3468">
        <v>23756</v>
      </c>
      <c r="E3468">
        <v>128</v>
      </c>
      <c r="F3468">
        <v>22756.6</v>
      </c>
      <c r="G3468">
        <v>9898.6299999999992</v>
      </c>
      <c r="H3468" t="str">
        <f>VLOOKUP(myynnit[[#This Row],[TuoteID]],ohjaus!$A$4:$B$20,2,FALSE)</f>
        <v>Pianotuoli</v>
      </c>
    </row>
    <row r="3469" spans="1:8" x14ac:dyDescent="0.35">
      <c r="A3469" t="s">
        <v>38</v>
      </c>
      <c r="B3469">
        <v>2016</v>
      </c>
      <c r="C3469">
        <v>3</v>
      </c>
      <c r="D3469">
        <v>24326</v>
      </c>
      <c r="E3469">
        <v>146</v>
      </c>
      <c r="F3469">
        <v>21925.87</v>
      </c>
      <c r="G3469">
        <v>5323.25</v>
      </c>
      <c r="H3469" t="str">
        <f>VLOOKUP(myynnit[[#This Row],[TuoteID]],ohjaus!$A$4:$B$20,2,FALSE)</f>
        <v>Lepotuoli</v>
      </c>
    </row>
    <row r="3470" spans="1:8" x14ac:dyDescent="0.35">
      <c r="A3470" t="s">
        <v>37</v>
      </c>
      <c r="B3470">
        <v>2016</v>
      </c>
      <c r="C3470">
        <v>4</v>
      </c>
      <c r="D3470">
        <v>12184</v>
      </c>
      <c r="E3470">
        <v>98</v>
      </c>
      <c r="F3470">
        <v>10473.58</v>
      </c>
      <c r="G3470">
        <v>5486.57</v>
      </c>
      <c r="H3470" t="str">
        <f>VLOOKUP(myynnit[[#This Row],[TuoteID]],ohjaus!$A$4:$B$20,2,FALSE)</f>
        <v>Rahi</v>
      </c>
    </row>
    <row r="3471" spans="1:8" x14ac:dyDescent="0.35">
      <c r="A3471" t="s">
        <v>37</v>
      </c>
      <c r="B3471">
        <v>2016</v>
      </c>
      <c r="C3471">
        <v>4</v>
      </c>
      <c r="D3471">
        <v>12622</v>
      </c>
      <c r="E3471">
        <v>52</v>
      </c>
      <c r="F3471">
        <v>12656.07</v>
      </c>
      <c r="G3471">
        <v>6028.72</v>
      </c>
      <c r="H3471" t="str">
        <f>VLOOKUP(myynnit[[#This Row],[TuoteID]],ohjaus!$A$4:$B$20,2,FALSE)</f>
        <v>Pianotuoli</v>
      </c>
    </row>
    <row r="3472" spans="1:8" x14ac:dyDescent="0.35">
      <c r="A3472" t="s">
        <v>37</v>
      </c>
      <c r="B3472">
        <v>2016</v>
      </c>
      <c r="C3472">
        <v>4</v>
      </c>
      <c r="D3472">
        <v>13527</v>
      </c>
      <c r="E3472">
        <v>586</v>
      </c>
      <c r="F3472">
        <v>94507.68</v>
      </c>
      <c r="G3472">
        <v>19175.48</v>
      </c>
      <c r="H3472" t="str">
        <f>VLOOKUP(myynnit[[#This Row],[TuoteID]],ohjaus!$A$4:$B$20,2,FALSE)</f>
        <v>Pinnatuoli</v>
      </c>
    </row>
    <row r="3473" spans="1:8" x14ac:dyDescent="0.35">
      <c r="A3473" t="s">
        <v>37</v>
      </c>
      <c r="B3473">
        <v>2016</v>
      </c>
      <c r="C3473">
        <v>4</v>
      </c>
      <c r="D3473">
        <v>13618</v>
      </c>
      <c r="E3473">
        <v>23</v>
      </c>
      <c r="F3473">
        <v>7488.3</v>
      </c>
      <c r="G3473">
        <v>3353.62</v>
      </c>
      <c r="H3473" t="str">
        <f>VLOOKUP(myynnit[[#This Row],[TuoteID]],ohjaus!$A$4:$B$20,2,FALSE)</f>
        <v>Pianotuoli</v>
      </c>
    </row>
    <row r="3474" spans="1:8" x14ac:dyDescent="0.35">
      <c r="A3474" t="s">
        <v>37</v>
      </c>
      <c r="B3474">
        <v>2016</v>
      </c>
      <c r="C3474">
        <v>4</v>
      </c>
      <c r="D3474">
        <v>16024</v>
      </c>
      <c r="E3474">
        <v>307</v>
      </c>
      <c r="F3474">
        <v>137451.17000000001</v>
      </c>
      <c r="G3474">
        <v>42551.55</v>
      </c>
      <c r="H3474" t="str">
        <f>VLOOKUP(myynnit[[#This Row],[TuoteID]],ohjaus!$A$4:$B$20,2,FALSE)</f>
        <v>Työtuoli</v>
      </c>
    </row>
    <row r="3475" spans="1:8" x14ac:dyDescent="0.35">
      <c r="A3475" t="s">
        <v>37</v>
      </c>
      <c r="B3475">
        <v>2016</v>
      </c>
      <c r="C3475">
        <v>4</v>
      </c>
      <c r="D3475">
        <v>16650</v>
      </c>
      <c r="E3475">
        <v>39</v>
      </c>
      <c r="F3475">
        <v>4850.68</v>
      </c>
      <c r="G3475">
        <v>2039.07</v>
      </c>
      <c r="H3475" t="str">
        <f>VLOOKUP(myynnit[[#This Row],[TuoteID]],ohjaus!$A$4:$B$20,2,FALSE)</f>
        <v>Rahi</v>
      </c>
    </row>
    <row r="3476" spans="1:8" x14ac:dyDescent="0.35">
      <c r="A3476" t="s">
        <v>37</v>
      </c>
      <c r="B3476">
        <v>2016</v>
      </c>
      <c r="C3476">
        <v>4</v>
      </c>
      <c r="D3476">
        <v>17892</v>
      </c>
      <c r="E3476">
        <v>187</v>
      </c>
      <c r="F3476">
        <v>28008.39</v>
      </c>
      <c r="G3476">
        <v>9096.82</v>
      </c>
      <c r="H3476" t="str">
        <f>VLOOKUP(myynnit[[#This Row],[TuoteID]],ohjaus!$A$4:$B$20,2,FALSE)</f>
        <v>Lepotuoli</v>
      </c>
    </row>
    <row r="3477" spans="1:8" x14ac:dyDescent="0.35">
      <c r="A3477" t="s">
        <v>37</v>
      </c>
      <c r="B3477">
        <v>2016</v>
      </c>
      <c r="C3477">
        <v>4</v>
      </c>
      <c r="D3477">
        <v>18342</v>
      </c>
      <c r="E3477">
        <v>133</v>
      </c>
      <c r="F3477">
        <v>116590.94</v>
      </c>
      <c r="G3477">
        <v>33118.51</v>
      </c>
      <c r="H3477" t="str">
        <f>VLOOKUP(myynnit[[#This Row],[TuoteID]],ohjaus!$A$4:$B$20,2,FALSE)</f>
        <v>Työtuoli</v>
      </c>
    </row>
    <row r="3478" spans="1:8" x14ac:dyDescent="0.35">
      <c r="A3478" t="s">
        <v>37</v>
      </c>
      <c r="B3478">
        <v>2016</v>
      </c>
      <c r="C3478">
        <v>4</v>
      </c>
      <c r="D3478">
        <v>20177</v>
      </c>
      <c r="E3478">
        <v>101</v>
      </c>
      <c r="F3478">
        <v>10463.959999999999</v>
      </c>
      <c r="G3478">
        <v>4427.82</v>
      </c>
      <c r="H3478" t="str">
        <f>VLOOKUP(myynnit[[#This Row],[TuoteID]],ohjaus!$A$4:$B$20,2,FALSE)</f>
        <v>Säkkituoli</v>
      </c>
    </row>
    <row r="3479" spans="1:8" x14ac:dyDescent="0.35">
      <c r="A3479" t="s">
        <v>37</v>
      </c>
      <c r="B3479">
        <v>2016</v>
      </c>
      <c r="C3479">
        <v>4</v>
      </c>
      <c r="D3479">
        <v>21179</v>
      </c>
      <c r="E3479">
        <v>82</v>
      </c>
      <c r="F3479">
        <v>8443.9500000000007</v>
      </c>
      <c r="G3479">
        <v>3573.17</v>
      </c>
      <c r="H3479" t="str">
        <f>VLOOKUP(myynnit[[#This Row],[TuoteID]],ohjaus!$A$4:$B$20,2,FALSE)</f>
        <v>Rahi</v>
      </c>
    </row>
    <row r="3480" spans="1:8" x14ac:dyDescent="0.35">
      <c r="A3480" t="s">
        <v>37</v>
      </c>
      <c r="B3480">
        <v>2016</v>
      </c>
      <c r="C3480">
        <v>4</v>
      </c>
      <c r="D3480">
        <v>21260</v>
      </c>
      <c r="E3480">
        <v>46</v>
      </c>
      <c r="F3480">
        <v>9760.99</v>
      </c>
      <c r="G3480">
        <v>2875.43</v>
      </c>
      <c r="H3480" t="str">
        <f>VLOOKUP(myynnit[[#This Row],[TuoteID]],ohjaus!$A$4:$B$20,2,FALSE)</f>
        <v>Lepotuoli</v>
      </c>
    </row>
    <row r="3481" spans="1:8" x14ac:dyDescent="0.35">
      <c r="A3481" t="s">
        <v>37</v>
      </c>
      <c r="B3481">
        <v>2016</v>
      </c>
      <c r="C3481">
        <v>4</v>
      </c>
      <c r="D3481">
        <v>22317</v>
      </c>
      <c r="E3481">
        <v>61</v>
      </c>
      <c r="F3481">
        <v>5959.72</v>
      </c>
      <c r="G3481">
        <v>2611.84</v>
      </c>
      <c r="H3481" t="str">
        <f>VLOOKUP(myynnit[[#This Row],[TuoteID]],ohjaus!$A$4:$B$20,2,FALSE)</f>
        <v>Säkkituoli</v>
      </c>
    </row>
    <row r="3482" spans="1:8" x14ac:dyDescent="0.35">
      <c r="A3482" t="s">
        <v>37</v>
      </c>
      <c r="B3482">
        <v>2016</v>
      </c>
      <c r="C3482">
        <v>4</v>
      </c>
      <c r="D3482">
        <v>22940</v>
      </c>
      <c r="E3482">
        <v>743</v>
      </c>
      <c r="F3482">
        <v>94176.99</v>
      </c>
      <c r="G3482">
        <v>15543.95</v>
      </c>
      <c r="H3482" t="str">
        <f>VLOOKUP(myynnit[[#This Row],[TuoteID]],ohjaus!$A$4:$B$20,2,FALSE)</f>
        <v>Pinnatuoli</v>
      </c>
    </row>
    <row r="3483" spans="1:8" x14ac:dyDescent="0.35">
      <c r="A3483" t="s">
        <v>37</v>
      </c>
      <c r="B3483">
        <v>2016</v>
      </c>
      <c r="C3483">
        <v>4</v>
      </c>
      <c r="D3483">
        <v>23178</v>
      </c>
      <c r="E3483">
        <v>214</v>
      </c>
      <c r="F3483">
        <v>35245.65</v>
      </c>
      <c r="G3483">
        <v>6619.16</v>
      </c>
      <c r="H3483" t="str">
        <f>VLOOKUP(myynnit[[#This Row],[TuoteID]],ohjaus!$A$4:$B$20,2,FALSE)</f>
        <v>Pinnatuoli</v>
      </c>
    </row>
    <row r="3484" spans="1:8" x14ac:dyDescent="0.35">
      <c r="A3484" t="s">
        <v>37</v>
      </c>
      <c r="B3484">
        <v>2016</v>
      </c>
      <c r="C3484">
        <v>4</v>
      </c>
      <c r="D3484">
        <v>23600</v>
      </c>
      <c r="E3484">
        <v>1220</v>
      </c>
      <c r="F3484">
        <v>131082.26</v>
      </c>
      <c r="G3484">
        <v>32188.15</v>
      </c>
      <c r="H3484" t="str">
        <f>VLOOKUP(myynnit[[#This Row],[TuoteID]],ohjaus!$A$4:$B$20,2,FALSE)</f>
        <v>Pinnatuoli</v>
      </c>
    </row>
    <row r="3485" spans="1:8" x14ac:dyDescent="0.35">
      <c r="A3485" t="s">
        <v>37</v>
      </c>
      <c r="B3485">
        <v>2016</v>
      </c>
      <c r="C3485">
        <v>4</v>
      </c>
      <c r="D3485">
        <v>23756</v>
      </c>
      <c r="E3485">
        <v>132</v>
      </c>
      <c r="F3485">
        <v>28168.47</v>
      </c>
      <c r="G3485">
        <v>14712.97</v>
      </c>
      <c r="H3485" t="str">
        <f>VLOOKUP(myynnit[[#This Row],[TuoteID]],ohjaus!$A$4:$B$20,2,FALSE)</f>
        <v>Pianotuoli</v>
      </c>
    </row>
    <row r="3486" spans="1:8" x14ac:dyDescent="0.35">
      <c r="A3486" t="s">
        <v>37</v>
      </c>
      <c r="B3486">
        <v>2016</v>
      </c>
      <c r="C3486">
        <v>4</v>
      </c>
      <c r="D3486">
        <v>24326</v>
      </c>
      <c r="E3486">
        <v>197</v>
      </c>
      <c r="F3486">
        <v>27204</v>
      </c>
      <c r="G3486">
        <v>7479.72</v>
      </c>
      <c r="H3486" t="str">
        <f>VLOOKUP(myynnit[[#This Row],[TuoteID]],ohjaus!$A$4:$B$20,2,FALSE)</f>
        <v>Lepotuoli</v>
      </c>
    </row>
    <row r="3487" spans="1:8" x14ac:dyDescent="0.35">
      <c r="A3487" t="s">
        <v>40</v>
      </c>
      <c r="B3487">
        <v>2016</v>
      </c>
      <c r="C3487">
        <v>4</v>
      </c>
      <c r="D3487">
        <v>12184</v>
      </c>
      <c r="E3487">
        <v>30</v>
      </c>
      <c r="F3487">
        <v>3853.89</v>
      </c>
      <c r="G3487">
        <v>2023.55</v>
      </c>
      <c r="H3487" t="str">
        <f>VLOOKUP(myynnit[[#This Row],[TuoteID]],ohjaus!$A$4:$B$20,2,FALSE)</f>
        <v>Rahi</v>
      </c>
    </row>
    <row r="3488" spans="1:8" x14ac:dyDescent="0.35">
      <c r="A3488" t="s">
        <v>40</v>
      </c>
      <c r="B3488">
        <v>2016</v>
      </c>
      <c r="C3488">
        <v>4</v>
      </c>
      <c r="D3488">
        <v>12622</v>
      </c>
      <c r="E3488">
        <v>21</v>
      </c>
      <c r="F3488">
        <v>4711.2700000000004</v>
      </c>
      <c r="G3488">
        <v>2162.79</v>
      </c>
      <c r="H3488" t="str">
        <f>VLOOKUP(myynnit[[#This Row],[TuoteID]],ohjaus!$A$4:$B$20,2,FALSE)</f>
        <v>Pianotuoli</v>
      </c>
    </row>
    <row r="3489" spans="1:8" x14ac:dyDescent="0.35">
      <c r="A3489" t="s">
        <v>40</v>
      </c>
      <c r="B3489">
        <v>2016</v>
      </c>
      <c r="C3489">
        <v>4</v>
      </c>
      <c r="D3489">
        <v>13527</v>
      </c>
      <c r="E3489">
        <v>248</v>
      </c>
      <c r="F3489">
        <v>39111.089999999997</v>
      </c>
      <c r="G3489">
        <v>7297.5</v>
      </c>
      <c r="H3489" t="str">
        <f>VLOOKUP(myynnit[[#This Row],[TuoteID]],ohjaus!$A$4:$B$20,2,FALSE)</f>
        <v>Pinnatuoli</v>
      </c>
    </row>
    <row r="3490" spans="1:8" x14ac:dyDescent="0.35">
      <c r="A3490" t="s">
        <v>40</v>
      </c>
      <c r="B3490">
        <v>2016</v>
      </c>
      <c r="C3490">
        <v>4</v>
      </c>
      <c r="D3490">
        <v>13618</v>
      </c>
      <c r="E3490">
        <v>3</v>
      </c>
      <c r="F3490">
        <v>1135.0899999999999</v>
      </c>
      <c r="G3490">
        <v>555.23</v>
      </c>
      <c r="H3490" t="str">
        <f>VLOOKUP(myynnit[[#This Row],[TuoteID]],ohjaus!$A$4:$B$20,2,FALSE)</f>
        <v>Pianotuoli</v>
      </c>
    </row>
    <row r="3491" spans="1:8" x14ac:dyDescent="0.35">
      <c r="A3491" t="s">
        <v>40</v>
      </c>
      <c r="B3491">
        <v>2016</v>
      </c>
      <c r="C3491">
        <v>4</v>
      </c>
      <c r="D3491">
        <v>16024</v>
      </c>
      <c r="E3491">
        <v>120</v>
      </c>
      <c r="F3491">
        <v>47679.72</v>
      </c>
      <c r="G3491">
        <v>14359.33</v>
      </c>
      <c r="H3491" t="str">
        <f>VLOOKUP(myynnit[[#This Row],[TuoteID]],ohjaus!$A$4:$B$20,2,FALSE)</f>
        <v>Työtuoli</v>
      </c>
    </row>
    <row r="3492" spans="1:8" x14ac:dyDescent="0.35">
      <c r="A3492" t="s">
        <v>40</v>
      </c>
      <c r="B3492">
        <v>2016</v>
      </c>
      <c r="C3492">
        <v>4</v>
      </c>
      <c r="D3492">
        <v>16650</v>
      </c>
      <c r="E3492">
        <v>26</v>
      </c>
      <c r="F3492">
        <v>4257.1099999999997</v>
      </c>
      <c r="G3492">
        <v>2259.64</v>
      </c>
      <c r="H3492" t="str">
        <f>VLOOKUP(myynnit[[#This Row],[TuoteID]],ohjaus!$A$4:$B$20,2,FALSE)</f>
        <v>Rahi</v>
      </c>
    </row>
    <row r="3493" spans="1:8" x14ac:dyDescent="0.35">
      <c r="A3493" t="s">
        <v>40</v>
      </c>
      <c r="B3493">
        <v>2016</v>
      </c>
      <c r="C3493">
        <v>4</v>
      </c>
      <c r="D3493">
        <v>17892</v>
      </c>
      <c r="E3493">
        <v>62</v>
      </c>
      <c r="F3493">
        <v>9013.17</v>
      </c>
      <c r="G3493">
        <v>2170.88</v>
      </c>
      <c r="H3493" t="str">
        <f>VLOOKUP(myynnit[[#This Row],[TuoteID]],ohjaus!$A$4:$B$20,2,FALSE)</f>
        <v>Lepotuoli</v>
      </c>
    </row>
    <row r="3494" spans="1:8" x14ac:dyDescent="0.35">
      <c r="A3494" t="s">
        <v>40</v>
      </c>
      <c r="B3494">
        <v>2016</v>
      </c>
      <c r="C3494">
        <v>4</v>
      </c>
      <c r="D3494">
        <v>18342</v>
      </c>
      <c r="E3494">
        <v>17</v>
      </c>
      <c r="F3494">
        <v>13985.65</v>
      </c>
      <c r="G3494">
        <v>3630.89</v>
      </c>
      <c r="H3494" t="str">
        <f>VLOOKUP(myynnit[[#This Row],[TuoteID]],ohjaus!$A$4:$B$20,2,FALSE)</f>
        <v>Työtuoli</v>
      </c>
    </row>
    <row r="3495" spans="1:8" x14ac:dyDescent="0.35">
      <c r="A3495" t="s">
        <v>40</v>
      </c>
      <c r="B3495">
        <v>2016</v>
      </c>
      <c r="C3495">
        <v>4</v>
      </c>
      <c r="D3495">
        <v>20177</v>
      </c>
      <c r="E3495">
        <v>12</v>
      </c>
      <c r="F3495">
        <v>1245.1600000000001</v>
      </c>
      <c r="G3495">
        <v>466.17</v>
      </c>
      <c r="H3495" t="str">
        <f>VLOOKUP(myynnit[[#This Row],[TuoteID]],ohjaus!$A$4:$B$20,2,FALSE)</f>
        <v>Säkkituoli</v>
      </c>
    </row>
    <row r="3496" spans="1:8" x14ac:dyDescent="0.35">
      <c r="A3496" t="s">
        <v>40</v>
      </c>
      <c r="B3496">
        <v>2016</v>
      </c>
      <c r="C3496">
        <v>4</v>
      </c>
      <c r="D3496">
        <v>21179</v>
      </c>
      <c r="E3496">
        <v>32</v>
      </c>
      <c r="F3496">
        <v>3702.18</v>
      </c>
      <c r="G3496">
        <v>2414.59</v>
      </c>
      <c r="H3496" t="str">
        <f>VLOOKUP(myynnit[[#This Row],[TuoteID]],ohjaus!$A$4:$B$20,2,FALSE)</f>
        <v>Rahi</v>
      </c>
    </row>
    <row r="3497" spans="1:8" x14ac:dyDescent="0.35">
      <c r="A3497" t="s">
        <v>40</v>
      </c>
      <c r="B3497">
        <v>2016</v>
      </c>
      <c r="C3497">
        <v>4</v>
      </c>
      <c r="D3497">
        <v>21260</v>
      </c>
      <c r="E3497">
        <v>49</v>
      </c>
      <c r="F3497">
        <v>9597.14</v>
      </c>
      <c r="G3497">
        <v>2333.65</v>
      </c>
      <c r="H3497" t="str">
        <f>VLOOKUP(myynnit[[#This Row],[TuoteID]],ohjaus!$A$4:$B$20,2,FALSE)</f>
        <v>Lepotuoli</v>
      </c>
    </row>
    <row r="3498" spans="1:8" x14ac:dyDescent="0.35">
      <c r="A3498" t="s">
        <v>40</v>
      </c>
      <c r="B3498">
        <v>2016</v>
      </c>
      <c r="C3498">
        <v>4</v>
      </c>
      <c r="D3498">
        <v>22317</v>
      </c>
      <c r="E3498">
        <v>6</v>
      </c>
      <c r="F3498">
        <v>570.72</v>
      </c>
      <c r="G3498">
        <v>255.25</v>
      </c>
      <c r="H3498" t="str">
        <f>VLOOKUP(myynnit[[#This Row],[TuoteID]],ohjaus!$A$4:$B$20,2,FALSE)</f>
        <v>Säkkituoli</v>
      </c>
    </row>
    <row r="3499" spans="1:8" x14ac:dyDescent="0.35">
      <c r="A3499" t="s">
        <v>40</v>
      </c>
      <c r="B3499">
        <v>2016</v>
      </c>
      <c r="C3499">
        <v>4</v>
      </c>
      <c r="D3499">
        <v>22940</v>
      </c>
      <c r="E3499">
        <v>154</v>
      </c>
      <c r="F3499">
        <v>19257.39</v>
      </c>
      <c r="G3499">
        <v>4731.6400000000003</v>
      </c>
      <c r="H3499" t="str">
        <f>VLOOKUP(myynnit[[#This Row],[TuoteID]],ohjaus!$A$4:$B$20,2,FALSE)</f>
        <v>Pinnatuoli</v>
      </c>
    </row>
    <row r="3500" spans="1:8" x14ac:dyDescent="0.35">
      <c r="A3500" t="s">
        <v>40</v>
      </c>
      <c r="B3500">
        <v>2016</v>
      </c>
      <c r="C3500">
        <v>4</v>
      </c>
      <c r="D3500">
        <v>23178</v>
      </c>
      <c r="E3500">
        <v>209</v>
      </c>
      <c r="F3500">
        <v>37933.620000000003</v>
      </c>
      <c r="G3500">
        <v>11085.59</v>
      </c>
      <c r="H3500" t="str">
        <f>VLOOKUP(myynnit[[#This Row],[TuoteID]],ohjaus!$A$4:$B$20,2,FALSE)</f>
        <v>Pinnatuoli</v>
      </c>
    </row>
    <row r="3501" spans="1:8" x14ac:dyDescent="0.35">
      <c r="A3501" t="s">
        <v>40</v>
      </c>
      <c r="B3501">
        <v>2016</v>
      </c>
      <c r="C3501">
        <v>4</v>
      </c>
      <c r="D3501">
        <v>23600</v>
      </c>
      <c r="E3501">
        <v>701</v>
      </c>
      <c r="F3501">
        <v>75091.31</v>
      </c>
      <c r="G3501">
        <v>21666.39</v>
      </c>
      <c r="H3501" t="str">
        <f>VLOOKUP(myynnit[[#This Row],[TuoteID]],ohjaus!$A$4:$B$20,2,FALSE)</f>
        <v>Pinnatuoli</v>
      </c>
    </row>
    <row r="3502" spans="1:8" x14ac:dyDescent="0.35">
      <c r="A3502" t="s">
        <v>40</v>
      </c>
      <c r="B3502">
        <v>2016</v>
      </c>
      <c r="C3502">
        <v>4</v>
      </c>
      <c r="D3502">
        <v>23756</v>
      </c>
      <c r="E3502">
        <v>94</v>
      </c>
      <c r="F3502">
        <v>18745.29</v>
      </c>
      <c r="G3502">
        <v>9030.34</v>
      </c>
      <c r="H3502" t="str">
        <f>VLOOKUP(myynnit[[#This Row],[TuoteID]],ohjaus!$A$4:$B$20,2,FALSE)</f>
        <v>Pianotuoli</v>
      </c>
    </row>
    <row r="3503" spans="1:8" x14ac:dyDescent="0.35">
      <c r="A3503" t="s">
        <v>40</v>
      </c>
      <c r="B3503">
        <v>2016</v>
      </c>
      <c r="C3503">
        <v>4</v>
      </c>
      <c r="D3503">
        <v>24326</v>
      </c>
      <c r="E3503">
        <v>18</v>
      </c>
      <c r="F3503">
        <v>2853.09</v>
      </c>
      <c r="G3503">
        <v>982.78</v>
      </c>
      <c r="H3503" t="str">
        <f>VLOOKUP(myynnit[[#This Row],[TuoteID]],ohjaus!$A$4:$B$20,2,FALSE)</f>
        <v>Lepotuoli</v>
      </c>
    </row>
    <row r="3504" spans="1:8" x14ac:dyDescent="0.35">
      <c r="A3504" t="s">
        <v>39</v>
      </c>
      <c r="B3504">
        <v>2016</v>
      </c>
      <c r="C3504">
        <v>4</v>
      </c>
      <c r="D3504">
        <v>12184</v>
      </c>
      <c r="E3504">
        <v>71</v>
      </c>
      <c r="F3504">
        <v>11054.52</v>
      </c>
      <c r="G3504">
        <v>8297.57</v>
      </c>
      <c r="H3504" t="str">
        <f>VLOOKUP(myynnit[[#This Row],[TuoteID]],ohjaus!$A$4:$B$20,2,FALSE)</f>
        <v>Rahi</v>
      </c>
    </row>
    <row r="3505" spans="1:8" x14ac:dyDescent="0.35">
      <c r="A3505" t="s">
        <v>39</v>
      </c>
      <c r="B3505">
        <v>2016</v>
      </c>
      <c r="C3505">
        <v>4</v>
      </c>
      <c r="D3505">
        <v>12622</v>
      </c>
      <c r="E3505">
        <v>35</v>
      </c>
      <c r="F3505">
        <v>10759.74</v>
      </c>
      <c r="G3505">
        <v>6487.96</v>
      </c>
      <c r="H3505" t="str">
        <f>VLOOKUP(myynnit[[#This Row],[TuoteID]],ohjaus!$A$4:$B$20,2,FALSE)</f>
        <v>Pianotuoli</v>
      </c>
    </row>
    <row r="3506" spans="1:8" x14ac:dyDescent="0.35">
      <c r="A3506" t="s">
        <v>39</v>
      </c>
      <c r="B3506">
        <v>2016</v>
      </c>
      <c r="C3506">
        <v>4</v>
      </c>
      <c r="D3506">
        <v>13527</v>
      </c>
      <c r="E3506">
        <v>515</v>
      </c>
      <c r="F3506">
        <v>89780.71</v>
      </c>
      <c r="G3506">
        <v>24876.3</v>
      </c>
      <c r="H3506" t="str">
        <f>VLOOKUP(myynnit[[#This Row],[TuoteID]],ohjaus!$A$4:$B$20,2,FALSE)</f>
        <v>Pinnatuoli</v>
      </c>
    </row>
    <row r="3507" spans="1:8" x14ac:dyDescent="0.35">
      <c r="A3507" t="s">
        <v>39</v>
      </c>
      <c r="B3507">
        <v>2016</v>
      </c>
      <c r="C3507">
        <v>4</v>
      </c>
      <c r="D3507">
        <v>13618</v>
      </c>
      <c r="E3507">
        <v>26</v>
      </c>
      <c r="F3507">
        <v>10695.29</v>
      </c>
      <c r="G3507">
        <v>6980.26</v>
      </c>
      <c r="H3507" t="str">
        <f>VLOOKUP(myynnit[[#This Row],[TuoteID]],ohjaus!$A$4:$B$20,2,FALSE)</f>
        <v>Pianotuoli</v>
      </c>
    </row>
    <row r="3508" spans="1:8" x14ac:dyDescent="0.35">
      <c r="A3508" t="s">
        <v>39</v>
      </c>
      <c r="B3508">
        <v>2016</v>
      </c>
      <c r="C3508">
        <v>4</v>
      </c>
      <c r="D3508">
        <v>16024</v>
      </c>
      <c r="E3508">
        <v>223</v>
      </c>
      <c r="F3508">
        <v>86984.72</v>
      </c>
      <c r="G3508">
        <v>29314.27</v>
      </c>
      <c r="H3508" t="str">
        <f>VLOOKUP(myynnit[[#This Row],[TuoteID]],ohjaus!$A$4:$B$20,2,FALSE)</f>
        <v>Työtuoli</v>
      </c>
    </row>
    <row r="3509" spans="1:8" x14ac:dyDescent="0.35">
      <c r="A3509" t="s">
        <v>39</v>
      </c>
      <c r="B3509">
        <v>2016</v>
      </c>
      <c r="C3509">
        <v>4</v>
      </c>
      <c r="D3509">
        <v>16650</v>
      </c>
      <c r="E3509">
        <v>45</v>
      </c>
      <c r="F3509">
        <v>5540.76</v>
      </c>
      <c r="G3509">
        <v>3938.97</v>
      </c>
      <c r="H3509" t="str">
        <f>VLOOKUP(myynnit[[#This Row],[TuoteID]],ohjaus!$A$4:$B$20,2,FALSE)</f>
        <v>Rahi</v>
      </c>
    </row>
    <row r="3510" spans="1:8" x14ac:dyDescent="0.35">
      <c r="A3510" t="s">
        <v>39</v>
      </c>
      <c r="B3510">
        <v>2016</v>
      </c>
      <c r="C3510">
        <v>4</v>
      </c>
      <c r="D3510">
        <v>17892</v>
      </c>
      <c r="E3510">
        <v>117</v>
      </c>
      <c r="F3510">
        <v>17907.22</v>
      </c>
      <c r="G3510">
        <v>6104.93</v>
      </c>
      <c r="H3510" t="str">
        <f>VLOOKUP(myynnit[[#This Row],[TuoteID]],ohjaus!$A$4:$B$20,2,FALSE)</f>
        <v>Lepotuoli</v>
      </c>
    </row>
    <row r="3511" spans="1:8" x14ac:dyDescent="0.35">
      <c r="A3511" t="s">
        <v>39</v>
      </c>
      <c r="B3511">
        <v>2016</v>
      </c>
      <c r="C3511">
        <v>4</v>
      </c>
      <c r="D3511">
        <v>18342</v>
      </c>
      <c r="E3511">
        <v>142</v>
      </c>
      <c r="F3511">
        <v>124357.56</v>
      </c>
      <c r="G3511">
        <v>40355.949999999997</v>
      </c>
      <c r="H3511" t="str">
        <f>VLOOKUP(myynnit[[#This Row],[TuoteID]],ohjaus!$A$4:$B$20,2,FALSE)</f>
        <v>Työtuoli</v>
      </c>
    </row>
    <row r="3512" spans="1:8" x14ac:dyDescent="0.35">
      <c r="A3512" t="s">
        <v>39</v>
      </c>
      <c r="B3512">
        <v>2016</v>
      </c>
      <c r="C3512">
        <v>4</v>
      </c>
      <c r="D3512">
        <v>20177</v>
      </c>
      <c r="E3512">
        <v>55</v>
      </c>
      <c r="F3512">
        <v>4880.91</v>
      </c>
      <c r="G3512">
        <v>2496.46</v>
      </c>
      <c r="H3512" t="str">
        <f>VLOOKUP(myynnit[[#This Row],[TuoteID]],ohjaus!$A$4:$B$20,2,FALSE)</f>
        <v>Säkkituoli</v>
      </c>
    </row>
    <row r="3513" spans="1:8" x14ac:dyDescent="0.35">
      <c r="A3513" t="s">
        <v>39</v>
      </c>
      <c r="B3513">
        <v>2016</v>
      </c>
      <c r="C3513">
        <v>4</v>
      </c>
      <c r="D3513">
        <v>21179</v>
      </c>
      <c r="E3513">
        <v>53</v>
      </c>
      <c r="F3513">
        <v>7326.77</v>
      </c>
      <c r="G3513">
        <v>4885.6400000000003</v>
      </c>
      <c r="H3513" t="str">
        <f>VLOOKUP(myynnit[[#This Row],[TuoteID]],ohjaus!$A$4:$B$20,2,FALSE)</f>
        <v>Rahi</v>
      </c>
    </row>
    <row r="3514" spans="1:8" x14ac:dyDescent="0.35">
      <c r="A3514" t="s">
        <v>39</v>
      </c>
      <c r="B3514">
        <v>2016</v>
      </c>
      <c r="C3514">
        <v>4</v>
      </c>
      <c r="D3514">
        <v>21260</v>
      </c>
      <c r="E3514">
        <v>27</v>
      </c>
      <c r="F3514">
        <v>4877.22</v>
      </c>
      <c r="G3514">
        <v>1556.56</v>
      </c>
      <c r="H3514" t="str">
        <f>VLOOKUP(myynnit[[#This Row],[TuoteID]],ohjaus!$A$4:$B$20,2,FALSE)</f>
        <v>Lepotuoli</v>
      </c>
    </row>
    <row r="3515" spans="1:8" x14ac:dyDescent="0.35">
      <c r="A3515" t="s">
        <v>39</v>
      </c>
      <c r="B3515">
        <v>2016</v>
      </c>
      <c r="C3515">
        <v>4</v>
      </c>
      <c r="D3515">
        <v>22317</v>
      </c>
      <c r="E3515">
        <v>37</v>
      </c>
      <c r="F3515">
        <v>3813.34</v>
      </c>
      <c r="G3515">
        <v>1554.18</v>
      </c>
      <c r="H3515" t="str">
        <f>VLOOKUP(myynnit[[#This Row],[TuoteID]],ohjaus!$A$4:$B$20,2,FALSE)</f>
        <v>Säkkituoli</v>
      </c>
    </row>
    <row r="3516" spans="1:8" x14ac:dyDescent="0.35">
      <c r="A3516" t="s">
        <v>39</v>
      </c>
      <c r="B3516">
        <v>2016</v>
      </c>
      <c r="C3516">
        <v>4</v>
      </c>
      <c r="D3516">
        <v>22940</v>
      </c>
      <c r="E3516">
        <v>451</v>
      </c>
      <c r="F3516">
        <v>64906.6</v>
      </c>
      <c r="G3516">
        <v>14505.45</v>
      </c>
      <c r="H3516" t="str">
        <f>VLOOKUP(myynnit[[#This Row],[TuoteID]],ohjaus!$A$4:$B$20,2,FALSE)</f>
        <v>Pinnatuoli</v>
      </c>
    </row>
    <row r="3517" spans="1:8" x14ac:dyDescent="0.35">
      <c r="A3517" t="s">
        <v>39</v>
      </c>
      <c r="B3517">
        <v>2016</v>
      </c>
      <c r="C3517">
        <v>4</v>
      </c>
      <c r="D3517">
        <v>23178</v>
      </c>
      <c r="E3517">
        <v>212</v>
      </c>
      <c r="F3517">
        <v>41647.58</v>
      </c>
      <c r="G3517">
        <v>9453.44</v>
      </c>
      <c r="H3517" t="str">
        <f>VLOOKUP(myynnit[[#This Row],[TuoteID]],ohjaus!$A$4:$B$20,2,FALSE)</f>
        <v>Pinnatuoli</v>
      </c>
    </row>
    <row r="3518" spans="1:8" x14ac:dyDescent="0.35">
      <c r="A3518" t="s">
        <v>39</v>
      </c>
      <c r="B3518">
        <v>2016</v>
      </c>
      <c r="C3518">
        <v>4</v>
      </c>
      <c r="D3518">
        <v>23600</v>
      </c>
      <c r="E3518">
        <v>795</v>
      </c>
      <c r="F3518">
        <v>92347.839999999997</v>
      </c>
      <c r="G3518">
        <v>22878.59</v>
      </c>
      <c r="H3518" t="str">
        <f>VLOOKUP(myynnit[[#This Row],[TuoteID]],ohjaus!$A$4:$B$20,2,FALSE)</f>
        <v>Pinnatuoli</v>
      </c>
    </row>
    <row r="3519" spans="1:8" x14ac:dyDescent="0.35">
      <c r="A3519" t="s">
        <v>39</v>
      </c>
      <c r="B3519">
        <v>2016</v>
      </c>
      <c r="C3519">
        <v>4</v>
      </c>
      <c r="D3519">
        <v>23756</v>
      </c>
      <c r="E3519">
        <v>115</v>
      </c>
      <c r="F3519">
        <v>16974.900000000001</v>
      </c>
      <c r="G3519">
        <v>8939.14</v>
      </c>
      <c r="H3519" t="str">
        <f>VLOOKUP(myynnit[[#This Row],[TuoteID]],ohjaus!$A$4:$B$20,2,FALSE)</f>
        <v>Pianotuoli</v>
      </c>
    </row>
    <row r="3520" spans="1:8" x14ac:dyDescent="0.35">
      <c r="A3520" t="s">
        <v>39</v>
      </c>
      <c r="B3520">
        <v>2016</v>
      </c>
      <c r="C3520">
        <v>4</v>
      </c>
      <c r="D3520">
        <v>24326</v>
      </c>
      <c r="E3520">
        <v>116</v>
      </c>
      <c r="F3520">
        <v>17748.27</v>
      </c>
      <c r="G3520">
        <v>6163.04</v>
      </c>
      <c r="H3520" t="str">
        <f>VLOOKUP(myynnit[[#This Row],[TuoteID]],ohjaus!$A$4:$B$20,2,FALSE)</f>
        <v>Lepotuoli</v>
      </c>
    </row>
    <row r="3521" spans="1:8" x14ac:dyDescent="0.35">
      <c r="A3521" t="s">
        <v>38</v>
      </c>
      <c r="B3521">
        <v>2016</v>
      </c>
      <c r="C3521">
        <v>4</v>
      </c>
      <c r="D3521">
        <v>12184</v>
      </c>
      <c r="E3521">
        <v>64</v>
      </c>
      <c r="F3521">
        <v>9281.2199999999993</v>
      </c>
      <c r="G3521">
        <v>5196.18</v>
      </c>
      <c r="H3521" t="str">
        <f>VLOOKUP(myynnit[[#This Row],[TuoteID]],ohjaus!$A$4:$B$20,2,FALSE)</f>
        <v>Rahi</v>
      </c>
    </row>
    <row r="3522" spans="1:8" x14ac:dyDescent="0.35">
      <c r="A3522" t="s">
        <v>38</v>
      </c>
      <c r="B3522">
        <v>2016</v>
      </c>
      <c r="C3522">
        <v>4</v>
      </c>
      <c r="D3522">
        <v>12622</v>
      </c>
      <c r="E3522">
        <v>62</v>
      </c>
      <c r="F3522">
        <v>15883.78</v>
      </c>
      <c r="G3522">
        <v>7423.94</v>
      </c>
      <c r="H3522" t="str">
        <f>VLOOKUP(myynnit[[#This Row],[TuoteID]],ohjaus!$A$4:$B$20,2,FALSE)</f>
        <v>Pianotuoli</v>
      </c>
    </row>
    <row r="3523" spans="1:8" x14ac:dyDescent="0.35">
      <c r="A3523" t="s">
        <v>38</v>
      </c>
      <c r="B3523">
        <v>2016</v>
      </c>
      <c r="C3523">
        <v>4</v>
      </c>
      <c r="D3523">
        <v>13527</v>
      </c>
      <c r="E3523">
        <v>289</v>
      </c>
      <c r="F3523">
        <v>46627.839999999997</v>
      </c>
      <c r="G3523">
        <v>10903.87</v>
      </c>
      <c r="H3523" t="str">
        <f>VLOOKUP(myynnit[[#This Row],[TuoteID]],ohjaus!$A$4:$B$20,2,FALSE)</f>
        <v>Pinnatuoli</v>
      </c>
    </row>
    <row r="3524" spans="1:8" x14ac:dyDescent="0.35">
      <c r="A3524" t="s">
        <v>38</v>
      </c>
      <c r="B3524">
        <v>2016</v>
      </c>
      <c r="C3524">
        <v>4</v>
      </c>
      <c r="D3524">
        <v>13618</v>
      </c>
      <c r="E3524">
        <v>9</v>
      </c>
      <c r="F3524">
        <v>3111.17</v>
      </c>
      <c r="G3524">
        <v>1374.89</v>
      </c>
      <c r="H3524" t="str">
        <f>VLOOKUP(myynnit[[#This Row],[TuoteID]],ohjaus!$A$4:$B$20,2,FALSE)</f>
        <v>Pianotuoli</v>
      </c>
    </row>
    <row r="3525" spans="1:8" x14ac:dyDescent="0.35">
      <c r="A3525" t="s">
        <v>38</v>
      </c>
      <c r="B3525">
        <v>2016</v>
      </c>
      <c r="C3525">
        <v>4</v>
      </c>
      <c r="D3525">
        <v>16024</v>
      </c>
      <c r="E3525">
        <v>223</v>
      </c>
      <c r="F3525">
        <v>104342.23</v>
      </c>
      <c r="G3525">
        <v>29351.72</v>
      </c>
      <c r="H3525" t="str">
        <f>VLOOKUP(myynnit[[#This Row],[TuoteID]],ohjaus!$A$4:$B$20,2,FALSE)</f>
        <v>Työtuoli</v>
      </c>
    </row>
    <row r="3526" spans="1:8" x14ac:dyDescent="0.35">
      <c r="A3526" t="s">
        <v>38</v>
      </c>
      <c r="B3526">
        <v>2016</v>
      </c>
      <c r="C3526">
        <v>4</v>
      </c>
      <c r="D3526">
        <v>16650</v>
      </c>
      <c r="E3526">
        <v>46</v>
      </c>
      <c r="F3526">
        <v>8498.06</v>
      </c>
      <c r="G3526">
        <v>4988.13</v>
      </c>
      <c r="H3526" t="str">
        <f>VLOOKUP(myynnit[[#This Row],[TuoteID]],ohjaus!$A$4:$B$20,2,FALSE)</f>
        <v>Rahi</v>
      </c>
    </row>
    <row r="3527" spans="1:8" x14ac:dyDescent="0.35">
      <c r="A3527" t="s">
        <v>38</v>
      </c>
      <c r="B3527">
        <v>2016</v>
      </c>
      <c r="C3527">
        <v>4</v>
      </c>
      <c r="D3527">
        <v>17892</v>
      </c>
      <c r="E3527">
        <v>66</v>
      </c>
      <c r="F3527">
        <v>8441.83</v>
      </c>
      <c r="G3527">
        <v>2329.0500000000002</v>
      </c>
      <c r="H3527" t="str">
        <f>VLOOKUP(myynnit[[#This Row],[TuoteID]],ohjaus!$A$4:$B$20,2,FALSE)</f>
        <v>Lepotuoli</v>
      </c>
    </row>
    <row r="3528" spans="1:8" x14ac:dyDescent="0.35">
      <c r="A3528" t="s">
        <v>38</v>
      </c>
      <c r="B3528">
        <v>2016</v>
      </c>
      <c r="C3528">
        <v>4</v>
      </c>
      <c r="D3528">
        <v>18342</v>
      </c>
      <c r="E3528">
        <v>98</v>
      </c>
      <c r="F3528">
        <v>75337.81</v>
      </c>
      <c r="G3528">
        <v>19395.75</v>
      </c>
      <c r="H3528" t="str">
        <f>VLOOKUP(myynnit[[#This Row],[TuoteID]],ohjaus!$A$4:$B$20,2,FALSE)</f>
        <v>Työtuoli</v>
      </c>
    </row>
    <row r="3529" spans="1:8" x14ac:dyDescent="0.35">
      <c r="A3529" t="s">
        <v>38</v>
      </c>
      <c r="B3529">
        <v>2016</v>
      </c>
      <c r="C3529">
        <v>4</v>
      </c>
      <c r="D3529">
        <v>20177</v>
      </c>
      <c r="E3529">
        <v>50</v>
      </c>
      <c r="F3529">
        <v>5754.43</v>
      </c>
      <c r="G3529">
        <v>2088.56</v>
      </c>
      <c r="H3529" t="str">
        <f>VLOOKUP(myynnit[[#This Row],[TuoteID]],ohjaus!$A$4:$B$20,2,FALSE)</f>
        <v>Säkkituoli</v>
      </c>
    </row>
    <row r="3530" spans="1:8" x14ac:dyDescent="0.35">
      <c r="A3530" t="s">
        <v>38</v>
      </c>
      <c r="B3530">
        <v>2016</v>
      </c>
      <c r="C3530">
        <v>4</v>
      </c>
      <c r="D3530">
        <v>21179</v>
      </c>
      <c r="E3530">
        <v>28</v>
      </c>
      <c r="F3530">
        <v>3493.85</v>
      </c>
      <c r="G3530">
        <v>2046.71</v>
      </c>
      <c r="H3530" t="str">
        <f>VLOOKUP(myynnit[[#This Row],[TuoteID]],ohjaus!$A$4:$B$20,2,FALSE)</f>
        <v>Rahi</v>
      </c>
    </row>
    <row r="3531" spans="1:8" x14ac:dyDescent="0.35">
      <c r="A3531" t="s">
        <v>38</v>
      </c>
      <c r="B3531">
        <v>2016</v>
      </c>
      <c r="C3531">
        <v>4</v>
      </c>
      <c r="D3531">
        <v>21260</v>
      </c>
      <c r="E3531">
        <v>42</v>
      </c>
      <c r="F3531">
        <v>7221.34</v>
      </c>
      <c r="G3531">
        <v>1747.97</v>
      </c>
      <c r="H3531" t="str">
        <f>VLOOKUP(myynnit[[#This Row],[TuoteID]],ohjaus!$A$4:$B$20,2,FALSE)</f>
        <v>Lepotuoli</v>
      </c>
    </row>
    <row r="3532" spans="1:8" x14ac:dyDescent="0.35">
      <c r="A3532" t="s">
        <v>38</v>
      </c>
      <c r="B3532">
        <v>2016</v>
      </c>
      <c r="C3532">
        <v>4</v>
      </c>
      <c r="D3532">
        <v>22317</v>
      </c>
      <c r="E3532">
        <v>81</v>
      </c>
      <c r="F3532">
        <v>7537.41</v>
      </c>
      <c r="G3532">
        <v>2533.08</v>
      </c>
      <c r="H3532" t="str">
        <f>VLOOKUP(myynnit[[#This Row],[TuoteID]],ohjaus!$A$4:$B$20,2,FALSE)</f>
        <v>Säkkituoli</v>
      </c>
    </row>
    <row r="3533" spans="1:8" x14ac:dyDescent="0.35">
      <c r="A3533" t="s">
        <v>38</v>
      </c>
      <c r="B3533">
        <v>2016</v>
      </c>
      <c r="C3533">
        <v>4</v>
      </c>
      <c r="D3533">
        <v>22940</v>
      </c>
      <c r="E3533">
        <v>592</v>
      </c>
      <c r="F3533">
        <v>76441.72</v>
      </c>
      <c r="G3533">
        <v>15660.68</v>
      </c>
      <c r="H3533" t="str">
        <f>VLOOKUP(myynnit[[#This Row],[TuoteID]],ohjaus!$A$4:$B$20,2,FALSE)</f>
        <v>Pinnatuoli</v>
      </c>
    </row>
    <row r="3534" spans="1:8" x14ac:dyDescent="0.35">
      <c r="A3534" t="s">
        <v>38</v>
      </c>
      <c r="B3534">
        <v>2016</v>
      </c>
      <c r="C3534">
        <v>4</v>
      </c>
      <c r="D3534">
        <v>23178</v>
      </c>
      <c r="E3534">
        <v>140</v>
      </c>
      <c r="F3534">
        <v>23750.42</v>
      </c>
      <c r="G3534">
        <v>4701.05</v>
      </c>
      <c r="H3534" t="str">
        <f>VLOOKUP(myynnit[[#This Row],[TuoteID]],ohjaus!$A$4:$B$20,2,FALSE)</f>
        <v>Pinnatuoli</v>
      </c>
    </row>
    <row r="3535" spans="1:8" x14ac:dyDescent="0.35">
      <c r="A3535" t="s">
        <v>38</v>
      </c>
      <c r="B3535">
        <v>2016</v>
      </c>
      <c r="C3535">
        <v>4</v>
      </c>
      <c r="D3535">
        <v>23600</v>
      </c>
      <c r="E3535">
        <v>762</v>
      </c>
      <c r="F3535">
        <v>84329.99</v>
      </c>
      <c r="G3535">
        <v>20086.29</v>
      </c>
      <c r="H3535" t="str">
        <f>VLOOKUP(myynnit[[#This Row],[TuoteID]],ohjaus!$A$4:$B$20,2,FALSE)</f>
        <v>Pinnatuoli</v>
      </c>
    </row>
    <row r="3536" spans="1:8" x14ac:dyDescent="0.35">
      <c r="A3536" t="s">
        <v>38</v>
      </c>
      <c r="B3536">
        <v>2016</v>
      </c>
      <c r="C3536">
        <v>4</v>
      </c>
      <c r="D3536">
        <v>23756</v>
      </c>
      <c r="E3536">
        <v>66</v>
      </c>
      <c r="F3536">
        <v>11743.14</v>
      </c>
      <c r="G3536">
        <v>5531.12</v>
      </c>
      <c r="H3536" t="str">
        <f>VLOOKUP(myynnit[[#This Row],[TuoteID]],ohjaus!$A$4:$B$20,2,FALSE)</f>
        <v>Pianotuoli</v>
      </c>
    </row>
    <row r="3537" spans="1:8" x14ac:dyDescent="0.35">
      <c r="A3537" t="s">
        <v>38</v>
      </c>
      <c r="B3537">
        <v>2016</v>
      </c>
      <c r="C3537">
        <v>4</v>
      </c>
      <c r="D3537">
        <v>24326</v>
      </c>
      <c r="E3537">
        <v>128</v>
      </c>
      <c r="F3537">
        <v>19298.63</v>
      </c>
      <c r="G3537">
        <v>5117.71</v>
      </c>
      <c r="H3537" t="str">
        <f>VLOOKUP(myynnit[[#This Row],[TuoteID]],ohjaus!$A$4:$B$20,2,FALSE)</f>
        <v>Lepotuoli</v>
      </c>
    </row>
    <row r="3538" spans="1:8" x14ac:dyDescent="0.35">
      <c r="A3538" t="s">
        <v>37</v>
      </c>
      <c r="B3538">
        <v>2016</v>
      </c>
      <c r="C3538">
        <v>5</v>
      </c>
      <c r="D3538">
        <v>12184</v>
      </c>
      <c r="E3538">
        <v>65</v>
      </c>
      <c r="F3538">
        <v>6865.76</v>
      </c>
      <c r="G3538">
        <v>3222.35</v>
      </c>
      <c r="H3538" t="str">
        <f>VLOOKUP(myynnit[[#This Row],[TuoteID]],ohjaus!$A$4:$B$20,2,FALSE)</f>
        <v>Rahi</v>
      </c>
    </row>
    <row r="3539" spans="1:8" x14ac:dyDescent="0.35">
      <c r="A3539" t="s">
        <v>37</v>
      </c>
      <c r="B3539">
        <v>2016</v>
      </c>
      <c r="C3539">
        <v>5</v>
      </c>
      <c r="D3539">
        <v>12622</v>
      </c>
      <c r="E3539">
        <v>75</v>
      </c>
      <c r="F3539">
        <v>20986.04</v>
      </c>
      <c r="G3539">
        <v>9599.9599999999991</v>
      </c>
      <c r="H3539" t="str">
        <f>VLOOKUP(myynnit[[#This Row],[TuoteID]],ohjaus!$A$4:$B$20,2,FALSE)</f>
        <v>Pianotuoli</v>
      </c>
    </row>
    <row r="3540" spans="1:8" x14ac:dyDescent="0.35">
      <c r="A3540" t="s">
        <v>37</v>
      </c>
      <c r="B3540">
        <v>2016</v>
      </c>
      <c r="C3540">
        <v>5</v>
      </c>
      <c r="D3540">
        <v>13527</v>
      </c>
      <c r="E3540">
        <v>346</v>
      </c>
      <c r="F3540">
        <v>52385.11</v>
      </c>
      <c r="G3540">
        <v>11506.97</v>
      </c>
      <c r="H3540" t="str">
        <f>VLOOKUP(myynnit[[#This Row],[TuoteID]],ohjaus!$A$4:$B$20,2,FALSE)</f>
        <v>Pinnatuoli</v>
      </c>
    </row>
    <row r="3541" spans="1:8" x14ac:dyDescent="0.35">
      <c r="A3541" t="s">
        <v>37</v>
      </c>
      <c r="B3541">
        <v>2016</v>
      </c>
      <c r="C3541">
        <v>5</v>
      </c>
      <c r="D3541">
        <v>13618</v>
      </c>
      <c r="E3541">
        <v>20</v>
      </c>
      <c r="F3541">
        <v>6921.12</v>
      </c>
      <c r="G3541">
        <v>3123.25</v>
      </c>
      <c r="H3541" t="str">
        <f>VLOOKUP(myynnit[[#This Row],[TuoteID]],ohjaus!$A$4:$B$20,2,FALSE)</f>
        <v>Pianotuoli</v>
      </c>
    </row>
    <row r="3542" spans="1:8" x14ac:dyDescent="0.35">
      <c r="A3542" t="s">
        <v>37</v>
      </c>
      <c r="B3542">
        <v>2016</v>
      </c>
      <c r="C3542">
        <v>5</v>
      </c>
      <c r="D3542">
        <v>16024</v>
      </c>
      <c r="E3542">
        <v>177</v>
      </c>
      <c r="F3542">
        <v>75280.19</v>
      </c>
      <c r="G3542">
        <v>23510.52</v>
      </c>
      <c r="H3542" t="str">
        <f>VLOOKUP(myynnit[[#This Row],[TuoteID]],ohjaus!$A$4:$B$20,2,FALSE)</f>
        <v>Työtuoli</v>
      </c>
    </row>
    <row r="3543" spans="1:8" x14ac:dyDescent="0.35">
      <c r="A3543" t="s">
        <v>37</v>
      </c>
      <c r="B3543">
        <v>2016</v>
      </c>
      <c r="C3543">
        <v>5</v>
      </c>
      <c r="D3543">
        <v>16650</v>
      </c>
      <c r="E3543">
        <v>76</v>
      </c>
      <c r="F3543">
        <v>13379.44</v>
      </c>
      <c r="G3543">
        <v>6069.95</v>
      </c>
      <c r="H3543" t="str">
        <f>VLOOKUP(myynnit[[#This Row],[TuoteID]],ohjaus!$A$4:$B$20,2,FALSE)</f>
        <v>Rahi</v>
      </c>
    </row>
    <row r="3544" spans="1:8" x14ac:dyDescent="0.35">
      <c r="A3544" t="s">
        <v>37</v>
      </c>
      <c r="B3544">
        <v>2016</v>
      </c>
      <c r="C3544">
        <v>5</v>
      </c>
      <c r="D3544">
        <v>17892</v>
      </c>
      <c r="E3544">
        <v>85</v>
      </c>
      <c r="F3544">
        <v>11792.75</v>
      </c>
      <c r="G3544">
        <v>3581.79</v>
      </c>
      <c r="H3544" t="str">
        <f>VLOOKUP(myynnit[[#This Row],[TuoteID]],ohjaus!$A$4:$B$20,2,FALSE)</f>
        <v>Lepotuoli</v>
      </c>
    </row>
    <row r="3545" spans="1:8" x14ac:dyDescent="0.35">
      <c r="A3545" t="s">
        <v>37</v>
      </c>
      <c r="B3545">
        <v>2016</v>
      </c>
      <c r="C3545">
        <v>5</v>
      </c>
      <c r="D3545">
        <v>18342</v>
      </c>
      <c r="E3545">
        <v>158</v>
      </c>
      <c r="F3545">
        <v>135012.69</v>
      </c>
      <c r="G3545">
        <v>38903.379999999997</v>
      </c>
      <c r="H3545" t="str">
        <f>VLOOKUP(myynnit[[#This Row],[TuoteID]],ohjaus!$A$4:$B$20,2,FALSE)</f>
        <v>Työtuoli</v>
      </c>
    </row>
    <row r="3546" spans="1:8" x14ac:dyDescent="0.35">
      <c r="A3546" t="s">
        <v>37</v>
      </c>
      <c r="B3546">
        <v>2016</v>
      </c>
      <c r="C3546">
        <v>5</v>
      </c>
      <c r="D3546">
        <v>20177</v>
      </c>
      <c r="E3546">
        <v>55</v>
      </c>
      <c r="F3546">
        <v>6416.13</v>
      </c>
      <c r="G3546">
        <v>2667.69</v>
      </c>
      <c r="H3546" t="str">
        <f>VLOOKUP(myynnit[[#This Row],[TuoteID]],ohjaus!$A$4:$B$20,2,FALSE)</f>
        <v>Säkkituoli</v>
      </c>
    </row>
    <row r="3547" spans="1:8" x14ac:dyDescent="0.35">
      <c r="A3547" t="s">
        <v>37</v>
      </c>
      <c r="B3547">
        <v>2016</v>
      </c>
      <c r="C3547">
        <v>5</v>
      </c>
      <c r="D3547">
        <v>21179</v>
      </c>
      <c r="E3547">
        <v>77</v>
      </c>
      <c r="F3547">
        <v>9824.14</v>
      </c>
      <c r="G3547">
        <v>4831.84</v>
      </c>
      <c r="H3547" t="str">
        <f>VLOOKUP(myynnit[[#This Row],[TuoteID]],ohjaus!$A$4:$B$20,2,FALSE)</f>
        <v>Rahi</v>
      </c>
    </row>
    <row r="3548" spans="1:8" x14ac:dyDescent="0.35">
      <c r="A3548" t="s">
        <v>37</v>
      </c>
      <c r="B3548">
        <v>2016</v>
      </c>
      <c r="C3548">
        <v>5</v>
      </c>
      <c r="D3548">
        <v>21260</v>
      </c>
      <c r="E3548">
        <v>88</v>
      </c>
      <c r="F3548">
        <v>18789.64</v>
      </c>
      <c r="G3548">
        <v>5821.19</v>
      </c>
      <c r="H3548" t="str">
        <f>VLOOKUP(myynnit[[#This Row],[TuoteID]],ohjaus!$A$4:$B$20,2,FALSE)</f>
        <v>Lepotuoli</v>
      </c>
    </row>
    <row r="3549" spans="1:8" x14ac:dyDescent="0.35">
      <c r="A3549" t="s">
        <v>37</v>
      </c>
      <c r="B3549">
        <v>2016</v>
      </c>
      <c r="C3549">
        <v>5</v>
      </c>
      <c r="D3549">
        <v>22317</v>
      </c>
      <c r="E3549">
        <v>101</v>
      </c>
      <c r="F3549">
        <v>7485.36</v>
      </c>
      <c r="G3549">
        <v>3218.61</v>
      </c>
      <c r="H3549" t="str">
        <f>VLOOKUP(myynnit[[#This Row],[TuoteID]],ohjaus!$A$4:$B$20,2,FALSE)</f>
        <v>Säkkituoli</v>
      </c>
    </row>
    <row r="3550" spans="1:8" x14ac:dyDescent="0.35">
      <c r="A3550" t="s">
        <v>37</v>
      </c>
      <c r="B3550">
        <v>2016</v>
      </c>
      <c r="C3550">
        <v>5</v>
      </c>
      <c r="D3550">
        <v>22940</v>
      </c>
      <c r="E3550">
        <v>921</v>
      </c>
      <c r="F3550">
        <v>110986.02</v>
      </c>
      <c r="G3550">
        <v>19094.64</v>
      </c>
      <c r="H3550" t="str">
        <f>VLOOKUP(myynnit[[#This Row],[TuoteID]],ohjaus!$A$4:$B$20,2,FALSE)</f>
        <v>Pinnatuoli</v>
      </c>
    </row>
    <row r="3551" spans="1:8" x14ac:dyDescent="0.35">
      <c r="A3551" t="s">
        <v>37</v>
      </c>
      <c r="B3551">
        <v>2016</v>
      </c>
      <c r="C3551">
        <v>5</v>
      </c>
      <c r="D3551">
        <v>23178</v>
      </c>
      <c r="E3551">
        <v>193</v>
      </c>
      <c r="F3551">
        <v>35282.49</v>
      </c>
      <c r="G3551">
        <v>7376.69</v>
      </c>
      <c r="H3551" t="str">
        <f>VLOOKUP(myynnit[[#This Row],[TuoteID]],ohjaus!$A$4:$B$20,2,FALSE)</f>
        <v>Pinnatuoli</v>
      </c>
    </row>
    <row r="3552" spans="1:8" x14ac:dyDescent="0.35">
      <c r="A3552" t="s">
        <v>37</v>
      </c>
      <c r="B3552">
        <v>2016</v>
      </c>
      <c r="C3552">
        <v>5</v>
      </c>
      <c r="D3552">
        <v>23600</v>
      </c>
      <c r="E3552">
        <v>532</v>
      </c>
      <c r="F3552">
        <v>57090.44</v>
      </c>
      <c r="G3552">
        <v>12398.44</v>
      </c>
      <c r="H3552" t="str">
        <f>VLOOKUP(myynnit[[#This Row],[TuoteID]],ohjaus!$A$4:$B$20,2,FALSE)</f>
        <v>Pinnatuoli</v>
      </c>
    </row>
    <row r="3553" spans="1:8" x14ac:dyDescent="0.35">
      <c r="A3553" t="s">
        <v>37</v>
      </c>
      <c r="B3553">
        <v>2016</v>
      </c>
      <c r="C3553">
        <v>5</v>
      </c>
      <c r="D3553">
        <v>23756</v>
      </c>
      <c r="E3553">
        <v>126</v>
      </c>
      <c r="F3553">
        <v>23235.31</v>
      </c>
      <c r="G3553">
        <v>10900.75</v>
      </c>
      <c r="H3553" t="str">
        <f>VLOOKUP(myynnit[[#This Row],[TuoteID]],ohjaus!$A$4:$B$20,2,FALSE)</f>
        <v>Pianotuoli</v>
      </c>
    </row>
    <row r="3554" spans="1:8" x14ac:dyDescent="0.35">
      <c r="A3554" t="s">
        <v>37</v>
      </c>
      <c r="B3554">
        <v>2016</v>
      </c>
      <c r="C3554">
        <v>5</v>
      </c>
      <c r="D3554">
        <v>24326</v>
      </c>
      <c r="E3554">
        <v>89</v>
      </c>
      <c r="F3554">
        <v>11070.02</v>
      </c>
      <c r="G3554">
        <v>3583.84</v>
      </c>
      <c r="H3554" t="str">
        <f>VLOOKUP(myynnit[[#This Row],[TuoteID]],ohjaus!$A$4:$B$20,2,FALSE)</f>
        <v>Lepotuoli</v>
      </c>
    </row>
    <row r="3555" spans="1:8" x14ac:dyDescent="0.35">
      <c r="A3555" t="s">
        <v>40</v>
      </c>
      <c r="B3555">
        <v>2016</v>
      </c>
      <c r="C3555">
        <v>5</v>
      </c>
      <c r="D3555">
        <v>12184</v>
      </c>
      <c r="E3555">
        <v>38</v>
      </c>
      <c r="F3555">
        <v>5208.29</v>
      </c>
      <c r="G3555">
        <v>2716.3</v>
      </c>
      <c r="H3555" t="str">
        <f>VLOOKUP(myynnit[[#This Row],[TuoteID]],ohjaus!$A$4:$B$20,2,FALSE)</f>
        <v>Rahi</v>
      </c>
    </row>
    <row r="3556" spans="1:8" x14ac:dyDescent="0.35">
      <c r="A3556" t="s">
        <v>40</v>
      </c>
      <c r="B3556">
        <v>2016</v>
      </c>
      <c r="C3556">
        <v>5</v>
      </c>
      <c r="D3556">
        <v>12622</v>
      </c>
      <c r="E3556">
        <v>12</v>
      </c>
      <c r="F3556">
        <v>3557.22</v>
      </c>
      <c r="G3556">
        <v>1294.75</v>
      </c>
      <c r="H3556" t="str">
        <f>VLOOKUP(myynnit[[#This Row],[TuoteID]],ohjaus!$A$4:$B$20,2,FALSE)</f>
        <v>Pianotuoli</v>
      </c>
    </row>
    <row r="3557" spans="1:8" x14ac:dyDescent="0.35">
      <c r="A3557" t="s">
        <v>40</v>
      </c>
      <c r="B3557">
        <v>2016</v>
      </c>
      <c r="C3557">
        <v>5</v>
      </c>
      <c r="D3557">
        <v>13527</v>
      </c>
      <c r="E3557">
        <v>229</v>
      </c>
      <c r="F3557">
        <v>35157.040000000001</v>
      </c>
      <c r="G3557">
        <v>5939.34</v>
      </c>
      <c r="H3557" t="str">
        <f>VLOOKUP(myynnit[[#This Row],[TuoteID]],ohjaus!$A$4:$B$20,2,FALSE)</f>
        <v>Pinnatuoli</v>
      </c>
    </row>
    <row r="3558" spans="1:8" x14ac:dyDescent="0.35">
      <c r="A3558" t="s">
        <v>40</v>
      </c>
      <c r="B3558">
        <v>2016</v>
      </c>
      <c r="C3558">
        <v>5</v>
      </c>
      <c r="D3558">
        <v>13618</v>
      </c>
      <c r="E3558">
        <v>6</v>
      </c>
      <c r="F3558">
        <v>2417.4899999999998</v>
      </c>
      <c r="G3558">
        <v>1097.77</v>
      </c>
      <c r="H3558" t="str">
        <f>VLOOKUP(myynnit[[#This Row],[TuoteID]],ohjaus!$A$4:$B$20,2,FALSE)</f>
        <v>Pianotuoli</v>
      </c>
    </row>
    <row r="3559" spans="1:8" x14ac:dyDescent="0.35">
      <c r="A3559" t="s">
        <v>40</v>
      </c>
      <c r="B3559">
        <v>2016</v>
      </c>
      <c r="C3559">
        <v>5</v>
      </c>
      <c r="D3559">
        <v>16024</v>
      </c>
      <c r="E3559">
        <v>232</v>
      </c>
      <c r="F3559">
        <v>100416.32000000001</v>
      </c>
      <c r="G3559">
        <v>29794.38</v>
      </c>
      <c r="H3559" t="str">
        <f>VLOOKUP(myynnit[[#This Row],[TuoteID]],ohjaus!$A$4:$B$20,2,FALSE)</f>
        <v>Työtuoli</v>
      </c>
    </row>
    <row r="3560" spans="1:8" x14ac:dyDescent="0.35">
      <c r="A3560" t="s">
        <v>40</v>
      </c>
      <c r="B3560">
        <v>2016</v>
      </c>
      <c r="C3560">
        <v>5</v>
      </c>
      <c r="D3560">
        <v>16650</v>
      </c>
      <c r="E3560">
        <v>13</v>
      </c>
      <c r="F3560">
        <v>2235.69</v>
      </c>
      <c r="G3560">
        <v>1283.1600000000001</v>
      </c>
      <c r="H3560" t="str">
        <f>VLOOKUP(myynnit[[#This Row],[TuoteID]],ohjaus!$A$4:$B$20,2,FALSE)</f>
        <v>Rahi</v>
      </c>
    </row>
    <row r="3561" spans="1:8" x14ac:dyDescent="0.35">
      <c r="A3561" t="s">
        <v>40</v>
      </c>
      <c r="B3561">
        <v>2016</v>
      </c>
      <c r="C3561">
        <v>5</v>
      </c>
      <c r="D3561">
        <v>17892</v>
      </c>
      <c r="E3561">
        <v>69</v>
      </c>
      <c r="F3561">
        <v>8988.59</v>
      </c>
      <c r="G3561">
        <v>2356.34</v>
      </c>
      <c r="H3561" t="str">
        <f>VLOOKUP(myynnit[[#This Row],[TuoteID]],ohjaus!$A$4:$B$20,2,FALSE)</f>
        <v>Lepotuoli</v>
      </c>
    </row>
    <row r="3562" spans="1:8" x14ac:dyDescent="0.35">
      <c r="A3562" t="s">
        <v>40</v>
      </c>
      <c r="B3562">
        <v>2016</v>
      </c>
      <c r="C3562">
        <v>5</v>
      </c>
      <c r="D3562">
        <v>18342</v>
      </c>
      <c r="E3562">
        <v>30</v>
      </c>
      <c r="F3562">
        <v>27336.77</v>
      </c>
      <c r="G3562">
        <v>7140.62</v>
      </c>
      <c r="H3562" t="str">
        <f>VLOOKUP(myynnit[[#This Row],[TuoteID]],ohjaus!$A$4:$B$20,2,FALSE)</f>
        <v>Työtuoli</v>
      </c>
    </row>
    <row r="3563" spans="1:8" x14ac:dyDescent="0.35">
      <c r="A3563" t="s">
        <v>40</v>
      </c>
      <c r="B3563">
        <v>2016</v>
      </c>
      <c r="C3563">
        <v>5</v>
      </c>
      <c r="D3563">
        <v>20177</v>
      </c>
      <c r="E3563">
        <v>33</v>
      </c>
      <c r="F3563">
        <v>3549.28</v>
      </c>
      <c r="G3563">
        <v>1545.68</v>
      </c>
      <c r="H3563" t="str">
        <f>VLOOKUP(myynnit[[#This Row],[TuoteID]],ohjaus!$A$4:$B$20,2,FALSE)</f>
        <v>Säkkituoli</v>
      </c>
    </row>
    <row r="3564" spans="1:8" x14ac:dyDescent="0.35">
      <c r="A3564" t="s">
        <v>40</v>
      </c>
      <c r="B3564">
        <v>2016</v>
      </c>
      <c r="C3564">
        <v>5</v>
      </c>
      <c r="D3564">
        <v>21179</v>
      </c>
      <c r="E3564">
        <v>36</v>
      </c>
      <c r="F3564">
        <v>5249.53</v>
      </c>
      <c r="G3564">
        <v>3075.09</v>
      </c>
      <c r="H3564" t="str">
        <f>VLOOKUP(myynnit[[#This Row],[TuoteID]],ohjaus!$A$4:$B$20,2,FALSE)</f>
        <v>Rahi</v>
      </c>
    </row>
    <row r="3565" spans="1:8" x14ac:dyDescent="0.35">
      <c r="A3565" t="s">
        <v>40</v>
      </c>
      <c r="B3565">
        <v>2016</v>
      </c>
      <c r="C3565">
        <v>5</v>
      </c>
      <c r="D3565">
        <v>21260</v>
      </c>
      <c r="E3565">
        <v>29</v>
      </c>
      <c r="F3565">
        <v>5919.14</v>
      </c>
      <c r="G3565">
        <v>1255.02</v>
      </c>
      <c r="H3565" t="str">
        <f>VLOOKUP(myynnit[[#This Row],[TuoteID]],ohjaus!$A$4:$B$20,2,FALSE)</f>
        <v>Lepotuoli</v>
      </c>
    </row>
    <row r="3566" spans="1:8" x14ac:dyDescent="0.35">
      <c r="A3566" t="s">
        <v>40</v>
      </c>
      <c r="B3566">
        <v>2016</v>
      </c>
      <c r="C3566">
        <v>5</v>
      </c>
      <c r="D3566">
        <v>22317</v>
      </c>
      <c r="E3566">
        <v>18</v>
      </c>
      <c r="F3566">
        <v>1544.09</v>
      </c>
      <c r="G3566">
        <v>710.21</v>
      </c>
      <c r="H3566" t="str">
        <f>VLOOKUP(myynnit[[#This Row],[TuoteID]],ohjaus!$A$4:$B$20,2,FALSE)</f>
        <v>Säkkituoli</v>
      </c>
    </row>
    <row r="3567" spans="1:8" x14ac:dyDescent="0.35">
      <c r="A3567" t="s">
        <v>40</v>
      </c>
      <c r="B3567">
        <v>2016</v>
      </c>
      <c r="C3567">
        <v>5</v>
      </c>
      <c r="D3567">
        <v>22940</v>
      </c>
      <c r="E3567">
        <v>95</v>
      </c>
      <c r="F3567">
        <v>11857.16</v>
      </c>
      <c r="G3567">
        <v>2759.13</v>
      </c>
      <c r="H3567" t="str">
        <f>VLOOKUP(myynnit[[#This Row],[TuoteID]],ohjaus!$A$4:$B$20,2,FALSE)</f>
        <v>Pinnatuoli</v>
      </c>
    </row>
    <row r="3568" spans="1:8" x14ac:dyDescent="0.35">
      <c r="A3568" t="s">
        <v>40</v>
      </c>
      <c r="B3568">
        <v>2016</v>
      </c>
      <c r="C3568">
        <v>5</v>
      </c>
      <c r="D3568">
        <v>23178</v>
      </c>
      <c r="E3568">
        <v>159</v>
      </c>
      <c r="F3568">
        <v>25825.040000000001</v>
      </c>
      <c r="G3568">
        <v>7589.39</v>
      </c>
      <c r="H3568" t="str">
        <f>VLOOKUP(myynnit[[#This Row],[TuoteID]],ohjaus!$A$4:$B$20,2,FALSE)</f>
        <v>Pinnatuoli</v>
      </c>
    </row>
    <row r="3569" spans="1:8" x14ac:dyDescent="0.35">
      <c r="A3569" t="s">
        <v>40</v>
      </c>
      <c r="B3569">
        <v>2016</v>
      </c>
      <c r="C3569">
        <v>5</v>
      </c>
      <c r="D3569">
        <v>23600</v>
      </c>
      <c r="E3569">
        <v>299</v>
      </c>
      <c r="F3569">
        <v>33530.85</v>
      </c>
      <c r="G3569">
        <v>9629.2000000000007</v>
      </c>
      <c r="H3569" t="str">
        <f>VLOOKUP(myynnit[[#This Row],[TuoteID]],ohjaus!$A$4:$B$20,2,FALSE)</f>
        <v>Pinnatuoli</v>
      </c>
    </row>
    <row r="3570" spans="1:8" x14ac:dyDescent="0.35">
      <c r="A3570" t="s">
        <v>40</v>
      </c>
      <c r="B3570">
        <v>2016</v>
      </c>
      <c r="C3570">
        <v>5</v>
      </c>
      <c r="D3570">
        <v>23756</v>
      </c>
      <c r="E3570">
        <v>52</v>
      </c>
      <c r="F3570">
        <v>8440.6299999999992</v>
      </c>
      <c r="G3570">
        <v>3906.66</v>
      </c>
      <c r="H3570" t="str">
        <f>VLOOKUP(myynnit[[#This Row],[TuoteID]],ohjaus!$A$4:$B$20,2,FALSE)</f>
        <v>Pianotuoli</v>
      </c>
    </row>
    <row r="3571" spans="1:8" x14ac:dyDescent="0.35">
      <c r="A3571" t="s">
        <v>40</v>
      </c>
      <c r="B3571">
        <v>2016</v>
      </c>
      <c r="C3571">
        <v>5</v>
      </c>
      <c r="D3571">
        <v>24326</v>
      </c>
      <c r="E3571">
        <v>26</v>
      </c>
      <c r="F3571">
        <v>3669.74</v>
      </c>
      <c r="G3571">
        <v>949.68</v>
      </c>
      <c r="H3571" t="str">
        <f>VLOOKUP(myynnit[[#This Row],[TuoteID]],ohjaus!$A$4:$B$20,2,FALSE)</f>
        <v>Lepotuoli</v>
      </c>
    </row>
    <row r="3572" spans="1:8" x14ac:dyDescent="0.35">
      <c r="A3572" t="s">
        <v>39</v>
      </c>
      <c r="B3572">
        <v>2016</v>
      </c>
      <c r="C3572">
        <v>5</v>
      </c>
      <c r="D3572">
        <v>12184</v>
      </c>
      <c r="E3572">
        <v>71</v>
      </c>
      <c r="F3572">
        <v>8411.49</v>
      </c>
      <c r="G3572">
        <v>5710.86</v>
      </c>
      <c r="H3572" t="str">
        <f>VLOOKUP(myynnit[[#This Row],[TuoteID]],ohjaus!$A$4:$B$20,2,FALSE)</f>
        <v>Rahi</v>
      </c>
    </row>
    <row r="3573" spans="1:8" x14ac:dyDescent="0.35">
      <c r="A3573" t="s">
        <v>39</v>
      </c>
      <c r="B3573">
        <v>2016</v>
      </c>
      <c r="C3573">
        <v>5</v>
      </c>
      <c r="D3573">
        <v>12622</v>
      </c>
      <c r="E3573">
        <v>45</v>
      </c>
      <c r="F3573">
        <v>14701.87</v>
      </c>
      <c r="G3573">
        <v>7973.78</v>
      </c>
      <c r="H3573" t="str">
        <f>VLOOKUP(myynnit[[#This Row],[TuoteID]],ohjaus!$A$4:$B$20,2,FALSE)</f>
        <v>Pianotuoli</v>
      </c>
    </row>
    <row r="3574" spans="1:8" x14ac:dyDescent="0.35">
      <c r="A3574" t="s">
        <v>39</v>
      </c>
      <c r="B3574">
        <v>2016</v>
      </c>
      <c r="C3574">
        <v>5</v>
      </c>
      <c r="D3574">
        <v>13527</v>
      </c>
      <c r="E3574">
        <v>397</v>
      </c>
      <c r="F3574">
        <v>59903.47</v>
      </c>
      <c r="G3574">
        <v>13059.69</v>
      </c>
      <c r="H3574" t="str">
        <f>VLOOKUP(myynnit[[#This Row],[TuoteID]],ohjaus!$A$4:$B$20,2,FALSE)</f>
        <v>Pinnatuoli</v>
      </c>
    </row>
    <row r="3575" spans="1:8" x14ac:dyDescent="0.35">
      <c r="A3575" t="s">
        <v>39</v>
      </c>
      <c r="B3575">
        <v>2016</v>
      </c>
      <c r="C3575">
        <v>5</v>
      </c>
      <c r="D3575">
        <v>13618</v>
      </c>
      <c r="E3575">
        <v>13</v>
      </c>
      <c r="F3575">
        <v>4848.8100000000004</v>
      </c>
      <c r="G3575">
        <v>3176.72</v>
      </c>
      <c r="H3575" t="str">
        <f>VLOOKUP(myynnit[[#This Row],[TuoteID]],ohjaus!$A$4:$B$20,2,FALSE)</f>
        <v>Pianotuoli</v>
      </c>
    </row>
    <row r="3576" spans="1:8" x14ac:dyDescent="0.35">
      <c r="A3576" t="s">
        <v>39</v>
      </c>
      <c r="B3576">
        <v>2016</v>
      </c>
      <c r="C3576">
        <v>5</v>
      </c>
      <c r="D3576">
        <v>16024</v>
      </c>
      <c r="E3576">
        <v>122</v>
      </c>
      <c r="F3576">
        <v>50170.720000000001</v>
      </c>
      <c r="G3576">
        <v>14472.39</v>
      </c>
      <c r="H3576" t="str">
        <f>VLOOKUP(myynnit[[#This Row],[TuoteID]],ohjaus!$A$4:$B$20,2,FALSE)</f>
        <v>Työtuoli</v>
      </c>
    </row>
    <row r="3577" spans="1:8" x14ac:dyDescent="0.35">
      <c r="A3577" t="s">
        <v>39</v>
      </c>
      <c r="B3577">
        <v>2016</v>
      </c>
      <c r="C3577">
        <v>5</v>
      </c>
      <c r="D3577">
        <v>16650</v>
      </c>
      <c r="E3577">
        <v>33</v>
      </c>
      <c r="F3577">
        <v>4717.41</v>
      </c>
      <c r="G3577">
        <v>3175.11</v>
      </c>
      <c r="H3577" t="str">
        <f>VLOOKUP(myynnit[[#This Row],[TuoteID]],ohjaus!$A$4:$B$20,2,FALSE)</f>
        <v>Rahi</v>
      </c>
    </row>
    <row r="3578" spans="1:8" x14ac:dyDescent="0.35">
      <c r="A3578" t="s">
        <v>39</v>
      </c>
      <c r="B3578">
        <v>2016</v>
      </c>
      <c r="C3578">
        <v>5</v>
      </c>
      <c r="D3578">
        <v>17892</v>
      </c>
      <c r="E3578">
        <v>80</v>
      </c>
      <c r="F3578">
        <v>10823.33</v>
      </c>
      <c r="G3578">
        <v>3671.06</v>
      </c>
      <c r="H3578" t="str">
        <f>VLOOKUP(myynnit[[#This Row],[TuoteID]],ohjaus!$A$4:$B$20,2,FALSE)</f>
        <v>Lepotuoli</v>
      </c>
    </row>
    <row r="3579" spans="1:8" x14ac:dyDescent="0.35">
      <c r="A3579" t="s">
        <v>39</v>
      </c>
      <c r="B3579">
        <v>2016</v>
      </c>
      <c r="C3579">
        <v>5</v>
      </c>
      <c r="D3579">
        <v>18342</v>
      </c>
      <c r="E3579">
        <v>154</v>
      </c>
      <c r="F3579">
        <v>119082.46</v>
      </c>
      <c r="G3579">
        <v>32678.92</v>
      </c>
      <c r="H3579" t="str">
        <f>VLOOKUP(myynnit[[#This Row],[TuoteID]],ohjaus!$A$4:$B$20,2,FALSE)</f>
        <v>Työtuoli</v>
      </c>
    </row>
    <row r="3580" spans="1:8" x14ac:dyDescent="0.35">
      <c r="A3580" t="s">
        <v>39</v>
      </c>
      <c r="B3580">
        <v>2016</v>
      </c>
      <c r="C3580">
        <v>5</v>
      </c>
      <c r="D3580">
        <v>20177</v>
      </c>
      <c r="E3580">
        <v>72</v>
      </c>
      <c r="F3580">
        <v>6295.12</v>
      </c>
      <c r="G3580">
        <v>2956.82</v>
      </c>
      <c r="H3580" t="str">
        <f>VLOOKUP(myynnit[[#This Row],[TuoteID]],ohjaus!$A$4:$B$20,2,FALSE)</f>
        <v>Säkkituoli</v>
      </c>
    </row>
    <row r="3581" spans="1:8" x14ac:dyDescent="0.35">
      <c r="A3581" t="s">
        <v>39</v>
      </c>
      <c r="B3581">
        <v>2016</v>
      </c>
      <c r="C3581">
        <v>5</v>
      </c>
      <c r="D3581">
        <v>21179</v>
      </c>
      <c r="E3581">
        <v>64</v>
      </c>
      <c r="F3581">
        <v>9834.7800000000007</v>
      </c>
      <c r="G3581">
        <v>6814.27</v>
      </c>
      <c r="H3581" t="str">
        <f>VLOOKUP(myynnit[[#This Row],[TuoteID]],ohjaus!$A$4:$B$20,2,FALSE)</f>
        <v>Rahi</v>
      </c>
    </row>
    <row r="3582" spans="1:8" x14ac:dyDescent="0.35">
      <c r="A3582" t="s">
        <v>39</v>
      </c>
      <c r="B3582">
        <v>2016</v>
      </c>
      <c r="C3582">
        <v>5</v>
      </c>
      <c r="D3582">
        <v>21260</v>
      </c>
      <c r="E3582">
        <v>57</v>
      </c>
      <c r="F3582">
        <v>9831.24</v>
      </c>
      <c r="G3582">
        <v>2670.01</v>
      </c>
      <c r="H3582" t="str">
        <f>VLOOKUP(myynnit[[#This Row],[TuoteID]],ohjaus!$A$4:$B$20,2,FALSE)</f>
        <v>Lepotuoli</v>
      </c>
    </row>
    <row r="3583" spans="1:8" x14ac:dyDescent="0.35">
      <c r="A3583" t="s">
        <v>39</v>
      </c>
      <c r="B3583">
        <v>2016</v>
      </c>
      <c r="C3583">
        <v>5</v>
      </c>
      <c r="D3583">
        <v>22317</v>
      </c>
      <c r="E3583">
        <v>36</v>
      </c>
      <c r="F3583">
        <v>2943.83</v>
      </c>
      <c r="G3583">
        <v>1448.62</v>
      </c>
      <c r="H3583" t="str">
        <f>VLOOKUP(myynnit[[#This Row],[TuoteID]],ohjaus!$A$4:$B$20,2,FALSE)</f>
        <v>Säkkituoli</v>
      </c>
    </row>
    <row r="3584" spans="1:8" x14ac:dyDescent="0.35">
      <c r="A3584" t="s">
        <v>39</v>
      </c>
      <c r="B3584">
        <v>2016</v>
      </c>
      <c r="C3584">
        <v>5</v>
      </c>
      <c r="D3584">
        <v>22940</v>
      </c>
      <c r="E3584">
        <v>266</v>
      </c>
      <c r="F3584">
        <v>36528.78</v>
      </c>
      <c r="G3584">
        <v>10046.99</v>
      </c>
      <c r="H3584" t="str">
        <f>VLOOKUP(myynnit[[#This Row],[TuoteID]],ohjaus!$A$4:$B$20,2,FALSE)</f>
        <v>Pinnatuoli</v>
      </c>
    </row>
    <row r="3585" spans="1:8" x14ac:dyDescent="0.35">
      <c r="A3585" t="s">
        <v>39</v>
      </c>
      <c r="B3585">
        <v>2016</v>
      </c>
      <c r="C3585">
        <v>5</v>
      </c>
      <c r="D3585">
        <v>23178</v>
      </c>
      <c r="E3585">
        <v>245</v>
      </c>
      <c r="F3585">
        <v>42744.01</v>
      </c>
      <c r="G3585">
        <v>12018.7</v>
      </c>
      <c r="H3585" t="str">
        <f>VLOOKUP(myynnit[[#This Row],[TuoteID]],ohjaus!$A$4:$B$20,2,FALSE)</f>
        <v>Pinnatuoli</v>
      </c>
    </row>
    <row r="3586" spans="1:8" x14ac:dyDescent="0.35">
      <c r="A3586" t="s">
        <v>39</v>
      </c>
      <c r="B3586">
        <v>2016</v>
      </c>
      <c r="C3586">
        <v>5</v>
      </c>
      <c r="D3586">
        <v>23600</v>
      </c>
      <c r="E3586">
        <v>782</v>
      </c>
      <c r="F3586">
        <v>85643.44</v>
      </c>
      <c r="G3586">
        <v>21781.57</v>
      </c>
      <c r="H3586" t="str">
        <f>VLOOKUP(myynnit[[#This Row],[TuoteID]],ohjaus!$A$4:$B$20,2,FALSE)</f>
        <v>Pinnatuoli</v>
      </c>
    </row>
    <row r="3587" spans="1:8" x14ac:dyDescent="0.35">
      <c r="A3587" t="s">
        <v>39</v>
      </c>
      <c r="B3587">
        <v>2016</v>
      </c>
      <c r="C3587">
        <v>5</v>
      </c>
      <c r="D3587">
        <v>23756</v>
      </c>
      <c r="E3587">
        <v>53</v>
      </c>
      <c r="F3587">
        <v>10199.92</v>
      </c>
      <c r="G3587">
        <v>5479.38</v>
      </c>
      <c r="H3587" t="str">
        <f>VLOOKUP(myynnit[[#This Row],[TuoteID]],ohjaus!$A$4:$B$20,2,FALSE)</f>
        <v>Pianotuoli</v>
      </c>
    </row>
    <row r="3588" spans="1:8" x14ac:dyDescent="0.35">
      <c r="A3588" t="s">
        <v>39</v>
      </c>
      <c r="B3588">
        <v>2016</v>
      </c>
      <c r="C3588">
        <v>5</v>
      </c>
      <c r="D3588">
        <v>24326</v>
      </c>
      <c r="E3588">
        <v>132</v>
      </c>
      <c r="F3588">
        <v>16918.509999999998</v>
      </c>
      <c r="G3588">
        <v>4984.66</v>
      </c>
      <c r="H3588" t="str">
        <f>VLOOKUP(myynnit[[#This Row],[TuoteID]],ohjaus!$A$4:$B$20,2,FALSE)</f>
        <v>Lepotuoli</v>
      </c>
    </row>
    <row r="3589" spans="1:8" x14ac:dyDescent="0.35">
      <c r="A3589" t="s">
        <v>38</v>
      </c>
      <c r="B3589">
        <v>2016</v>
      </c>
      <c r="C3589">
        <v>5</v>
      </c>
      <c r="D3589">
        <v>12184</v>
      </c>
      <c r="E3589">
        <v>73</v>
      </c>
      <c r="F3589">
        <v>10633.69</v>
      </c>
      <c r="G3589">
        <v>6196.08</v>
      </c>
      <c r="H3589" t="str">
        <f>VLOOKUP(myynnit[[#This Row],[TuoteID]],ohjaus!$A$4:$B$20,2,FALSE)</f>
        <v>Rahi</v>
      </c>
    </row>
    <row r="3590" spans="1:8" x14ac:dyDescent="0.35">
      <c r="A3590" t="s">
        <v>38</v>
      </c>
      <c r="B3590">
        <v>2016</v>
      </c>
      <c r="C3590">
        <v>5</v>
      </c>
      <c r="D3590">
        <v>12622</v>
      </c>
      <c r="E3590">
        <v>26</v>
      </c>
      <c r="F3590">
        <v>8179.31</v>
      </c>
      <c r="G3590">
        <v>4429.51</v>
      </c>
      <c r="H3590" t="str">
        <f>VLOOKUP(myynnit[[#This Row],[TuoteID]],ohjaus!$A$4:$B$20,2,FALSE)</f>
        <v>Pianotuoli</v>
      </c>
    </row>
    <row r="3591" spans="1:8" x14ac:dyDescent="0.35">
      <c r="A3591" t="s">
        <v>38</v>
      </c>
      <c r="B3591">
        <v>2016</v>
      </c>
      <c r="C3591">
        <v>5</v>
      </c>
      <c r="D3591">
        <v>13527</v>
      </c>
      <c r="E3591">
        <v>527</v>
      </c>
      <c r="F3591">
        <v>80401.289999999994</v>
      </c>
      <c r="G3591">
        <v>17514.07</v>
      </c>
      <c r="H3591" t="str">
        <f>VLOOKUP(myynnit[[#This Row],[TuoteID]],ohjaus!$A$4:$B$20,2,FALSE)</f>
        <v>Pinnatuoli</v>
      </c>
    </row>
    <row r="3592" spans="1:8" x14ac:dyDescent="0.35">
      <c r="A3592" t="s">
        <v>38</v>
      </c>
      <c r="B3592">
        <v>2016</v>
      </c>
      <c r="C3592">
        <v>5</v>
      </c>
      <c r="D3592">
        <v>13618</v>
      </c>
      <c r="E3592">
        <v>12</v>
      </c>
      <c r="F3592">
        <v>5526.18</v>
      </c>
      <c r="G3592">
        <v>2566.7800000000002</v>
      </c>
      <c r="H3592" t="str">
        <f>VLOOKUP(myynnit[[#This Row],[TuoteID]],ohjaus!$A$4:$B$20,2,FALSE)</f>
        <v>Pianotuoli</v>
      </c>
    </row>
    <row r="3593" spans="1:8" x14ac:dyDescent="0.35">
      <c r="A3593" t="s">
        <v>38</v>
      </c>
      <c r="B3593">
        <v>2016</v>
      </c>
      <c r="C3593">
        <v>5</v>
      </c>
      <c r="D3593">
        <v>16024</v>
      </c>
      <c r="E3593">
        <v>124</v>
      </c>
      <c r="F3593">
        <v>53522.13</v>
      </c>
      <c r="G3593">
        <v>13918.13</v>
      </c>
      <c r="H3593" t="str">
        <f>VLOOKUP(myynnit[[#This Row],[TuoteID]],ohjaus!$A$4:$B$20,2,FALSE)</f>
        <v>Työtuoli</v>
      </c>
    </row>
    <row r="3594" spans="1:8" x14ac:dyDescent="0.35">
      <c r="A3594" t="s">
        <v>38</v>
      </c>
      <c r="B3594">
        <v>2016</v>
      </c>
      <c r="C3594">
        <v>5</v>
      </c>
      <c r="D3594">
        <v>16650</v>
      </c>
      <c r="E3594">
        <v>28</v>
      </c>
      <c r="F3594">
        <v>4277.26</v>
      </c>
      <c r="G3594">
        <v>2794.29</v>
      </c>
      <c r="H3594" t="str">
        <f>VLOOKUP(myynnit[[#This Row],[TuoteID]],ohjaus!$A$4:$B$20,2,FALSE)</f>
        <v>Rahi</v>
      </c>
    </row>
    <row r="3595" spans="1:8" x14ac:dyDescent="0.35">
      <c r="A3595" t="s">
        <v>38</v>
      </c>
      <c r="B3595">
        <v>2016</v>
      </c>
      <c r="C3595">
        <v>5</v>
      </c>
      <c r="D3595">
        <v>17892</v>
      </c>
      <c r="E3595">
        <v>70</v>
      </c>
      <c r="F3595">
        <v>10816.68</v>
      </c>
      <c r="G3595">
        <v>2815.44</v>
      </c>
      <c r="H3595" t="str">
        <f>VLOOKUP(myynnit[[#This Row],[TuoteID]],ohjaus!$A$4:$B$20,2,FALSE)</f>
        <v>Lepotuoli</v>
      </c>
    </row>
    <row r="3596" spans="1:8" x14ac:dyDescent="0.35">
      <c r="A3596" t="s">
        <v>38</v>
      </c>
      <c r="B3596">
        <v>2016</v>
      </c>
      <c r="C3596">
        <v>5</v>
      </c>
      <c r="D3596">
        <v>18342</v>
      </c>
      <c r="E3596">
        <v>201</v>
      </c>
      <c r="F3596">
        <v>176429.46</v>
      </c>
      <c r="G3596">
        <v>39095.33</v>
      </c>
      <c r="H3596" t="str">
        <f>VLOOKUP(myynnit[[#This Row],[TuoteID]],ohjaus!$A$4:$B$20,2,FALSE)</f>
        <v>Työtuoli</v>
      </c>
    </row>
    <row r="3597" spans="1:8" x14ac:dyDescent="0.35">
      <c r="A3597" t="s">
        <v>38</v>
      </c>
      <c r="B3597">
        <v>2016</v>
      </c>
      <c r="C3597">
        <v>5</v>
      </c>
      <c r="D3597">
        <v>20177</v>
      </c>
      <c r="E3597">
        <v>79</v>
      </c>
      <c r="F3597">
        <v>9018.0400000000009</v>
      </c>
      <c r="G3597">
        <v>3185.24</v>
      </c>
      <c r="H3597" t="str">
        <f>VLOOKUP(myynnit[[#This Row],[TuoteID]],ohjaus!$A$4:$B$20,2,FALSE)</f>
        <v>Säkkituoli</v>
      </c>
    </row>
    <row r="3598" spans="1:8" x14ac:dyDescent="0.35">
      <c r="A3598" t="s">
        <v>38</v>
      </c>
      <c r="B3598">
        <v>2016</v>
      </c>
      <c r="C3598">
        <v>5</v>
      </c>
      <c r="D3598">
        <v>21179</v>
      </c>
      <c r="E3598">
        <v>48</v>
      </c>
      <c r="F3598">
        <v>7068.62</v>
      </c>
      <c r="G3598">
        <v>4058.93</v>
      </c>
      <c r="H3598" t="str">
        <f>VLOOKUP(myynnit[[#This Row],[TuoteID]],ohjaus!$A$4:$B$20,2,FALSE)</f>
        <v>Rahi</v>
      </c>
    </row>
    <row r="3599" spans="1:8" x14ac:dyDescent="0.35">
      <c r="A3599" t="s">
        <v>38</v>
      </c>
      <c r="B3599">
        <v>2016</v>
      </c>
      <c r="C3599">
        <v>5</v>
      </c>
      <c r="D3599">
        <v>21260</v>
      </c>
      <c r="E3599">
        <v>71</v>
      </c>
      <c r="F3599">
        <v>12785.43</v>
      </c>
      <c r="G3599">
        <v>3383.47</v>
      </c>
      <c r="H3599" t="str">
        <f>VLOOKUP(myynnit[[#This Row],[TuoteID]],ohjaus!$A$4:$B$20,2,FALSE)</f>
        <v>Lepotuoli</v>
      </c>
    </row>
    <row r="3600" spans="1:8" x14ac:dyDescent="0.35">
      <c r="A3600" t="s">
        <v>38</v>
      </c>
      <c r="B3600">
        <v>2016</v>
      </c>
      <c r="C3600">
        <v>5</v>
      </c>
      <c r="D3600">
        <v>22317</v>
      </c>
      <c r="E3600">
        <v>62</v>
      </c>
      <c r="F3600">
        <v>5581.02</v>
      </c>
      <c r="G3600">
        <v>2126</v>
      </c>
      <c r="H3600" t="str">
        <f>VLOOKUP(myynnit[[#This Row],[TuoteID]],ohjaus!$A$4:$B$20,2,FALSE)</f>
        <v>Säkkituoli</v>
      </c>
    </row>
    <row r="3601" spans="1:8" x14ac:dyDescent="0.35">
      <c r="A3601" t="s">
        <v>38</v>
      </c>
      <c r="B3601">
        <v>2016</v>
      </c>
      <c r="C3601">
        <v>5</v>
      </c>
      <c r="D3601">
        <v>22940</v>
      </c>
      <c r="E3601">
        <v>327</v>
      </c>
      <c r="F3601">
        <v>43624.33</v>
      </c>
      <c r="G3601">
        <v>8538.06</v>
      </c>
      <c r="H3601" t="str">
        <f>VLOOKUP(myynnit[[#This Row],[TuoteID]],ohjaus!$A$4:$B$20,2,FALSE)</f>
        <v>Pinnatuoli</v>
      </c>
    </row>
    <row r="3602" spans="1:8" x14ac:dyDescent="0.35">
      <c r="A3602" t="s">
        <v>38</v>
      </c>
      <c r="B3602">
        <v>2016</v>
      </c>
      <c r="C3602">
        <v>5</v>
      </c>
      <c r="D3602">
        <v>23178</v>
      </c>
      <c r="E3602">
        <v>274</v>
      </c>
      <c r="F3602">
        <v>44418.720000000001</v>
      </c>
      <c r="G3602">
        <v>9330.66</v>
      </c>
      <c r="H3602" t="str">
        <f>VLOOKUP(myynnit[[#This Row],[TuoteID]],ohjaus!$A$4:$B$20,2,FALSE)</f>
        <v>Pinnatuoli</v>
      </c>
    </row>
    <row r="3603" spans="1:8" x14ac:dyDescent="0.35">
      <c r="A3603" t="s">
        <v>38</v>
      </c>
      <c r="B3603">
        <v>2016</v>
      </c>
      <c r="C3603">
        <v>5</v>
      </c>
      <c r="D3603">
        <v>23600</v>
      </c>
      <c r="E3603">
        <v>874</v>
      </c>
      <c r="F3603">
        <v>92029.29</v>
      </c>
      <c r="G3603">
        <v>22025.65</v>
      </c>
      <c r="H3603" t="str">
        <f>VLOOKUP(myynnit[[#This Row],[TuoteID]],ohjaus!$A$4:$B$20,2,FALSE)</f>
        <v>Pinnatuoli</v>
      </c>
    </row>
    <row r="3604" spans="1:8" x14ac:dyDescent="0.35">
      <c r="A3604" t="s">
        <v>38</v>
      </c>
      <c r="B3604">
        <v>2016</v>
      </c>
      <c r="C3604">
        <v>5</v>
      </c>
      <c r="D3604">
        <v>23756</v>
      </c>
      <c r="E3604">
        <v>118</v>
      </c>
      <c r="F3604">
        <v>20738.919999999998</v>
      </c>
      <c r="G3604">
        <v>10821.61</v>
      </c>
      <c r="H3604" t="str">
        <f>VLOOKUP(myynnit[[#This Row],[TuoteID]],ohjaus!$A$4:$B$20,2,FALSE)</f>
        <v>Pianotuoli</v>
      </c>
    </row>
    <row r="3605" spans="1:8" x14ac:dyDescent="0.35">
      <c r="A3605" t="s">
        <v>38</v>
      </c>
      <c r="B3605">
        <v>2016</v>
      </c>
      <c r="C3605">
        <v>5</v>
      </c>
      <c r="D3605">
        <v>24326</v>
      </c>
      <c r="E3605">
        <v>60</v>
      </c>
      <c r="F3605">
        <v>9027.4699999999993</v>
      </c>
      <c r="G3605">
        <v>2123.17</v>
      </c>
      <c r="H3605" t="str">
        <f>VLOOKUP(myynnit[[#This Row],[TuoteID]],ohjaus!$A$4:$B$20,2,FALSE)</f>
        <v>Lepotuoli</v>
      </c>
    </row>
    <row r="3606" spans="1:8" x14ac:dyDescent="0.35">
      <c r="A3606" t="s">
        <v>37</v>
      </c>
      <c r="B3606">
        <v>2016</v>
      </c>
      <c r="C3606">
        <v>6</v>
      </c>
      <c r="D3606">
        <v>12184</v>
      </c>
      <c r="E3606">
        <v>111</v>
      </c>
      <c r="F3606">
        <v>13764.58</v>
      </c>
      <c r="G3606">
        <v>6246.01</v>
      </c>
      <c r="H3606" t="str">
        <f>VLOOKUP(myynnit[[#This Row],[TuoteID]],ohjaus!$A$4:$B$20,2,FALSE)</f>
        <v>Rahi</v>
      </c>
    </row>
    <row r="3607" spans="1:8" x14ac:dyDescent="0.35">
      <c r="A3607" t="s">
        <v>37</v>
      </c>
      <c r="B3607">
        <v>2016</v>
      </c>
      <c r="C3607">
        <v>6</v>
      </c>
      <c r="D3607">
        <v>12622</v>
      </c>
      <c r="E3607">
        <v>28</v>
      </c>
      <c r="F3607">
        <v>7343.25</v>
      </c>
      <c r="G3607">
        <v>4037.03</v>
      </c>
      <c r="H3607" t="str">
        <f>VLOOKUP(myynnit[[#This Row],[TuoteID]],ohjaus!$A$4:$B$20,2,FALSE)</f>
        <v>Pianotuoli</v>
      </c>
    </row>
    <row r="3608" spans="1:8" x14ac:dyDescent="0.35">
      <c r="A3608" t="s">
        <v>37</v>
      </c>
      <c r="B3608">
        <v>2016</v>
      </c>
      <c r="C3608">
        <v>6</v>
      </c>
      <c r="D3608">
        <v>13527</v>
      </c>
      <c r="E3608">
        <v>599</v>
      </c>
      <c r="F3608">
        <v>97426.89</v>
      </c>
      <c r="G3608">
        <v>19615.09</v>
      </c>
      <c r="H3608" t="str">
        <f>VLOOKUP(myynnit[[#This Row],[TuoteID]],ohjaus!$A$4:$B$20,2,FALSE)</f>
        <v>Pinnatuoli</v>
      </c>
    </row>
    <row r="3609" spans="1:8" x14ac:dyDescent="0.35">
      <c r="A3609" t="s">
        <v>37</v>
      </c>
      <c r="B3609">
        <v>2016</v>
      </c>
      <c r="C3609">
        <v>6</v>
      </c>
      <c r="D3609">
        <v>13618</v>
      </c>
      <c r="E3609">
        <v>16</v>
      </c>
      <c r="F3609">
        <v>5409.44</v>
      </c>
      <c r="G3609">
        <v>2962.12</v>
      </c>
      <c r="H3609" t="str">
        <f>VLOOKUP(myynnit[[#This Row],[TuoteID]],ohjaus!$A$4:$B$20,2,FALSE)</f>
        <v>Pianotuoli</v>
      </c>
    </row>
    <row r="3610" spans="1:8" x14ac:dyDescent="0.35">
      <c r="A3610" t="s">
        <v>37</v>
      </c>
      <c r="B3610">
        <v>2016</v>
      </c>
      <c r="C3610">
        <v>6</v>
      </c>
      <c r="D3610">
        <v>16024</v>
      </c>
      <c r="E3610">
        <v>256</v>
      </c>
      <c r="F3610">
        <v>122165.58</v>
      </c>
      <c r="G3610">
        <v>37055.61</v>
      </c>
      <c r="H3610" t="str">
        <f>VLOOKUP(myynnit[[#This Row],[TuoteID]],ohjaus!$A$4:$B$20,2,FALSE)</f>
        <v>Työtuoli</v>
      </c>
    </row>
    <row r="3611" spans="1:8" x14ac:dyDescent="0.35">
      <c r="A3611" t="s">
        <v>37</v>
      </c>
      <c r="B3611">
        <v>2016</v>
      </c>
      <c r="C3611">
        <v>6</v>
      </c>
      <c r="D3611">
        <v>16650</v>
      </c>
      <c r="E3611">
        <v>36</v>
      </c>
      <c r="F3611">
        <v>4773.79</v>
      </c>
      <c r="G3611">
        <v>2049.23</v>
      </c>
      <c r="H3611" t="str">
        <f>VLOOKUP(myynnit[[#This Row],[TuoteID]],ohjaus!$A$4:$B$20,2,FALSE)</f>
        <v>Rahi</v>
      </c>
    </row>
    <row r="3612" spans="1:8" x14ac:dyDescent="0.35">
      <c r="A3612" t="s">
        <v>37</v>
      </c>
      <c r="B3612">
        <v>2016</v>
      </c>
      <c r="C3612">
        <v>6</v>
      </c>
      <c r="D3612">
        <v>17892</v>
      </c>
      <c r="E3612">
        <v>135</v>
      </c>
      <c r="F3612">
        <v>20972.2</v>
      </c>
      <c r="G3612">
        <v>5122.28</v>
      </c>
      <c r="H3612" t="str">
        <f>VLOOKUP(myynnit[[#This Row],[TuoteID]],ohjaus!$A$4:$B$20,2,FALSE)</f>
        <v>Lepotuoli</v>
      </c>
    </row>
    <row r="3613" spans="1:8" x14ac:dyDescent="0.35">
      <c r="A3613" t="s">
        <v>37</v>
      </c>
      <c r="B3613">
        <v>2016</v>
      </c>
      <c r="C3613">
        <v>6</v>
      </c>
      <c r="D3613">
        <v>18342</v>
      </c>
      <c r="E3613">
        <v>122</v>
      </c>
      <c r="F3613">
        <v>90034.92</v>
      </c>
      <c r="G3613">
        <v>22511.64</v>
      </c>
      <c r="H3613" t="str">
        <f>VLOOKUP(myynnit[[#This Row],[TuoteID]],ohjaus!$A$4:$B$20,2,FALSE)</f>
        <v>Työtuoli</v>
      </c>
    </row>
    <row r="3614" spans="1:8" x14ac:dyDescent="0.35">
      <c r="A3614" t="s">
        <v>37</v>
      </c>
      <c r="B3614">
        <v>2016</v>
      </c>
      <c r="C3614">
        <v>6</v>
      </c>
      <c r="D3614">
        <v>20177</v>
      </c>
      <c r="E3614">
        <v>109</v>
      </c>
      <c r="F3614">
        <v>10056.81</v>
      </c>
      <c r="G3614">
        <v>4167.3599999999997</v>
      </c>
      <c r="H3614" t="str">
        <f>VLOOKUP(myynnit[[#This Row],[TuoteID]],ohjaus!$A$4:$B$20,2,FALSE)</f>
        <v>Säkkituoli</v>
      </c>
    </row>
    <row r="3615" spans="1:8" x14ac:dyDescent="0.35">
      <c r="A3615" t="s">
        <v>37</v>
      </c>
      <c r="B3615">
        <v>2016</v>
      </c>
      <c r="C3615">
        <v>6</v>
      </c>
      <c r="D3615">
        <v>21179</v>
      </c>
      <c r="E3615">
        <v>70</v>
      </c>
      <c r="F3615">
        <v>7747.56</v>
      </c>
      <c r="G3615">
        <v>3756.19</v>
      </c>
      <c r="H3615" t="str">
        <f>VLOOKUP(myynnit[[#This Row],[TuoteID]],ohjaus!$A$4:$B$20,2,FALSE)</f>
        <v>Rahi</v>
      </c>
    </row>
    <row r="3616" spans="1:8" x14ac:dyDescent="0.35">
      <c r="A3616" t="s">
        <v>37</v>
      </c>
      <c r="B3616">
        <v>2016</v>
      </c>
      <c r="C3616">
        <v>6</v>
      </c>
      <c r="D3616">
        <v>21260</v>
      </c>
      <c r="E3616">
        <v>60</v>
      </c>
      <c r="F3616">
        <v>10675.54</v>
      </c>
      <c r="G3616">
        <v>2693.26</v>
      </c>
      <c r="H3616" t="str">
        <f>VLOOKUP(myynnit[[#This Row],[TuoteID]],ohjaus!$A$4:$B$20,2,FALSE)</f>
        <v>Lepotuoli</v>
      </c>
    </row>
    <row r="3617" spans="1:8" x14ac:dyDescent="0.35">
      <c r="A3617" t="s">
        <v>37</v>
      </c>
      <c r="B3617">
        <v>2016</v>
      </c>
      <c r="C3617">
        <v>6</v>
      </c>
      <c r="D3617">
        <v>22317</v>
      </c>
      <c r="E3617">
        <v>120</v>
      </c>
      <c r="F3617">
        <v>11534.49</v>
      </c>
      <c r="G3617">
        <v>4785.97</v>
      </c>
      <c r="H3617" t="str">
        <f>VLOOKUP(myynnit[[#This Row],[TuoteID]],ohjaus!$A$4:$B$20,2,FALSE)</f>
        <v>Säkkituoli</v>
      </c>
    </row>
    <row r="3618" spans="1:8" x14ac:dyDescent="0.35">
      <c r="A3618" t="s">
        <v>37</v>
      </c>
      <c r="B3618">
        <v>2016</v>
      </c>
      <c r="C3618">
        <v>6</v>
      </c>
      <c r="D3618">
        <v>22940</v>
      </c>
      <c r="E3618">
        <v>911</v>
      </c>
      <c r="F3618">
        <v>111012.91</v>
      </c>
      <c r="G3618">
        <v>22001.57</v>
      </c>
      <c r="H3618" t="str">
        <f>VLOOKUP(myynnit[[#This Row],[TuoteID]],ohjaus!$A$4:$B$20,2,FALSE)</f>
        <v>Pinnatuoli</v>
      </c>
    </row>
    <row r="3619" spans="1:8" x14ac:dyDescent="0.35">
      <c r="A3619" t="s">
        <v>37</v>
      </c>
      <c r="B3619">
        <v>2016</v>
      </c>
      <c r="C3619">
        <v>6</v>
      </c>
      <c r="D3619">
        <v>23178</v>
      </c>
      <c r="E3619">
        <v>456</v>
      </c>
      <c r="F3619">
        <v>81771.100000000006</v>
      </c>
      <c r="G3619">
        <v>13104.11</v>
      </c>
      <c r="H3619" t="str">
        <f>VLOOKUP(myynnit[[#This Row],[TuoteID]],ohjaus!$A$4:$B$20,2,FALSE)</f>
        <v>Pinnatuoli</v>
      </c>
    </row>
    <row r="3620" spans="1:8" x14ac:dyDescent="0.35">
      <c r="A3620" t="s">
        <v>37</v>
      </c>
      <c r="B3620">
        <v>2016</v>
      </c>
      <c r="C3620">
        <v>6</v>
      </c>
      <c r="D3620">
        <v>23600</v>
      </c>
      <c r="E3620">
        <v>1270</v>
      </c>
      <c r="F3620">
        <v>142589.22</v>
      </c>
      <c r="G3620">
        <v>28649.11</v>
      </c>
      <c r="H3620" t="str">
        <f>VLOOKUP(myynnit[[#This Row],[TuoteID]],ohjaus!$A$4:$B$20,2,FALSE)</f>
        <v>Pinnatuoli</v>
      </c>
    </row>
    <row r="3621" spans="1:8" x14ac:dyDescent="0.35">
      <c r="A3621" t="s">
        <v>37</v>
      </c>
      <c r="B3621">
        <v>2016</v>
      </c>
      <c r="C3621">
        <v>6</v>
      </c>
      <c r="D3621">
        <v>23756</v>
      </c>
      <c r="E3621">
        <v>52</v>
      </c>
      <c r="F3621">
        <v>10611.6</v>
      </c>
      <c r="G3621">
        <v>4457.67</v>
      </c>
      <c r="H3621" t="str">
        <f>VLOOKUP(myynnit[[#This Row],[TuoteID]],ohjaus!$A$4:$B$20,2,FALSE)</f>
        <v>Pianotuoli</v>
      </c>
    </row>
    <row r="3622" spans="1:8" x14ac:dyDescent="0.35">
      <c r="A3622" t="s">
        <v>37</v>
      </c>
      <c r="B3622">
        <v>2016</v>
      </c>
      <c r="C3622">
        <v>6</v>
      </c>
      <c r="D3622">
        <v>24326</v>
      </c>
      <c r="E3622">
        <v>175</v>
      </c>
      <c r="F3622">
        <v>24483.82</v>
      </c>
      <c r="G3622">
        <v>7647.62</v>
      </c>
      <c r="H3622" t="str">
        <f>VLOOKUP(myynnit[[#This Row],[TuoteID]],ohjaus!$A$4:$B$20,2,FALSE)</f>
        <v>Lepotuoli</v>
      </c>
    </row>
    <row r="3623" spans="1:8" x14ac:dyDescent="0.35">
      <c r="A3623" t="s">
        <v>40</v>
      </c>
      <c r="B3623">
        <v>2016</v>
      </c>
      <c r="C3623">
        <v>6</v>
      </c>
      <c r="D3623">
        <v>12184</v>
      </c>
      <c r="E3623">
        <v>24</v>
      </c>
      <c r="F3623">
        <v>3154.03</v>
      </c>
      <c r="G3623">
        <v>1807.59</v>
      </c>
      <c r="H3623" t="str">
        <f>VLOOKUP(myynnit[[#This Row],[TuoteID]],ohjaus!$A$4:$B$20,2,FALSE)</f>
        <v>Rahi</v>
      </c>
    </row>
    <row r="3624" spans="1:8" x14ac:dyDescent="0.35">
      <c r="A3624" t="s">
        <v>40</v>
      </c>
      <c r="B3624">
        <v>2016</v>
      </c>
      <c r="C3624">
        <v>6</v>
      </c>
      <c r="D3624">
        <v>12622</v>
      </c>
      <c r="E3624">
        <v>21</v>
      </c>
      <c r="F3624">
        <v>5903.9</v>
      </c>
      <c r="G3624">
        <v>2776.18</v>
      </c>
      <c r="H3624" t="str">
        <f>VLOOKUP(myynnit[[#This Row],[TuoteID]],ohjaus!$A$4:$B$20,2,FALSE)</f>
        <v>Pianotuoli</v>
      </c>
    </row>
    <row r="3625" spans="1:8" x14ac:dyDescent="0.35">
      <c r="A3625" t="s">
        <v>40</v>
      </c>
      <c r="B3625">
        <v>2016</v>
      </c>
      <c r="C3625">
        <v>6</v>
      </c>
      <c r="D3625">
        <v>13527</v>
      </c>
      <c r="E3625">
        <v>247</v>
      </c>
      <c r="F3625">
        <v>39589.919999999998</v>
      </c>
      <c r="G3625">
        <v>6676.65</v>
      </c>
      <c r="H3625" t="str">
        <f>VLOOKUP(myynnit[[#This Row],[TuoteID]],ohjaus!$A$4:$B$20,2,FALSE)</f>
        <v>Pinnatuoli</v>
      </c>
    </row>
    <row r="3626" spans="1:8" x14ac:dyDescent="0.35">
      <c r="A3626" t="s">
        <v>40</v>
      </c>
      <c r="B3626">
        <v>2016</v>
      </c>
      <c r="C3626">
        <v>6</v>
      </c>
      <c r="D3626">
        <v>13618</v>
      </c>
      <c r="E3626">
        <v>6</v>
      </c>
      <c r="F3626">
        <v>1944.91</v>
      </c>
      <c r="G3626">
        <v>969.75</v>
      </c>
      <c r="H3626" t="str">
        <f>VLOOKUP(myynnit[[#This Row],[TuoteID]],ohjaus!$A$4:$B$20,2,FALSE)</f>
        <v>Pianotuoli</v>
      </c>
    </row>
    <row r="3627" spans="1:8" x14ac:dyDescent="0.35">
      <c r="A3627" t="s">
        <v>40</v>
      </c>
      <c r="B3627">
        <v>2016</v>
      </c>
      <c r="C3627">
        <v>6</v>
      </c>
      <c r="D3627">
        <v>16024</v>
      </c>
      <c r="E3627">
        <v>233</v>
      </c>
      <c r="F3627">
        <v>102604.65</v>
      </c>
      <c r="G3627">
        <v>34528.15</v>
      </c>
      <c r="H3627" t="str">
        <f>VLOOKUP(myynnit[[#This Row],[TuoteID]],ohjaus!$A$4:$B$20,2,FALSE)</f>
        <v>Työtuoli</v>
      </c>
    </row>
    <row r="3628" spans="1:8" x14ac:dyDescent="0.35">
      <c r="A3628" t="s">
        <v>40</v>
      </c>
      <c r="B3628">
        <v>2016</v>
      </c>
      <c r="C3628">
        <v>6</v>
      </c>
      <c r="D3628">
        <v>16650</v>
      </c>
      <c r="E3628">
        <v>34</v>
      </c>
      <c r="F3628">
        <v>5434.88</v>
      </c>
      <c r="G3628">
        <v>3704.17</v>
      </c>
      <c r="H3628" t="str">
        <f>VLOOKUP(myynnit[[#This Row],[TuoteID]],ohjaus!$A$4:$B$20,2,FALSE)</f>
        <v>Rahi</v>
      </c>
    </row>
    <row r="3629" spans="1:8" x14ac:dyDescent="0.35">
      <c r="A3629" t="s">
        <v>40</v>
      </c>
      <c r="B3629">
        <v>2016</v>
      </c>
      <c r="C3629">
        <v>6</v>
      </c>
      <c r="D3629">
        <v>17892</v>
      </c>
      <c r="E3629">
        <v>50</v>
      </c>
      <c r="F3629">
        <v>7354.08</v>
      </c>
      <c r="G3629">
        <v>1522.68</v>
      </c>
      <c r="H3629" t="str">
        <f>VLOOKUP(myynnit[[#This Row],[TuoteID]],ohjaus!$A$4:$B$20,2,FALSE)</f>
        <v>Lepotuoli</v>
      </c>
    </row>
    <row r="3630" spans="1:8" x14ac:dyDescent="0.35">
      <c r="A3630" t="s">
        <v>40</v>
      </c>
      <c r="B3630">
        <v>2016</v>
      </c>
      <c r="C3630">
        <v>6</v>
      </c>
      <c r="D3630">
        <v>18342</v>
      </c>
      <c r="E3630">
        <v>25</v>
      </c>
      <c r="F3630">
        <v>18706.14</v>
      </c>
      <c r="G3630">
        <v>6217.76</v>
      </c>
      <c r="H3630" t="str">
        <f>VLOOKUP(myynnit[[#This Row],[TuoteID]],ohjaus!$A$4:$B$20,2,FALSE)</f>
        <v>Työtuoli</v>
      </c>
    </row>
    <row r="3631" spans="1:8" x14ac:dyDescent="0.35">
      <c r="A3631" t="s">
        <v>40</v>
      </c>
      <c r="B3631">
        <v>2016</v>
      </c>
      <c r="C3631">
        <v>6</v>
      </c>
      <c r="D3631">
        <v>20177</v>
      </c>
      <c r="E3631">
        <v>30</v>
      </c>
      <c r="F3631">
        <v>3230.84</v>
      </c>
      <c r="G3631">
        <v>1195.1500000000001</v>
      </c>
      <c r="H3631" t="str">
        <f>VLOOKUP(myynnit[[#This Row],[TuoteID]],ohjaus!$A$4:$B$20,2,FALSE)</f>
        <v>Säkkituoli</v>
      </c>
    </row>
    <row r="3632" spans="1:8" x14ac:dyDescent="0.35">
      <c r="A3632" t="s">
        <v>40</v>
      </c>
      <c r="B3632">
        <v>2016</v>
      </c>
      <c r="C3632">
        <v>6</v>
      </c>
      <c r="D3632">
        <v>21179</v>
      </c>
      <c r="E3632">
        <v>25</v>
      </c>
      <c r="F3632">
        <v>3290.69</v>
      </c>
      <c r="G3632">
        <v>1700.84</v>
      </c>
      <c r="H3632" t="str">
        <f>VLOOKUP(myynnit[[#This Row],[TuoteID]],ohjaus!$A$4:$B$20,2,FALSE)</f>
        <v>Rahi</v>
      </c>
    </row>
    <row r="3633" spans="1:8" x14ac:dyDescent="0.35">
      <c r="A3633" t="s">
        <v>40</v>
      </c>
      <c r="B3633">
        <v>2016</v>
      </c>
      <c r="C3633">
        <v>6</v>
      </c>
      <c r="D3633">
        <v>21260</v>
      </c>
      <c r="E3633">
        <v>21</v>
      </c>
      <c r="F3633">
        <v>3664.09</v>
      </c>
      <c r="G3633">
        <v>909.93</v>
      </c>
      <c r="H3633" t="str">
        <f>VLOOKUP(myynnit[[#This Row],[TuoteID]],ohjaus!$A$4:$B$20,2,FALSE)</f>
        <v>Lepotuoli</v>
      </c>
    </row>
    <row r="3634" spans="1:8" x14ac:dyDescent="0.35">
      <c r="A3634" t="s">
        <v>40</v>
      </c>
      <c r="B3634">
        <v>2016</v>
      </c>
      <c r="C3634">
        <v>6</v>
      </c>
      <c r="D3634">
        <v>22317</v>
      </c>
      <c r="E3634">
        <v>18</v>
      </c>
      <c r="F3634">
        <v>1504.27</v>
      </c>
      <c r="G3634">
        <v>699.19</v>
      </c>
      <c r="H3634" t="str">
        <f>VLOOKUP(myynnit[[#This Row],[TuoteID]],ohjaus!$A$4:$B$20,2,FALSE)</f>
        <v>Säkkituoli</v>
      </c>
    </row>
    <row r="3635" spans="1:8" x14ac:dyDescent="0.35">
      <c r="A3635" t="s">
        <v>40</v>
      </c>
      <c r="B3635">
        <v>2016</v>
      </c>
      <c r="C3635">
        <v>6</v>
      </c>
      <c r="D3635">
        <v>22940</v>
      </c>
      <c r="E3635">
        <v>231</v>
      </c>
      <c r="F3635">
        <v>32869.74</v>
      </c>
      <c r="G3635">
        <v>7594.71</v>
      </c>
      <c r="H3635" t="str">
        <f>VLOOKUP(myynnit[[#This Row],[TuoteID]],ohjaus!$A$4:$B$20,2,FALSE)</f>
        <v>Pinnatuoli</v>
      </c>
    </row>
    <row r="3636" spans="1:8" x14ac:dyDescent="0.35">
      <c r="A3636" t="s">
        <v>40</v>
      </c>
      <c r="B3636">
        <v>2016</v>
      </c>
      <c r="C3636">
        <v>6</v>
      </c>
      <c r="D3636">
        <v>23178</v>
      </c>
      <c r="E3636">
        <v>268</v>
      </c>
      <c r="F3636">
        <v>49729.86</v>
      </c>
      <c r="G3636">
        <v>13128.63</v>
      </c>
      <c r="H3636" t="str">
        <f>VLOOKUP(myynnit[[#This Row],[TuoteID]],ohjaus!$A$4:$B$20,2,FALSE)</f>
        <v>Pinnatuoli</v>
      </c>
    </row>
    <row r="3637" spans="1:8" x14ac:dyDescent="0.35">
      <c r="A3637" t="s">
        <v>40</v>
      </c>
      <c r="B3637">
        <v>2016</v>
      </c>
      <c r="C3637">
        <v>6</v>
      </c>
      <c r="D3637">
        <v>23600</v>
      </c>
      <c r="E3637">
        <v>471</v>
      </c>
      <c r="F3637">
        <v>50711.93</v>
      </c>
      <c r="G3637">
        <v>13059.06</v>
      </c>
      <c r="H3637" t="str">
        <f>VLOOKUP(myynnit[[#This Row],[TuoteID]],ohjaus!$A$4:$B$20,2,FALSE)</f>
        <v>Pinnatuoli</v>
      </c>
    </row>
    <row r="3638" spans="1:8" x14ac:dyDescent="0.35">
      <c r="A3638" t="s">
        <v>40</v>
      </c>
      <c r="B3638">
        <v>2016</v>
      </c>
      <c r="C3638">
        <v>6</v>
      </c>
      <c r="D3638">
        <v>23756</v>
      </c>
      <c r="E3638">
        <v>65</v>
      </c>
      <c r="F3638">
        <v>10518.96</v>
      </c>
      <c r="G3638">
        <v>4890.21</v>
      </c>
      <c r="H3638" t="str">
        <f>VLOOKUP(myynnit[[#This Row],[TuoteID]],ohjaus!$A$4:$B$20,2,FALSE)</f>
        <v>Pianotuoli</v>
      </c>
    </row>
    <row r="3639" spans="1:8" x14ac:dyDescent="0.35">
      <c r="A3639" t="s">
        <v>40</v>
      </c>
      <c r="B3639">
        <v>2016</v>
      </c>
      <c r="C3639">
        <v>6</v>
      </c>
      <c r="D3639">
        <v>24326</v>
      </c>
      <c r="E3639">
        <v>42</v>
      </c>
      <c r="F3639">
        <v>5984.67</v>
      </c>
      <c r="G3639">
        <v>1564.32</v>
      </c>
      <c r="H3639" t="str">
        <f>VLOOKUP(myynnit[[#This Row],[TuoteID]],ohjaus!$A$4:$B$20,2,FALSE)</f>
        <v>Lepotuoli</v>
      </c>
    </row>
    <row r="3640" spans="1:8" x14ac:dyDescent="0.35">
      <c r="A3640" t="s">
        <v>39</v>
      </c>
      <c r="B3640">
        <v>2016</v>
      </c>
      <c r="C3640">
        <v>6</v>
      </c>
      <c r="D3640">
        <v>12184</v>
      </c>
      <c r="E3640">
        <v>41</v>
      </c>
      <c r="F3640">
        <v>5639.06</v>
      </c>
      <c r="G3640">
        <v>3301.11</v>
      </c>
      <c r="H3640" t="str">
        <f>VLOOKUP(myynnit[[#This Row],[TuoteID]],ohjaus!$A$4:$B$20,2,FALSE)</f>
        <v>Rahi</v>
      </c>
    </row>
    <row r="3641" spans="1:8" x14ac:dyDescent="0.35">
      <c r="A3641" t="s">
        <v>39</v>
      </c>
      <c r="B3641">
        <v>2016</v>
      </c>
      <c r="C3641">
        <v>6</v>
      </c>
      <c r="D3641">
        <v>12622</v>
      </c>
      <c r="E3641">
        <v>37</v>
      </c>
      <c r="F3641">
        <v>8470.39</v>
      </c>
      <c r="G3641">
        <v>4262.24</v>
      </c>
      <c r="H3641" t="str">
        <f>VLOOKUP(myynnit[[#This Row],[TuoteID]],ohjaus!$A$4:$B$20,2,FALSE)</f>
        <v>Pianotuoli</v>
      </c>
    </row>
    <row r="3642" spans="1:8" x14ac:dyDescent="0.35">
      <c r="A3642" t="s">
        <v>39</v>
      </c>
      <c r="B3642">
        <v>2016</v>
      </c>
      <c r="C3642">
        <v>6</v>
      </c>
      <c r="D3642">
        <v>13527</v>
      </c>
      <c r="E3642">
        <v>346</v>
      </c>
      <c r="F3642">
        <v>60825</v>
      </c>
      <c r="G3642">
        <v>14305.83</v>
      </c>
      <c r="H3642" t="str">
        <f>VLOOKUP(myynnit[[#This Row],[TuoteID]],ohjaus!$A$4:$B$20,2,FALSE)</f>
        <v>Pinnatuoli</v>
      </c>
    </row>
    <row r="3643" spans="1:8" x14ac:dyDescent="0.35">
      <c r="A3643" t="s">
        <v>39</v>
      </c>
      <c r="B3643">
        <v>2016</v>
      </c>
      <c r="C3643">
        <v>6</v>
      </c>
      <c r="D3643">
        <v>13618</v>
      </c>
      <c r="E3643">
        <v>19</v>
      </c>
      <c r="F3643">
        <v>9206.42</v>
      </c>
      <c r="G3643">
        <v>4978</v>
      </c>
      <c r="H3643" t="str">
        <f>VLOOKUP(myynnit[[#This Row],[TuoteID]],ohjaus!$A$4:$B$20,2,FALSE)</f>
        <v>Pianotuoli</v>
      </c>
    </row>
    <row r="3644" spans="1:8" x14ac:dyDescent="0.35">
      <c r="A3644" t="s">
        <v>39</v>
      </c>
      <c r="B3644">
        <v>2016</v>
      </c>
      <c r="C3644">
        <v>6</v>
      </c>
      <c r="D3644">
        <v>16024</v>
      </c>
      <c r="E3644">
        <v>129</v>
      </c>
      <c r="F3644">
        <v>55150.91</v>
      </c>
      <c r="G3644">
        <v>15356.31</v>
      </c>
      <c r="H3644" t="str">
        <f>VLOOKUP(myynnit[[#This Row],[TuoteID]],ohjaus!$A$4:$B$20,2,FALSE)</f>
        <v>Työtuoli</v>
      </c>
    </row>
    <row r="3645" spans="1:8" x14ac:dyDescent="0.35">
      <c r="A3645" t="s">
        <v>39</v>
      </c>
      <c r="B3645">
        <v>2016</v>
      </c>
      <c r="C3645">
        <v>6</v>
      </c>
      <c r="D3645">
        <v>16650</v>
      </c>
      <c r="E3645">
        <v>17</v>
      </c>
      <c r="F3645">
        <v>2519.66</v>
      </c>
      <c r="G3645">
        <v>1621.23</v>
      </c>
      <c r="H3645" t="str">
        <f>VLOOKUP(myynnit[[#This Row],[TuoteID]],ohjaus!$A$4:$B$20,2,FALSE)</f>
        <v>Rahi</v>
      </c>
    </row>
    <row r="3646" spans="1:8" x14ac:dyDescent="0.35">
      <c r="A3646" t="s">
        <v>39</v>
      </c>
      <c r="B3646">
        <v>2016</v>
      </c>
      <c r="C3646">
        <v>6</v>
      </c>
      <c r="D3646">
        <v>17892</v>
      </c>
      <c r="E3646">
        <v>109</v>
      </c>
      <c r="F3646">
        <v>16691.86</v>
      </c>
      <c r="G3646">
        <v>4930.41</v>
      </c>
      <c r="H3646" t="str">
        <f>VLOOKUP(myynnit[[#This Row],[TuoteID]],ohjaus!$A$4:$B$20,2,FALSE)</f>
        <v>Lepotuoli</v>
      </c>
    </row>
    <row r="3647" spans="1:8" x14ac:dyDescent="0.35">
      <c r="A3647" t="s">
        <v>39</v>
      </c>
      <c r="B3647">
        <v>2016</v>
      </c>
      <c r="C3647">
        <v>6</v>
      </c>
      <c r="D3647">
        <v>18342</v>
      </c>
      <c r="E3647">
        <v>168</v>
      </c>
      <c r="F3647">
        <v>152615.46</v>
      </c>
      <c r="G3647">
        <v>43644.7</v>
      </c>
      <c r="H3647" t="str">
        <f>VLOOKUP(myynnit[[#This Row],[TuoteID]],ohjaus!$A$4:$B$20,2,FALSE)</f>
        <v>Työtuoli</v>
      </c>
    </row>
    <row r="3648" spans="1:8" x14ac:dyDescent="0.35">
      <c r="A3648" t="s">
        <v>39</v>
      </c>
      <c r="B3648">
        <v>2016</v>
      </c>
      <c r="C3648">
        <v>6</v>
      </c>
      <c r="D3648">
        <v>20177</v>
      </c>
      <c r="E3648">
        <v>49</v>
      </c>
      <c r="F3648">
        <v>5536.8</v>
      </c>
      <c r="G3648">
        <v>2766.64</v>
      </c>
      <c r="H3648" t="str">
        <f>VLOOKUP(myynnit[[#This Row],[TuoteID]],ohjaus!$A$4:$B$20,2,FALSE)</f>
        <v>Säkkituoli</v>
      </c>
    </row>
    <row r="3649" spans="1:8" x14ac:dyDescent="0.35">
      <c r="A3649" t="s">
        <v>39</v>
      </c>
      <c r="B3649">
        <v>2016</v>
      </c>
      <c r="C3649">
        <v>6</v>
      </c>
      <c r="D3649">
        <v>21179</v>
      </c>
      <c r="E3649">
        <v>42</v>
      </c>
      <c r="F3649">
        <v>5986.8</v>
      </c>
      <c r="G3649">
        <v>4654.6099999999997</v>
      </c>
      <c r="H3649" t="str">
        <f>VLOOKUP(myynnit[[#This Row],[TuoteID]],ohjaus!$A$4:$B$20,2,FALSE)</f>
        <v>Rahi</v>
      </c>
    </row>
    <row r="3650" spans="1:8" x14ac:dyDescent="0.35">
      <c r="A3650" t="s">
        <v>39</v>
      </c>
      <c r="B3650">
        <v>2016</v>
      </c>
      <c r="C3650">
        <v>6</v>
      </c>
      <c r="D3650">
        <v>21260</v>
      </c>
      <c r="E3650">
        <v>69</v>
      </c>
      <c r="F3650">
        <v>12015.92</v>
      </c>
      <c r="G3650">
        <v>3445.19</v>
      </c>
      <c r="H3650" t="str">
        <f>VLOOKUP(myynnit[[#This Row],[TuoteID]],ohjaus!$A$4:$B$20,2,FALSE)</f>
        <v>Lepotuoli</v>
      </c>
    </row>
    <row r="3651" spans="1:8" x14ac:dyDescent="0.35">
      <c r="A3651" t="s">
        <v>39</v>
      </c>
      <c r="B3651">
        <v>2016</v>
      </c>
      <c r="C3651">
        <v>6</v>
      </c>
      <c r="D3651">
        <v>22317</v>
      </c>
      <c r="E3651">
        <v>39</v>
      </c>
      <c r="F3651">
        <v>3914.99</v>
      </c>
      <c r="G3651">
        <v>1690.03</v>
      </c>
      <c r="H3651" t="str">
        <f>VLOOKUP(myynnit[[#This Row],[TuoteID]],ohjaus!$A$4:$B$20,2,FALSE)</f>
        <v>Säkkituoli</v>
      </c>
    </row>
    <row r="3652" spans="1:8" x14ac:dyDescent="0.35">
      <c r="A3652" t="s">
        <v>39</v>
      </c>
      <c r="B3652">
        <v>2016</v>
      </c>
      <c r="C3652">
        <v>6</v>
      </c>
      <c r="D3652">
        <v>22940</v>
      </c>
      <c r="E3652">
        <v>675</v>
      </c>
      <c r="F3652">
        <v>80869.19</v>
      </c>
      <c r="G3652">
        <v>21699.81</v>
      </c>
      <c r="H3652" t="str">
        <f>VLOOKUP(myynnit[[#This Row],[TuoteID]],ohjaus!$A$4:$B$20,2,FALSE)</f>
        <v>Pinnatuoli</v>
      </c>
    </row>
    <row r="3653" spans="1:8" x14ac:dyDescent="0.35">
      <c r="A3653" t="s">
        <v>39</v>
      </c>
      <c r="B3653">
        <v>2016</v>
      </c>
      <c r="C3653">
        <v>6</v>
      </c>
      <c r="D3653">
        <v>23178</v>
      </c>
      <c r="E3653">
        <v>268</v>
      </c>
      <c r="F3653">
        <v>44078.09</v>
      </c>
      <c r="G3653">
        <v>10165.25</v>
      </c>
      <c r="H3653" t="str">
        <f>VLOOKUP(myynnit[[#This Row],[TuoteID]],ohjaus!$A$4:$B$20,2,FALSE)</f>
        <v>Pinnatuoli</v>
      </c>
    </row>
    <row r="3654" spans="1:8" x14ac:dyDescent="0.35">
      <c r="A3654" t="s">
        <v>39</v>
      </c>
      <c r="B3654">
        <v>2016</v>
      </c>
      <c r="C3654">
        <v>6</v>
      </c>
      <c r="D3654">
        <v>23600</v>
      </c>
      <c r="E3654">
        <v>1064</v>
      </c>
      <c r="F3654">
        <v>122975.08</v>
      </c>
      <c r="G3654">
        <v>31149.69</v>
      </c>
      <c r="H3654" t="str">
        <f>VLOOKUP(myynnit[[#This Row],[TuoteID]],ohjaus!$A$4:$B$20,2,FALSE)</f>
        <v>Pinnatuoli</v>
      </c>
    </row>
    <row r="3655" spans="1:8" x14ac:dyDescent="0.35">
      <c r="A3655" t="s">
        <v>39</v>
      </c>
      <c r="B3655">
        <v>2016</v>
      </c>
      <c r="C3655">
        <v>6</v>
      </c>
      <c r="D3655">
        <v>23756</v>
      </c>
      <c r="E3655">
        <v>130</v>
      </c>
      <c r="F3655">
        <v>27247.77</v>
      </c>
      <c r="G3655">
        <v>15879.52</v>
      </c>
      <c r="H3655" t="str">
        <f>VLOOKUP(myynnit[[#This Row],[TuoteID]],ohjaus!$A$4:$B$20,2,FALSE)</f>
        <v>Pianotuoli</v>
      </c>
    </row>
    <row r="3656" spans="1:8" x14ac:dyDescent="0.35">
      <c r="A3656" t="s">
        <v>39</v>
      </c>
      <c r="B3656">
        <v>2016</v>
      </c>
      <c r="C3656">
        <v>6</v>
      </c>
      <c r="D3656">
        <v>24326</v>
      </c>
      <c r="E3656">
        <v>63</v>
      </c>
      <c r="F3656">
        <v>9664.76</v>
      </c>
      <c r="G3656">
        <v>3050.35</v>
      </c>
      <c r="H3656" t="str">
        <f>VLOOKUP(myynnit[[#This Row],[TuoteID]],ohjaus!$A$4:$B$20,2,FALSE)</f>
        <v>Lepotuoli</v>
      </c>
    </row>
    <row r="3657" spans="1:8" x14ac:dyDescent="0.35">
      <c r="A3657" t="s">
        <v>38</v>
      </c>
      <c r="B3657">
        <v>2016</v>
      </c>
      <c r="C3657">
        <v>6</v>
      </c>
      <c r="D3657">
        <v>12184</v>
      </c>
      <c r="E3657">
        <v>63</v>
      </c>
      <c r="F3657">
        <v>8212.75</v>
      </c>
      <c r="G3657">
        <v>4480.66</v>
      </c>
      <c r="H3657" t="str">
        <f>VLOOKUP(myynnit[[#This Row],[TuoteID]],ohjaus!$A$4:$B$20,2,FALSE)</f>
        <v>Rahi</v>
      </c>
    </row>
    <row r="3658" spans="1:8" x14ac:dyDescent="0.35">
      <c r="A3658" t="s">
        <v>38</v>
      </c>
      <c r="B3658">
        <v>2016</v>
      </c>
      <c r="C3658">
        <v>6</v>
      </c>
      <c r="D3658">
        <v>12622</v>
      </c>
      <c r="E3658">
        <v>25</v>
      </c>
      <c r="F3658">
        <v>6805.58</v>
      </c>
      <c r="G3658">
        <v>2806.02</v>
      </c>
      <c r="H3658" t="str">
        <f>VLOOKUP(myynnit[[#This Row],[TuoteID]],ohjaus!$A$4:$B$20,2,FALSE)</f>
        <v>Pianotuoli</v>
      </c>
    </row>
    <row r="3659" spans="1:8" x14ac:dyDescent="0.35">
      <c r="A3659" t="s">
        <v>38</v>
      </c>
      <c r="B3659">
        <v>2016</v>
      </c>
      <c r="C3659">
        <v>6</v>
      </c>
      <c r="D3659">
        <v>13527</v>
      </c>
      <c r="E3659">
        <v>322</v>
      </c>
      <c r="F3659">
        <v>47514.1</v>
      </c>
      <c r="G3659">
        <v>11298.97</v>
      </c>
      <c r="H3659" t="str">
        <f>VLOOKUP(myynnit[[#This Row],[TuoteID]],ohjaus!$A$4:$B$20,2,FALSE)</f>
        <v>Pinnatuoli</v>
      </c>
    </row>
    <row r="3660" spans="1:8" x14ac:dyDescent="0.35">
      <c r="A3660" t="s">
        <v>38</v>
      </c>
      <c r="B3660">
        <v>2016</v>
      </c>
      <c r="C3660">
        <v>6</v>
      </c>
      <c r="D3660">
        <v>13618</v>
      </c>
      <c r="E3660">
        <v>18</v>
      </c>
      <c r="F3660">
        <v>6713.75</v>
      </c>
      <c r="G3660">
        <v>2863.52</v>
      </c>
      <c r="H3660" t="str">
        <f>VLOOKUP(myynnit[[#This Row],[TuoteID]],ohjaus!$A$4:$B$20,2,FALSE)</f>
        <v>Pianotuoli</v>
      </c>
    </row>
    <row r="3661" spans="1:8" x14ac:dyDescent="0.35">
      <c r="A3661" t="s">
        <v>38</v>
      </c>
      <c r="B3661">
        <v>2016</v>
      </c>
      <c r="C3661">
        <v>6</v>
      </c>
      <c r="D3661">
        <v>16024</v>
      </c>
      <c r="E3661">
        <v>226</v>
      </c>
      <c r="F3661">
        <v>98441.97</v>
      </c>
      <c r="G3661">
        <v>21507.65</v>
      </c>
      <c r="H3661" t="str">
        <f>VLOOKUP(myynnit[[#This Row],[TuoteID]],ohjaus!$A$4:$B$20,2,FALSE)</f>
        <v>Työtuoli</v>
      </c>
    </row>
    <row r="3662" spans="1:8" x14ac:dyDescent="0.35">
      <c r="A3662" t="s">
        <v>38</v>
      </c>
      <c r="B3662">
        <v>2016</v>
      </c>
      <c r="C3662">
        <v>6</v>
      </c>
      <c r="D3662">
        <v>16650</v>
      </c>
      <c r="E3662">
        <v>35</v>
      </c>
      <c r="F3662">
        <v>6045.39</v>
      </c>
      <c r="G3662">
        <v>3536.09</v>
      </c>
      <c r="H3662" t="str">
        <f>VLOOKUP(myynnit[[#This Row],[TuoteID]],ohjaus!$A$4:$B$20,2,FALSE)</f>
        <v>Rahi</v>
      </c>
    </row>
    <row r="3663" spans="1:8" x14ac:dyDescent="0.35">
      <c r="A3663" t="s">
        <v>38</v>
      </c>
      <c r="B3663">
        <v>2016</v>
      </c>
      <c r="C3663">
        <v>6</v>
      </c>
      <c r="D3663">
        <v>17892</v>
      </c>
      <c r="E3663">
        <v>83</v>
      </c>
      <c r="F3663">
        <v>12310.77</v>
      </c>
      <c r="G3663">
        <v>2679.71</v>
      </c>
      <c r="H3663" t="str">
        <f>VLOOKUP(myynnit[[#This Row],[TuoteID]],ohjaus!$A$4:$B$20,2,FALSE)</f>
        <v>Lepotuoli</v>
      </c>
    </row>
    <row r="3664" spans="1:8" x14ac:dyDescent="0.35">
      <c r="A3664" t="s">
        <v>38</v>
      </c>
      <c r="B3664">
        <v>2016</v>
      </c>
      <c r="C3664">
        <v>6</v>
      </c>
      <c r="D3664">
        <v>18342</v>
      </c>
      <c r="E3664">
        <v>93</v>
      </c>
      <c r="F3664">
        <v>76100.710000000006</v>
      </c>
      <c r="G3664">
        <v>17775.14</v>
      </c>
      <c r="H3664" t="str">
        <f>VLOOKUP(myynnit[[#This Row],[TuoteID]],ohjaus!$A$4:$B$20,2,FALSE)</f>
        <v>Työtuoli</v>
      </c>
    </row>
    <row r="3665" spans="1:8" x14ac:dyDescent="0.35">
      <c r="A3665" t="s">
        <v>38</v>
      </c>
      <c r="B3665">
        <v>2016</v>
      </c>
      <c r="C3665">
        <v>6</v>
      </c>
      <c r="D3665">
        <v>20177</v>
      </c>
      <c r="E3665">
        <v>59</v>
      </c>
      <c r="F3665">
        <v>5194.32</v>
      </c>
      <c r="G3665">
        <v>1783.16</v>
      </c>
      <c r="H3665" t="str">
        <f>VLOOKUP(myynnit[[#This Row],[TuoteID]],ohjaus!$A$4:$B$20,2,FALSE)</f>
        <v>Säkkituoli</v>
      </c>
    </row>
    <row r="3666" spans="1:8" x14ac:dyDescent="0.35">
      <c r="A3666" t="s">
        <v>38</v>
      </c>
      <c r="B3666">
        <v>2016</v>
      </c>
      <c r="C3666">
        <v>6</v>
      </c>
      <c r="D3666">
        <v>21179</v>
      </c>
      <c r="E3666">
        <v>61</v>
      </c>
      <c r="F3666">
        <v>7085.88</v>
      </c>
      <c r="G3666">
        <v>4022.96</v>
      </c>
      <c r="H3666" t="str">
        <f>VLOOKUP(myynnit[[#This Row],[TuoteID]],ohjaus!$A$4:$B$20,2,FALSE)</f>
        <v>Rahi</v>
      </c>
    </row>
    <row r="3667" spans="1:8" x14ac:dyDescent="0.35">
      <c r="A3667" t="s">
        <v>38</v>
      </c>
      <c r="B3667">
        <v>2016</v>
      </c>
      <c r="C3667">
        <v>6</v>
      </c>
      <c r="D3667">
        <v>21260</v>
      </c>
      <c r="E3667">
        <v>76</v>
      </c>
      <c r="F3667">
        <v>15486.53</v>
      </c>
      <c r="G3667">
        <v>4338.57</v>
      </c>
      <c r="H3667" t="str">
        <f>VLOOKUP(myynnit[[#This Row],[TuoteID]],ohjaus!$A$4:$B$20,2,FALSE)</f>
        <v>Lepotuoli</v>
      </c>
    </row>
    <row r="3668" spans="1:8" x14ac:dyDescent="0.35">
      <c r="A3668" t="s">
        <v>38</v>
      </c>
      <c r="B3668">
        <v>2016</v>
      </c>
      <c r="C3668">
        <v>6</v>
      </c>
      <c r="D3668">
        <v>22317</v>
      </c>
      <c r="E3668">
        <v>29</v>
      </c>
      <c r="F3668">
        <v>2775.43</v>
      </c>
      <c r="G3668">
        <v>1218.5899999999999</v>
      </c>
      <c r="H3668" t="str">
        <f>VLOOKUP(myynnit[[#This Row],[TuoteID]],ohjaus!$A$4:$B$20,2,FALSE)</f>
        <v>Säkkituoli</v>
      </c>
    </row>
    <row r="3669" spans="1:8" x14ac:dyDescent="0.35">
      <c r="A3669" t="s">
        <v>38</v>
      </c>
      <c r="B3669">
        <v>2016</v>
      </c>
      <c r="C3669">
        <v>6</v>
      </c>
      <c r="D3669">
        <v>22940</v>
      </c>
      <c r="E3669">
        <v>373</v>
      </c>
      <c r="F3669">
        <v>43617.26</v>
      </c>
      <c r="G3669">
        <v>8117.99</v>
      </c>
      <c r="H3669" t="str">
        <f>VLOOKUP(myynnit[[#This Row],[TuoteID]],ohjaus!$A$4:$B$20,2,FALSE)</f>
        <v>Pinnatuoli</v>
      </c>
    </row>
    <row r="3670" spans="1:8" x14ac:dyDescent="0.35">
      <c r="A3670" t="s">
        <v>38</v>
      </c>
      <c r="B3670">
        <v>2016</v>
      </c>
      <c r="C3670">
        <v>6</v>
      </c>
      <c r="D3670">
        <v>23178</v>
      </c>
      <c r="E3670">
        <v>206</v>
      </c>
      <c r="F3670">
        <v>35520.54</v>
      </c>
      <c r="G3670">
        <v>7083.03</v>
      </c>
      <c r="H3670" t="str">
        <f>VLOOKUP(myynnit[[#This Row],[TuoteID]],ohjaus!$A$4:$B$20,2,FALSE)</f>
        <v>Pinnatuoli</v>
      </c>
    </row>
    <row r="3671" spans="1:8" x14ac:dyDescent="0.35">
      <c r="A3671" t="s">
        <v>38</v>
      </c>
      <c r="B3671">
        <v>2016</v>
      </c>
      <c r="C3671">
        <v>6</v>
      </c>
      <c r="D3671">
        <v>23600</v>
      </c>
      <c r="E3671">
        <v>513</v>
      </c>
      <c r="F3671">
        <v>58876.32</v>
      </c>
      <c r="G3671">
        <v>15237.74</v>
      </c>
      <c r="H3671" t="str">
        <f>VLOOKUP(myynnit[[#This Row],[TuoteID]],ohjaus!$A$4:$B$20,2,FALSE)</f>
        <v>Pinnatuoli</v>
      </c>
    </row>
    <row r="3672" spans="1:8" x14ac:dyDescent="0.35">
      <c r="A3672" t="s">
        <v>38</v>
      </c>
      <c r="B3672">
        <v>2016</v>
      </c>
      <c r="C3672">
        <v>6</v>
      </c>
      <c r="D3672">
        <v>23756</v>
      </c>
      <c r="E3672">
        <v>120</v>
      </c>
      <c r="F3672">
        <v>19195.16</v>
      </c>
      <c r="G3672">
        <v>9580.25</v>
      </c>
      <c r="H3672" t="str">
        <f>VLOOKUP(myynnit[[#This Row],[TuoteID]],ohjaus!$A$4:$B$20,2,FALSE)</f>
        <v>Pianotuoli</v>
      </c>
    </row>
    <row r="3673" spans="1:8" x14ac:dyDescent="0.35">
      <c r="A3673" t="s">
        <v>38</v>
      </c>
      <c r="B3673">
        <v>2016</v>
      </c>
      <c r="C3673">
        <v>6</v>
      </c>
      <c r="D3673">
        <v>24326</v>
      </c>
      <c r="E3673">
        <v>121</v>
      </c>
      <c r="F3673">
        <v>17080.849999999999</v>
      </c>
      <c r="G3673">
        <v>4191.3100000000004</v>
      </c>
      <c r="H3673" t="str">
        <f>VLOOKUP(myynnit[[#This Row],[TuoteID]],ohjaus!$A$4:$B$20,2,FALSE)</f>
        <v>Lepotuoli</v>
      </c>
    </row>
    <row r="3674" spans="1:8" x14ac:dyDescent="0.35">
      <c r="A3674" t="s">
        <v>37</v>
      </c>
      <c r="B3674">
        <v>2016</v>
      </c>
      <c r="C3674">
        <v>7</v>
      </c>
      <c r="D3674">
        <v>12184</v>
      </c>
      <c r="E3674">
        <v>98</v>
      </c>
      <c r="F3674">
        <v>10241.879999999999</v>
      </c>
      <c r="G3674">
        <v>4229.0200000000004</v>
      </c>
      <c r="H3674" t="str">
        <f>VLOOKUP(myynnit[[#This Row],[TuoteID]],ohjaus!$A$4:$B$20,2,FALSE)</f>
        <v>Rahi</v>
      </c>
    </row>
    <row r="3675" spans="1:8" x14ac:dyDescent="0.35">
      <c r="A3675" t="s">
        <v>37</v>
      </c>
      <c r="B3675">
        <v>2016</v>
      </c>
      <c r="C3675">
        <v>7</v>
      </c>
      <c r="D3675">
        <v>12622</v>
      </c>
      <c r="E3675">
        <v>74</v>
      </c>
      <c r="F3675">
        <v>23413.01</v>
      </c>
      <c r="G3675">
        <v>11683.1</v>
      </c>
      <c r="H3675" t="str">
        <f>VLOOKUP(myynnit[[#This Row],[TuoteID]],ohjaus!$A$4:$B$20,2,FALSE)</f>
        <v>Pianotuoli</v>
      </c>
    </row>
    <row r="3676" spans="1:8" x14ac:dyDescent="0.35">
      <c r="A3676" t="s">
        <v>37</v>
      </c>
      <c r="B3676">
        <v>2016</v>
      </c>
      <c r="C3676">
        <v>7</v>
      </c>
      <c r="D3676">
        <v>13527</v>
      </c>
      <c r="E3676">
        <v>553</v>
      </c>
      <c r="F3676">
        <v>94644.64</v>
      </c>
      <c r="G3676">
        <v>18904.77</v>
      </c>
      <c r="H3676" t="str">
        <f>VLOOKUP(myynnit[[#This Row],[TuoteID]],ohjaus!$A$4:$B$20,2,FALSE)</f>
        <v>Pinnatuoli</v>
      </c>
    </row>
    <row r="3677" spans="1:8" x14ac:dyDescent="0.35">
      <c r="A3677" t="s">
        <v>37</v>
      </c>
      <c r="B3677">
        <v>2016</v>
      </c>
      <c r="C3677">
        <v>7</v>
      </c>
      <c r="D3677">
        <v>13618</v>
      </c>
      <c r="E3677">
        <v>11</v>
      </c>
      <c r="F3677">
        <v>4568.84</v>
      </c>
      <c r="G3677">
        <v>2008.3</v>
      </c>
      <c r="H3677" t="str">
        <f>VLOOKUP(myynnit[[#This Row],[TuoteID]],ohjaus!$A$4:$B$20,2,FALSE)</f>
        <v>Pianotuoli</v>
      </c>
    </row>
    <row r="3678" spans="1:8" x14ac:dyDescent="0.35">
      <c r="A3678" t="s">
        <v>37</v>
      </c>
      <c r="B3678">
        <v>2016</v>
      </c>
      <c r="C3678">
        <v>7</v>
      </c>
      <c r="D3678">
        <v>16024</v>
      </c>
      <c r="E3678">
        <v>327</v>
      </c>
      <c r="F3678">
        <v>137933.62</v>
      </c>
      <c r="G3678">
        <v>35896.78</v>
      </c>
      <c r="H3678" t="str">
        <f>VLOOKUP(myynnit[[#This Row],[TuoteID]],ohjaus!$A$4:$B$20,2,FALSE)</f>
        <v>Työtuoli</v>
      </c>
    </row>
    <row r="3679" spans="1:8" x14ac:dyDescent="0.35">
      <c r="A3679" t="s">
        <v>37</v>
      </c>
      <c r="B3679">
        <v>2016</v>
      </c>
      <c r="C3679">
        <v>7</v>
      </c>
      <c r="D3679">
        <v>16650</v>
      </c>
      <c r="E3679">
        <v>53</v>
      </c>
      <c r="F3679">
        <v>9006.61</v>
      </c>
      <c r="G3679">
        <v>3978.62</v>
      </c>
      <c r="H3679" t="str">
        <f>VLOOKUP(myynnit[[#This Row],[TuoteID]],ohjaus!$A$4:$B$20,2,FALSE)</f>
        <v>Rahi</v>
      </c>
    </row>
    <row r="3680" spans="1:8" x14ac:dyDescent="0.35">
      <c r="A3680" t="s">
        <v>37</v>
      </c>
      <c r="B3680">
        <v>2016</v>
      </c>
      <c r="C3680">
        <v>7</v>
      </c>
      <c r="D3680">
        <v>17892</v>
      </c>
      <c r="E3680">
        <v>114</v>
      </c>
      <c r="F3680">
        <v>16774.3</v>
      </c>
      <c r="G3680">
        <v>4595.54</v>
      </c>
      <c r="H3680" t="str">
        <f>VLOOKUP(myynnit[[#This Row],[TuoteID]],ohjaus!$A$4:$B$20,2,FALSE)</f>
        <v>Lepotuoli</v>
      </c>
    </row>
    <row r="3681" spans="1:8" x14ac:dyDescent="0.35">
      <c r="A3681" t="s">
        <v>37</v>
      </c>
      <c r="B3681">
        <v>2016</v>
      </c>
      <c r="C3681">
        <v>7</v>
      </c>
      <c r="D3681">
        <v>18342</v>
      </c>
      <c r="E3681">
        <v>227</v>
      </c>
      <c r="F3681">
        <v>182244.59</v>
      </c>
      <c r="G3681">
        <v>43898.32</v>
      </c>
      <c r="H3681" t="str">
        <f>VLOOKUP(myynnit[[#This Row],[TuoteID]],ohjaus!$A$4:$B$20,2,FALSE)</f>
        <v>Työtuoli</v>
      </c>
    </row>
    <row r="3682" spans="1:8" x14ac:dyDescent="0.35">
      <c r="A3682" t="s">
        <v>37</v>
      </c>
      <c r="B3682">
        <v>2016</v>
      </c>
      <c r="C3682">
        <v>7</v>
      </c>
      <c r="D3682">
        <v>20177</v>
      </c>
      <c r="E3682">
        <v>62</v>
      </c>
      <c r="F3682">
        <v>6599.75</v>
      </c>
      <c r="G3682">
        <v>2627.74</v>
      </c>
      <c r="H3682" t="str">
        <f>VLOOKUP(myynnit[[#This Row],[TuoteID]],ohjaus!$A$4:$B$20,2,FALSE)</f>
        <v>Säkkituoli</v>
      </c>
    </row>
    <row r="3683" spans="1:8" x14ac:dyDescent="0.35">
      <c r="A3683" t="s">
        <v>37</v>
      </c>
      <c r="B3683">
        <v>2016</v>
      </c>
      <c r="C3683">
        <v>7</v>
      </c>
      <c r="D3683">
        <v>21179</v>
      </c>
      <c r="E3683">
        <v>61</v>
      </c>
      <c r="F3683">
        <v>8608.57</v>
      </c>
      <c r="G3683">
        <v>4311.8599999999997</v>
      </c>
      <c r="H3683" t="str">
        <f>VLOOKUP(myynnit[[#This Row],[TuoteID]],ohjaus!$A$4:$B$20,2,FALSE)</f>
        <v>Rahi</v>
      </c>
    </row>
    <row r="3684" spans="1:8" x14ac:dyDescent="0.35">
      <c r="A3684" t="s">
        <v>37</v>
      </c>
      <c r="B3684">
        <v>2016</v>
      </c>
      <c r="C3684">
        <v>7</v>
      </c>
      <c r="D3684">
        <v>21260</v>
      </c>
      <c r="E3684">
        <v>102</v>
      </c>
      <c r="F3684">
        <v>20030.57</v>
      </c>
      <c r="G3684">
        <v>5602.59</v>
      </c>
      <c r="H3684" t="str">
        <f>VLOOKUP(myynnit[[#This Row],[TuoteID]],ohjaus!$A$4:$B$20,2,FALSE)</f>
        <v>Lepotuoli</v>
      </c>
    </row>
    <row r="3685" spans="1:8" x14ac:dyDescent="0.35">
      <c r="A3685" t="s">
        <v>37</v>
      </c>
      <c r="B3685">
        <v>2016</v>
      </c>
      <c r="C3685">
        <v>7</v>
      </c>
      <c r="D3685">
        <v>22317</v>
      </c>
      <c r="E3685">
        <v>88</v>
      </c>
      <c r="F3685">
        <v>8462.19</v>
      </c>
      <c r="G3685">
        <v>2793.75</v>
      </c>
      <c r="H3685" t="str">
        <f>VLOOKUP(myynnit[[#This Row],[TuoteID]],ohjaus!$A$4:$B$20,2,FALSE)</f>
        <v>Säkkituoli</v>
      </c>
    </row>
    <row r="3686" spans="1:8" x14ac:dyDescent="0.35">
      <c r="A3686" t="s">
        <v>37</v>
      </c>
      <c r="B3686">
        <v>2016</v>
      </c>
      <c r="C3686">
        <v>7</v>
      </c>
      <c r="D3686">
        <v>22940</v>
      </c>
      <c r="E3686">
        <v>357</v>
      </c>
      <c r="F3686">
        <v>42220.9</v>
      </c>
      <c r="G3686">
        <v>8135.59</v>
      </c>
      <c r="H3686" t="str">
        <f>VLOOKUP(myynnit[[#This Row],[TuoteID]],ohjaus!$A$4:$B$20,2,FALSE)</f>
        <v>Pinnatuoli</v>
      </c>
    </row>
    <row r="3687" spans="1:8" x14ac:dyDescent="0.35">
      <c r="A3687" t="s">
        <v>37</v>
      </c>
      <c r="B3687">
        <v>2016</v>
      </c>
      <c r="C3687">
        <v>7</v>
      </c>
      <c r="D3687">
        <v>23178</v>
      </c>
      <c r="E3687">
        <v>240</v>
      </c>
      <c r="F3687">
        <v>40209.870000000003</v>
      </c>
      <c r="G3687">
        <v>7714.11</v>
      </c>
      <c r="H3687" t="str">
        <f>VLOOKUP(myynnit[[#This Row],[TuoteID]],ohjaus!$A$4:$B$20,2,FALSE)</f>
        <v>Pinnatuoli</v>
      </c>
    </row>
    <row r="3688" spans="1:8" x14ac:dyDescent="0.35">
      <c r="A3688" t="s">
        <v>37</v>
      </c>
      <c r="B3688">
        <v>2016</v>
      </c>
      <c r="C3688">
        <v>7</v>
      </c>
      <c r="D3688">
        <v>23600</v>
      </c>
      <c r="E3688">
        <v>664</v>
      </c>
      <c r="F3688">
        <v>72025.429999999993</v>
      </c>
      <c r="G3688">
        <v>19606.169999999998</v>
      </c>
      <c r="H3688" t="str">
        <f>VLOOKUP(myynnit[[#This Row],[TuoteID]],ohjaus!$A$4:$B$20,2,FALSE)</f>
        <v>Pinnatuoli</v>
      </c>
    </row>
    <row r="3689" spans="1:8" x14ac:dyDescent="0.35">
      <c r="A3689" t="s">
        <v>37</v>
      </c>
      <c r="B3689">
        <v>2016</v>
      </c>
      <c r="C3689">
        <v>7</v>
      </c>
      <c r="D3689">
        <v>23756</v>
      </c>
      <c r="E3689">
        <v>117</v>
      </c>
      <c r="F3689">
        <v>18320.57</v>
      </c>
      <c r="G3689">
        <v>7580.69</v>
      </c>
      <c r="H3689" t="str">
        <f>VLOOKUP(myynnit[[#This Row],[TuoteID]],ohjaus!$A$4:$B$20,2,FALSE)</f>
        <v>Pianotuoli</v>
      </c>
    </row>
    <row r="3690" spans="1:8" x14ac:dyDescent="0.35">
      <c r="A3690" t="s">
        <v>37</v>
      </c>
      <c r="B3690">
        <v>2016</v>
      </c>
      <c r="C3690">
        <v>7</v>
      </c>
      <c r="D3690">
        <v>24326</v>
      </c>
      <c r="E3690">
        <v>193</v>
      </c>
      <c r="F3690">
        <v>28834.19</v>
      </c>
      <c r="G3690">
        <v>7254.43</v>
      </c>
      <c r="H3690" t="str">
        <f>VLOOKUP(myynnit[[#This Row],[TuoteID]],ohjaus!$A$4:$B$20,2,FALSE)</f>
        <v>Lepotuoli</v>
      </c>
    </row>
    <row r="3691" spans="1:8" x14ac:dyDescent="0.35">
      <c r="A3691" t="s">
        <v>40</v>
      </c>
      <c r="B3691">
        <v>2016</v>
      </c>
      <c r="C3691">
        <v>7</v>
      </c>
      <c r="D3691">
        <v>12184</v>
      </c>
      <c r="E3691">
        <v>38</v>
      </c>
      <c r="F3691">
        <v>4137.6099999999997</v>
      </c>
      <c r="G3691">
        <v>2382.42</v>
      </c>
      <c r="H3691" t="str">
        <f>VLOOKUP(myynnit[[#This Row],[TuoteID]],ohjaus!$A$4:$B$20,2,FALSE)</f>
        <v>Rahi</v>
      </c>
    </row>
    <row r="3692" spans="1:8" x14ac:dyDescent="0.35">
      <c r="A3692" t="s">
        <v>40</v>
      </c>
      <c r="B3692">
        <v>2016</v>
      </c>
      <c r="C3692">
        <v>7</v>
      </c>
      <c r="D3692">
        <v>12622</v>
      </c>
      <c r="E3692">
        <v>8</v>
      </c>
      <c r="F3692">
        <v>2168.19</v>
      </c>
      <c r="G3692">
        <v>914.97</v>
      </c>
      <c r="H3692" t="str">
        <f>VLOOKUP(myynnit[[#This Row],[TuoteID]],ohjaus!$A$4:$B$20,2,FALSE)</f>
        <v>Pianotuoli</v>
      </c>
    </row>
    <row r="3693" spans="1:8" x14ac:dyDescent="0.35">
      <c r="A3693" t="s">
        <v>40</v>
      </c>
      <c r="B3693">
        <v>2016</v>
      </c>
      <c r="C3693">
        <v>7</v>
      </c>
      <c r="D3693">
        <v>13527</v>
      </c>
      <c r="E3693">
        <v>212</v>
      </c>
      <c r="F3693">
        <v>33987.129999999997</v>
      </c>
      <c r="G3693">
        <v>6503.9</v>
      </c>
      <c r="H3693" t="str">
        <f>VLOOKUP(myynnit[[#This Row],[TuoteID]],ohjaus!$A$4:$B$20,2,FALSE)</f>
        <v>Pinnatuoli</v>
      </c>
    </row>
    <row r="3694" spans="1:8" x14ac:dyDescent="0.35">
      <c r="A3694" t="s">
        <v>40</v>
      </c>
      <c r="B3694">
        <v>2016</v>
      </c>
      <c r="C3694">
        <v>7</v>
      </c>
      <c r="D3694">
        <v>13618</v>
      </c>
      <c r="E3694">
        <v>9</v>
      </c>
      <c r="F3694">
        <v>3240.05</v>
      </c>
      <c r="G3694">
        <v>1424.3</v>
      </c>
      <c r="H3694" t="str">
        <f>VLOOKUP(myynnit[[#This Row],[TuoteID]],ohjaus!$A$4:$B$20,2,FALSE)</f>
        <v>Pianotuoli</v>
      </c>
    </row>
    <row r="3695" spans="1:8" x14ac:dyDescent="0.35">
      <c r="A3695" t="s">
        <v>40</v>
      </c>
      <c r="B3695">
        <v>2016</v>
      </c>
      <c r="C3695">
        <v>7</v>
      </c>
      <c r="D3695">
        <v>16024</v>
      </c>
      <c r="E3695">
        <v>153</v>
      </c>
      <c r="F3695">
        <v>63724.36</v>
      </c>
      <c r="G3695">
        <v>19735.29</v>
      </c>
      <c r="H3695" t="str">
        <f>VLOOKUP(myynnit[[#This Row],[TuoteID]],ohjaus!$A$4:$B$20,2,FALSE)</f>
        <v>Työtuoli</v>
      </c>
    </row>
    <row r="3696" spans="1:8" x14ac:dyDescent="0.35">
      <c r="A3696" t="s">
        <v>40</v>
      </c>
      <c r="B3696">
        <v>2016</v>
      </c>
      <c r="C3696">
        <v>7</v>
      </c>
      <c r="D3696">
        <v>16650</v>
      </c>
      <c r="E3696">
        <v>23</v>
      </c>
      <c r="F3696">
        <v>3769.13</v>
      </c>
      <c r="G3696">
        <v>2318.4</v>
      </c>
      <c r="H3696" t="str">
        <f>VLOOKUP(myynnit[[#This Row],[TuoteID]],ohjaus!$A$4:$B$20,2,FALSE)</f>
        <v>Rahi</v>
      </c>
    </row>
    <row r="3697" spans="1:8" x14ac:dyDescent="0.35">
      <c r="A3697" t="s">
        <v>40</v>
      </c>
      <c r="B3697">
        <v>2016</v>
      </c>
      <c r="C3697">
        <v>7</v>
      </c>
      <c r="D3697">
        <v>17892</v>
      </c>
      <c r="E3697">
        <v>38</v>
      </c>
      <c r="F3697">
        <v>4893.38</v>
      </c>
      <c r="G3697">
        <v>1189.97</v>
      </c>
      <c r="H3697" t="str">
        <f>VLOOKUP(myynnit[[#This Row],[TuoteID]],ohjaus!$A$4:$B$20,2,FALSE)</f>
        <v>Lepotuoli</v>
      </c>
    </row>
    <row r="3698" spans="1:8" x14ac:dyDescent="0.35">
      <c r="A3698" t="s">
        <v>40</v>
      </c>
      <c r="B3698">
        <v>2016</v>
      </c>
      <c r="C3698">
        <v>7</v>
      </c>
      <c r="D3698">
        <v>18342</v>
      </c>
      <c r="E3698">
        <v>15</v>
      </c>
      <c r="F3698">
        <v>13826.32</v>
      </c>
      <c r="G3698">
        <v>4312.2700000000004</v>
      </c>
      <c r="H3698" t="str">
        <f>VLOOKUP(myynnit[[#This Row],[TuoteID]],ohjaus!$A$4:$B$20,2,FALSE)</f>
        <v>Työtuoli</v>
      </c>
    </row>
    <row r="3699" spans="1:8" x14ac:dyDescent="0.35">
      <c r="A3699" t="s">
        <v>40</v>
      </c>
      <c r="B3699">
        <v>2016</v>
      </c>
      <c r="C3699">
        <v>7</v>
      </c>
      <c r="D3699">
        <v>20177</v>
      </c>
      <c r="E3699">
        <v>12</v>
      </c>
      <c r="F3699">
        <v>1049.18</v>
      </c>
      <c r="G3699">
        <v>438.95</v>
      </c>
      <c r="H3699" t="str">
        <f>VLOOKUP(myynnit[[#This Row],[TuoteID]],ohjaus!$A$4:$B$20,2,FALSE)</f>
        <v>Säkkituoli</v>
      </c>
    </row>
    <row r="3700" spans="1:8" x14ac:dyDescent="0.35">
      <c r="A3700" t="s">
        <v>40</v>
      </c>
      <c r="B3700">
        <v>2016</v>
      </c>
      <c r="C3700">
        <v>7</v>
      </c>
      <c r="D3700">
        <v>21179</v>
      </c>
      <c r="E3700">
        <v>35</v>
      </c>
      <c r="F3700">
        <v>3538.84</v>
      </c>
      <c r="G3700">
        <v>2145.1799999999998</v>
      </c>
      <c r="H3700" t="str">
        <f>VLOOKUP(myynnit[[#This Row],[TuoteID]],ohjaus!$A$4:$B$20,2,FALSE)</f>
        <v>Rahi</v>
      </c>
    </row>
    <row r="3701" spans="1:8" x14ac:dyDescent="0.35">
      <c r="A3701" t="s">
        <v>40</v>
      </c>
      <c r="B3701">
        <v>2016</v>
      </c>
      <c r="C3701">
        <v>7</v>
      </c>
      <c r="D3701">
        <v>21260</v>
      </c>
      <c r="E3701">
        <v>57</v>
      </c>
      <c r="F3701">
        <v>11912.35</v>
      </c>
      <c r="G3701">
        <v>3008.46</v>
      </c>
      <c r="H3701" t="str">
        <f>VLOOKUP(myynnit[[#This Row],[TuoteID]],ohjaus!$A$4:$B$20,2,FALSE)</f>
        <v>Lepotuoli</v>
      </c>
    </row>
    <row r="3702" spans="1:8" x14ac:dyDescent="0.35">
      <c r="A3702" t="s">
        <v>40</v>
      </c>
      <c r="B3702">
        <v>2016</v>
      </c>
      <c r="C3702">
        <v>7</v>
      </c>
      <c r="D3702">
        <v>22317</v>
      </c>
      <c r="E3702">
        <v>13</v>
      </c>
      <c r="F3702">
        <v>1192.42</v>
      </c>
      <c r="G3702">
        <v>529.42999999999995</v>
      </c>
      <c r="H3702" t="str">
        <f>VLOOKUP(myynnit[[#This Row],[TuoteID]],ohjaus!$A$4:$B$20,2,FALSE)</f>
        <v>Säkkituoli</v>
      </c>
    </row>
    <row r="3703" spans="1:8" x14ac:dyDescent="0.35">
      <c r="A3703" t="s">
        <v>40</v>
      </c>
      <c r="B3703">
        <v>2016</v>
      </c>
      <c r="C3703">
        <v>7</v>
      </c>
      <c r="D3703">
        <v>22940</v>
      </c>
      <c r="E3703">
        <v>207</v>
      </c>
      <c r="F3703">
        <v>24175.13</v>
      </c>
      <c r="G3703">
        <v>6171.27</v>
      </c>
      <c r="H3703" t="str">
        <f>VLOOKUP(myynnit[[#This Row],[TuoteID]],ohjaus!$A$4:$B$20,2,FALSE)</f>
        <v>Pinnatuoli</v>
      </c>
    </row>
    <row r="3704" spans="1:8" x14ac:dyDescent="0.35">
      <c r="A3704" t="s">
        <v>40</v>
      </c>
      <c r="B3704">
        <v>2016</v>
      </c>
      <c r="C3704">
        <v>7</v>
      </c>
      <c r="D3704">
        <v>23178</v>
      </c>
      <c r="E3704">
        <v>292</v>
      </c>
      <c r="F3704">
        <v>51567.44</v>
      </c>
      <c r="G3704">
        <v>12777.41</v>
      </c>
      <c r="H3704" t="str">
        <f>VLOOKUP(myynnit[[#This Row],[TuoteID]],ohjaus!$A$4:$B$20,2,FALSE)</f>
        <v>Pinnatuoli</v>
      </c>
    </row>
    <row r="3705" spans="1:8" x14ac:dyDescent="0.35">
      <c r="A3705" t="s">
        <v>40</v>
      </c>
      <c r="B3705">
        <v>2016</v>
      </c>
      <c r="C3705">
        <v>7</v>
      </c>
      <c r="D3705">
        <v>23600</v>
      </c>
      <c r="E3705">
        <v>448</v>
      </c>
      <c r="F3705">
        <v>47228.46</v>
      </c>
      <c r="G3705">
        <v>13440.59</v>
      </c>
      <c r="H3705" t="str">
        <f>VLOOKUP(myynnit[[#This Row],[TuoteID]],ohjaus!$A$4:$B$20,2,FALSE)</f>
        <v>Pinnatuoli</v>
      </c>
    </row>
    <row r="3706" spans="1:8" x14ac:dyDescent="0.35">
      <c r="A3706" t="s">
        <v>40</v>
      </c>
      <c r="B3706">
        <v>2016</v>
      </c>
      <c r="C3706">
        <v>7</v>
      </c>
      <c r="D3706">
        <v>23756</v>
      </c>
      <c r="E3706">
        <v>40</v>
      </c>
      <c r="F3706">
        <v>6521</v>
      </c>
      <c r="G3706">
        <v>2513.81</v>
      </c>
      <c r="H3706" t="str">
        <f>VLOOKUP(myynnit[[#This Row],[TuoteID]],ohjaus!$A$4:$B$20,2,FALSE)</f>
        <v>Pianotuoli</v>
      </c>
    </row>
    <row r="3707" spans="1:8" x14ac:dyDescent="0.35">
      <c r="A3707" t="s">
        <v>40</v>
      </c>
      <c r="B3707">
        <v>2016</v>
      </c>
      <c r="C3707">
        <v>7</v>
      </c>
      <c r="D3707">
        <v>24326</v>
      </c>
      <c r="E3707">
        <v>45</v>
      </c>
      <c r="F3707">
        <v>5727</v>
      </c>
      <c r="G3707">
        <v>1461.3</v>
      </c>
      <c r="H3707" t="str">
        <f>VLOOKUP(myynnit[[#This Row],[TuoteID]],ohjaus!$A$4:$B$20,2,FALSE)</f>
        <v>Lepotuoli</v>
      </c>
    </row>
    <row r="3708" spans="1:8" x14ac:dyDescent="0.35">
      <c r="A3708" t="s">
        <v>39</v>
      </c>
      <c r="B3708">
        <v>2016</v>
      </c>
      <c r="C3708">
        <v>7</v>
      </c>
      <c r="D3708">
        <v>12184</v>
      </c>
      <c r="E3708">
        <v>69</v>
      </c>
      <c r="F3708">
        <v>9399.48</v>
      </c>
      <c r="G3708">
        <v>6147.14</v>
      </c>
      <c r="H3708" t="str">
        <f>VLOOKUP(myynnit[[#This Row],[TuoteID]],ohjaus!$A$4:$B$20,2,FALSE)</f>
        <v>Rahi</v>
      </c>
    </row>
    <row r="3709" spans="1:8" x14ac:dyDescent="0.35">
      <c r="A3709" t="s">
        <v>39</v>
      </c>
      <c r="B3709">
        <v>2016</v>
      </c>
      <c r="C3709">
        <v>7</v>
      </c>
      <c r="D3709">
        <v>12622</v>
      </c>
      <c r="E3709">
        <v>46</v>
      </c>
      <c r="F3709">
        <v>10961.49</v>
      </c>
      <c r="G3709">
        <v>5643.83</v>
      </c>
      <c r="H3709" t="str">
        <f>VLOOKUP(myynnit[[#This Row],[TuoteID]],ohjaus!$A$4:$B$20,2,FALSE)</f>
        <v>Pianotuoli</v>
      </c>
    </row>
    <row r="3710" spans="1:8" x14ac:dyDescent="0.35">
      <c r="A3710" t="s">
        <v>39</v>
      </c>
      <c r="B3710">
        <v>2016</v>
      </c>
      <c r="C3710">
        <v>7</v>
      </c>
      <c r="D3710">
        <v>13527</v>
      </c>
      <c r="E3710">
        <v>355</v>
      </c>
      <c r="F3710">
        <v>60386.9</v>
      </c>
      <c r="G3710">
        <v>14475.88</v>
      </c>
      <c r="H3710" t="str">
        <f>VLOOKUP(myynnit[[#This Row],[TuoteID]],ohjaus!$A$4:$B$20,2,FALSE)</f>
        <v>Pinnatuoli</v>
      </c>
    </row>
    <row r="3711" spans="1:8" x14ac:dyDescent="0.35">
      <c r="A3711" t="s">
        <v>39</v>
      </c>
      <c r="B3711">
        <v>2016</v>
      </c>
      <c r="C3711">
        <v>7</v>
      </c>
      <c r="D3711">
        <v>13618</v>
      </c>
      <c r="E3711">
        <v>15</v>
      </c>
      <c r="F3711">
        <v>6816.2</v>
      </c>
      <c r="G3711">
        <v>3335.45</v>
      </c>
      <c r="H3711" t="str">
        <f>VLOOKUP(myynnit[[#This Row],[TuoteID]],ohjaus!$A$4:$B$20,2,FALSE)</f>
        <v>Pianotuoli</v>
      </c>
    </row>
    <row r="3712" spans="1:8" x14ac:dyDescent="0.35">
      <c r="A3712" t="s">
        <v>39</v>
      </c>
      <c r="B3712">
        <v>2016</v>
      </c>
      <c r="C3712">
        <v>7</v>
      </c>
      <c r="D3712">
        <v>16024</v>
      </c>
      <c r="E3712">
        <v>260</v>
      </c>
      <c r="F3712">
        <v>121558.62</v>
      </c>
      <c r="G3712">
        <v>32310.51</v>
      </c>
      <c r="H3712" t="str">
        <f>VLOOKUP(myynnit[[#This Row],[TuoteID]],ohjaus!$A$4:$B$20,2,FALSE)</f>
        <v>Työtuoli</v>
      </c>
    </row>
    <row r="3713" spans="1:8" x14ac:dyDescent="0.35">
      <c r="A3713" t="s">
        <v>39</v>
      </c>
      <c r="B3713">
        <v>2016</v>
      </c>
      <c r="C3713">
        <v>7</v>
      </c>
      <c r="D3713">
        <v>16650</v>
      </c>
      <c r="E3713">
        <v>35</v>
      </c>
      <c r="F3713">
        <v>5042.2299999999996</v>
      </c>
      <c r="G3713">
        <v>3128.13</v>
      </c>
      <c r="H3713" t="str">
        <f>VLOOKUP(myynnit[[#This Row],[TuoteID]],ohjaus!$A$4:$B$20,2,FALSE)</f>
        <v>Rahi</v>
      </c>
    </row>
    <row r="3714" spans="1:8" x14ac:dyDescent="0.35">
      <c r="A3714" t="s">
        <v>39</v>
      </c>
      <c r="B3714">
        <v>2016</v>
      </c>
      <c r="C3714">
        <v>7</v>
      </c>
      <c r="D3714">
        <v>17892</v>
      </c>
      <c r="E3714">
        <v>71</v>
      </c>
      <c r="F3714">
        <v>10731.61</v>
      </c>
      <c r="G3714">
        <v>2990.04</v>
      </c>
      <c r="H3714" t="str">
        <f>VLOOKUP(myynnit[[#This Row],[TuoteID]],ohjaus!$A$4:$B$20,2,FALSE)</f>
        <v>Lepotuoli</v>
      </c>
    </row>
    <row r="3715" spans="1:8" x14ac:dyDescent="0.35">
      <c r="A3715" t="s">
        <v>39</v>
      </c>
      <c r="B3715">
        <v>2016</v>
      </c>
      <c r="C3715">
        <v>7</v>
      </c>
      <c r="D3715">
        <v>18342</v>
      </c>
      <c r="E3715">
        <v>100</v>
      </c>
      <c r="F3715">
        <v>82131.58</v>
      </c>
      <c r="G3715">
        <v>24849.64</v>
      </c>
      <c r="H3715" t="str">
        <f>VLOOKUP(myynnit[[#This Row],[TuoteID]],ohjaus!$A$4:$B$20,2,FALSE)</f>
        <v>Työtuoli</v>
      </c>
    </row>
    <row r="3716" spans="1:8" x14ac:dyDescent="0.35">
      <c r="A3716" t="s">
        <v>39</v>
      </c>
      <c r="B3716">
        <v>2016</v>
      </c>
      <c r="C3716">
        <v>7</v>
      </c>
      <c r="D3716">
        <v>20177</v>
      </c>
      <c r="E3716">
        <v>73</v>
      </c>
      <c r="F3716">
        <v>8062.48</v>
      </c>
      <c r="G3716">
        <v>4027.63</v>
      </c>
      <c r="H3716" t="str">
        <f>VLOOKUP(myynnit[[#This Row],[TuoteID]],ohjaus!$A$4:$B$20,2,FALSE)</f>
        <v>Säkkituoli</v>
      </c>
    </row>
    <row r="3717" spans="1:8" x14ac:dyDescent="0.35">
      <c r="A3717" t="s">
        <v>39</v>
      </c>
      <c r="B3717">
        <v>2016</v>
      </c>
      <c r="C3717">
        <v>7</v>
      </c>
      <c r="D3717">
        <v>21179</v>
      </c>
      <c r="E3717">
        <v>41</v>
      </c>
      <c r="F3717">
        <v>4677.22</v>
      </c>
      <c r="G3717">
        <v>3251.12</v>
      </c>
      <c r="H3717" t="str">
        <f>VLOOKUP(myynnit[[#This Row],[TuoteID]],ohjaus!$A$4:$B$20,2,FALSE)</f>
        <v>Rahi</v>
      </c>
    </row>
    <row r="3718" spans="1:8" x14ac:dyDescent="0.35">
      <c r="A3718" t="s">
        <v>39</v>
      </c>
      <c r="B3718">
        <v>2016</v>
      </c>
      <c r="C3718">
        <v>7</v>
      </c>
      <c r="D3718">
        <v>21260</v>
      </c>
      <c r="E3718">
        <v>48</v>
      </c>
      <c r="F3718">
        <v>8593.1</v>
      </c>
      <c r="G3718">
        <v>2810.95</v>
      </c>
      <c r="H3718" t="str">
        <f>VLOOKUP(myynnit[[#This Row],[TuoteID]],ohjaus!$A$4:$B$20,2,FALSE)</f>
        <v>Lepotuoli</v>
      </c>
    </row>
    <row r="3719" spans="1:8" x14ac:dyDescent="0.35">
      <c r="A3719" t="s">
        <v>39</v>
      </c>
      <c r="B3719">
        <v>2016</v>
      </c>
      <c r="C3719">
        <v>7</v>
      </c>
      <c r="D3719">
        <v>22317</v>
      </c>
      <c r="E3719">
        <v>47</v>
      </c>
      <c r="F3719">
        <v>4958.53</v>
      </c>
      <c r="G3719">
        <v>1918.99</v>
      </c>
      <c r="H3719" t="str">
        <f>VLOOKUP(myynnit[[#This Row],[TuoteID]],ohjaus!$A$4:$B$20,2,FALSE)</f>
        <v>Säkkituoli</v>
      </c>
    </row>
    <row r="3720" spans="1:8" x14ac:dyDescent="0.35">
      <c r="A3720" t="s">
        <v>39</v>
      </c>
      <c r="B3720">
        <v>2016</v>
      </c>
      <c r="C3720">
        <v>7</v>
      </c>
      <c r="D3720">
        <v>22940</v>
      </c>
      <c r="E3720">
        <v>474</v>
      </c>
      <c r="F3720">
        <v>64040.15</v>
      </c>
      <c r="G3720">
        <v>16074.95</v>
      </c>
      <c r="H3720" t="str">
        <f>VLOOKUP(myynnit[[#This Row],[TuoteID]],ohjaus!$A$4:$B$20,2,FALSE)</f>
        <v>Pinnatuoli</v>
      </c>
    </row>
    <row r="3721" spans="1:8" x14ac:dyDescent="0.35">
      <c r="A3721" t="s">
        <v>39</v>
      </c>
      <c r="B3721">
        <v>2016</v>
      </c>
      <c r="C3721">
        <v>7</v>
      </c>
      <c r="D3721">
        <v>23178</v>
      </c>
      <c r="E3721">
        <v>201</v>
      </c>
      <c r="F3721">
        <v>34699.75</v>
      </c>
      <c r="G3721">
        <v>8738.14</v>
      </c>
      <c r="H3721" t="str">
        <f>VLOOKUP(myynnit[[#This Row],[TuoteID]],ohjaus!$A$4:$B$20,2,FALSE)</f>
        <v>Pinnatuoli</v>
      </c>
    </row>
    <row r="3722" spans="1:8" x14ac:dyDescent="0.35">
      <c r="A3722" t="s">
        <v>39</v>
      </c>
      <c r="B3722">
        <v>2016</v>
      </c>
      <c r="C3722">
        <v>7</v>
      </c>
      <c r="D3722">
        <v>23600</v>
      </c>
      <c r="E3722">
        <v>864</v>
      </c>
      <c r="F3722">
        <v>108209.68</v>
      </c>
      <c r="G3722">
        <v>31146.75</v>
      </c>
      <c r="H3722" t="str">
        <f>VLOOKUP(myynnit[[#This Row],[TuoteID]],ohjaus!$A$4:$B$20,2,FALSE)</f>
        <v>Pinnatuoli</v>
      </c>
    </row>
    <row r="3723" spans="1:8" x14ac:dyDescent="0.35">
      <c r="A3723" t="s">
        <v>39</v>
      </c>
      <c r="B3723">
        <v>2016</v>
      </c>
      <c r="C3723">
        <v>7</v>
      </c>
      <c r="D3723">
        <v>23756</v>
      </c>
      <c r="E3723">
        <v>124</v>
      </c>
      <c r="F3723">
        <v>26526.99</v>
      </c>
      <c r="G3723">
        <v>14173.4</v>
      </c>
      <c r="H3723" t="str">
        <f>VLOOKUP(myynnit[[#This Row],[TuoteID]],ohjaus!$A$4:$B$20,2,FALSE)</f>
        <v>Pianotuoli</v>
      </c>
    </row>
    <row r="3724" spans="1:8" x14ac:dyDescent="0.35">
      <c r="A3724" t="s">
        <v>39</v>
      </c>
      <c r="B3724">
        <v>2016</v>
      </c>
      <c r="C3724">
        <v>7</v>
      </c>
      <c r="D3724">
        <v>24326</v>
      </c>
      <c r="E3724">
        <v>63</v>
      </c>
      <c r="F3724">
        <v>9865.9599999999991</v>
      </c>
      <c r="G3724">
        <v>3323.61</v>
      </c>
      <c r="H3724" t="str">
        <f>VLOOKUP(myynnit[[#This Row],[TuoteID]],ohjaus!$A$4:$B$20,2,FALSE)</f>
        <v>Lepotuoli</v>
      </c>
    </row>
    <row r="3725" spans="1:8" x14ac:dyDescent="0.35">
      <c r="A3725" t="s">
        <v>38</v>
      </c>
      <c r="B3725">
        <v>2016</v>
      </c>
      <c r="C3725">
        <v>7</v>
      </c>
      <c r="D3725">
        <v>12184</v>
      </c>
      <c r="E3725">
        <v>66</v>
      </c>
      <c r="F3725">
        <v>7096.53</v>
      </c>
      <c r="G3725">
        <v>3688.05</v>
      </c>
      <c r="H3725" t="str">
        <f>VLOOKUP(myynnit[[#This Row],[TuoteID]],ohjaus!$A$4:$B$20,2,FALSE)</f>
        <v>Rahi</v>
      </c>
    </row>
    <row r="3726" spans="1:8" x14ac:dyDescent="0.35">
      <c r="A3726" t="s">
        <v>38</v>
      </c>
      <c r="B3726">
        <v>2016</v>
      </c>
      <c r="C3726">
        <v>7</v>
      </c>
      <c r="D3726">
        <v>12622</v>
      </c>
      <c r="E3726">
        <v>25</v>
      </c>
      <c r="F3726">
        <v>6648.09</v>
      </c>
      <c r="G3726">
        <v>2912.89</v>
      </c>
      <c r="H3726" t="str">
        <f>VLOOKUP(myynnit[[#This Row],[TuoteID]],ohjaus!$A$4:$B$20,2,FALSE)</f>
        <v>Pianotuoli</v>
      </c>
    </row>
    <row r="3727" spans="1:8" x14ac:dyDescent="0.35">
      <c r="A3727" t="s">
        <v>38</v>
      </c>
      <c r="B3727">
        <v>2016</v>
      </c>
      <c r="C3727">
        <v>7</v>
      </c>
      <c r="D3727">
        <v>13527</v>
      </c>
      <c r="E3727">
        <v>265</v>
      </c>
      <c r="F3727">
        <v>39494.31</v>
      </c>
      <c r="G3727">
        <v>9147.06</v>
      </c>
      <c r="H3727" t="str">
        <f>VLOOKUP(myynnit[[#This Row],[TuoteID]],ohjaus!$A$4:$B$20,2,FALSE)</f>
        <v>Pinnatuoli</v>
      </c>
    </row>
    <row r="3728" spans="1:8" x14ac:dyDescent="0.35">
      <c r="A3728" t="s">
        <v>38</v>
      </c>
      <c r="B3728">
        <v>2016</v>
      </c>
      <c r="C3728">
        <v>7</v>
      </c>
      <c r="D3728">
        <v>13618</v>
      </c>
      <c r="E3728">
        <v>12</v>
      </c>
      <c r="F3728">
        <v>3971.32</v>
      </c>
      <c r="G3728">
        <v>1759.97</v>
      </c>
      <c r="H3728" t="str">
        <f>VLOOKUP(myynnit[[#This Row],[TuoteID]],ohjaus!$A$4:$B$20,2,FALSE)</f>
        <v>Pianotuoli</v>
      </c>
    </row>
    <row r="3729" spans="1:8" x14ac:dyDescent="0.35">
      <c r="A3729" t="s">
        <v>38</v>
      </c>
      <c r="B3729">
        <v>2016</v>
      </c>
      <c r="C3729">
        <v>7</v>
      </c>
      <c r="D3729">
        <v>16024</v>
      </c>
      <c r="E3729">
        <v>119</v>
      </c>
      <c r="F3729">
        <v>47817.33</v>
      </c>
      <c r="G3729">
        <v>12419.75</v>
      </c>
      <c r="H3729" t="str">
        <f>VLOOKUP(myynnit[[#This Row],[TuoteID]],ohjaus!$A$4:$B$20,2,FALSE)</f>
        <v>Työtuoli</v>
      </c>
    </row>
    <row r="3730" spans="1:8" x14ac:dyDescent="0.35">
      <c r="A3730" t="s">
        <v>38</v>
      </c>
      <c r="B3730">
        <v>2016</v>
      </c>
      <c r="C3730">
        <v>7</v>
      </c>
      <c r="D3730">
        <v>16650</v>
      </c>
      <c r="E3730">
        <v>60</v>
      </c>
      <c r="F3730">
        <v>9689.5300000000007</v>
      </c>
      <c r="G3730">
        <v>5969.28</v>
      </c>
      <c r="H3730" t="str">
        <f>VLOOKUP(myynnit[[#This Row],[TuoteID]],ohjaus!$A$4:$B$20,2,FALSE)</f>
        <v>Rahi</v>
      </c>
    </row>
    <row r="3731" spans="1:8" x14ac:dyDescent="0.35">
      <c r="A3731" t="s">
        <v>38</v>
      </c>
      <c r="B3731">
        <v>2016</v>
      </c>
      <c r="C3731">
        <v>7</v>
      </c>
      <c r="D3731">
        <v>17892</v>
      </c>
      <c r="E3731">
        <v>111</v>
      </c>
      <c r="F3731">
        <v>16862.78</v>
      </c>
      <c r="G3731">
        <v>3666.76</v>
      </c>
      <c r="H3731" t="str">
        <f>VLOOKUP(myynnit[[#This Row],[TuoteID]],ohjaus!$A$4:$B$20,2,FALSE)</f>
        <v>Lepotuoli</v>
      </c>
    </row>
    <row r="3732" spans="1:8" x14ac:dyDescent="0.35">
      <c r="A3732" t="s">
        <v>38</v>
      </c>
      <c r="B3732">
        <v>2016</v>
      </c>
      <c r="C3732">
        <v>7</v>
      </c>
      <c r="D3732">
        <v>18342</v>
      </c>
      <c r="E3732">
        <v>111</v>
      </c>
      <c r="F3732">
        <v>95051.520000000004</v>
      </c>
      <c r="G3732">
        <v>20079.82</v>
      </c>
      <c r="H3732" t="str">
        <f>VLOOKUP(myynnit[[#This Row],[TuoteID]],ohjaus!$A$4:$B$20,2,FALSE)</f>
        <v>Työtuoli</v>
      </c>
    </row>
    <row r="3733" spans="1:8" x14ac:dyDescent="0.35">
      <c r="A3733" t="s">
        <v>38</v>
      </c>
      <c r="B3733">
        <v>2016</v>
      </c>
      <c r="C3733">
        <v>7</v>
      </c>
      <c r="D3733">
        <v>20177</v>
      </c>
      <c r="E3733">
        <v>66</v>
      </c>
      <c r="F3733">
        <v>7249.46</v>
      </c>
      <c r="G3733">
        <v>2585.4699999999998</v>
      </c>
      <c r="H3733" t="str">
        <f>VLOOKUP(myynnit[[#This Row],[TuoteID]],ohjaus!$A$4:$B$20,2,FALSE)</f>
        <v>Säkkituoli</v>
      </c>
    </row>
    <row r="3734" spans="1:8" x14ac:dyDescent="0.35">
      <c r="A3734" t="s">
        <v>38</v>
      </c>
      <c r="B3734">
        <v>2016</v>
      </c>
      <c r="C3734">
        <v>7</v>
      </c>
      <c r="D3734">
        <v>21179</v>
      </c>
      <c r="E3734">
        <v>25</v>
      </c>
      <c r="F3734">
        <v>3054.73</v>
      </c>
      <c r="G3734">
        <v>1871.93</v>
      </c>
      <c r="H3734" t="str">
        <f>VLOOKUP(myynnit[[#This Row],[TuoteID]],ohjaus!$A$4:$B$20,2,FALSE)</f>
        <v>Rahi</v>
      </c>
    </row>
    <row r="3735" spans="1:8" x14ac:dyDescent="0.35">
      <c r="A3735" t="s">
        <v>38</v>
      </c>
      <c r="B3735">
        <v>2016</v>
      </c>
      <c r="C3735">
        <v>7</v>
      </c>
      <c r="D3735">
        <v>21260</v>
      </c>
      <c r="E3735">
        <v>50</v>
      </c>
      <c r="F3735">
        <v>8880.06</v>
      </c>
      <c r="G3735">
        <v>2128.81</v>
      </c>
      <c r="H3735" t="str">
        <f>VLOOKUP(myynnit[[#This Row],[TuoteID]],ohjaus!$A$4:$B$20,2,FALSE)</f>
        <v>Lepotuoli</v>
      </c>
    </row>
    <row r="3736" spans="1:8" x14ac:dyDescent="0.35">
      <c r="A3736" t="s">
        <v>38</v>
      </c>
      <c r="B3736">
        <v>2016</v>
      </c>
      <c r="C3736">
        <v>7</v>
      </c>
      <c r="D3736">
        <v>22317</v>
      </c>
      <c r="E3736">
        <v>36</v>
      </c>
      <c r="F3736">
        <v>3125.43</v>
      </c>
      <c r="G3736">
        <v>1146.76</v>
      </c>
      <c r="H3736" t="str">
        <f>VLOOKUP(myynnit[[#This Row],[TuoteID]],ohjaus!$A$4:$B$20,2,FALSE)</f>
        <v>Säkkituoli</v>
      </c>
    </row>
    <row r="3737" spans="1:8" x14ac:dyDescent="0.35">
      <c r="A3737" t="s">
        <v>38</v>
      </c>
      <c r="B3737">
        <v>2016</v>
      </c>
      <c r="C3737">
        <v>7</v>
      </c>
      <c r="D3737">
        <v>22940</v>
      </c>
      <c r="E3737">
        <v>685</v>
      </c>
      <c r="F3737">
        <v>92763.15</v>
      </c>
      <c r="G3737">
        <v>17141.669999999998</v>
      </c>
      <c r="H3737" t="str">
        <f>VLOOKUP(myynnit[[#This Row],[TuoteID]],ohjaus!$A$4:$B$20,2,FALSE)</f>
        <v>Pinnatuoli</v>
      </c>
    </row>
    <row r="3738" spans="1:8" x14ac:dyDescent="0.35">
      <c r="A3738" t="s">
        <v>38</v>
      </c>
      <c r="B3738">
        <v>2016</v>
      </c>
      <c r="C3738">
        <v>7</v>
      </c>
      <c r="D3738">
        <v>23178</v>
      </c>
      <c r="E3738">
        <v>237</v>
      </c>
      <c r="F3738">
        <v>44091.94</v>
      </c>
      <c r="G3738">
        <v>9733.7800000000007</v>
      </c>
      <c r="H3738" t="str">
        <f>VLOOKUP(myynnit[[#This Row],[TuoteID]],ohjaus!$A$4:$B$20,2,FALSE)</f>
        <v>Pinnatuoli</v>
      </c>
    </row>
    <row r="3739" spans="1:8" x14ac:dyDescent="0.35">
      <c r="A3739" t="s">
        <v>38</v>
      </c>
      <c r="B3739">
        <v>2016</v>
      </c>
      <c r="C3739">
        <v>7</v>
      </c>
      <c r="D3739">
        <v>23600</v>
      </c>
      <c r="E3739">
        <v>1072</v>
      </c>
      <c r="F3739">
        <v>110375.95</v>
      </c>
      <c r="G3739">
        <v>26218.34</v>
      </c>
      <c r="H3739" t="str">
        <f>VLOOKUP(myynnit[[#This Row],[TuoteID]],ohjaus!$A$4:$B$20,2,FALSE)</f>
        <v>Pinnatuoli</v>
      </c>
    </row>
    <row r="3740" spans="1:8" x14ac:dyDescent="0.35">
      <c r="A3740" t="s">
        <v>38</v>
      </c>
      <c r="B3740">
        <v>2016</v>
      </c>
      <c r="C3740">
        <v>7</v>
      </c>
      <c r="D3740">
        <v>23756</v>
      </c>
      <c r="E3740">
        <v>79</v>
      </c>
      <c r="F3740">
        <v>14903.99</v>
      </c>
      <c r="G3740">
        <v>7843.48</v>
      </c>
      <c r="H3740" t="str">
        <f>VLOOKUP(myynnit[[#This Row],[TuoteID]],ohjaus!$A$4:$B$20,2,FALSE)</f>
        <v>Pianotuoli</v>
      </c>
    </row>
    <row r="3741" spans="1:8" x14ac:dyDescent="0.35">
      <c r="A3741" t="s">
        <v>38</v>
      </c>
      <c r="B3741">
        <v>2016</v>
      </c>
      <c r="C3741">
        <v>7</v>
      </c>
      <c r="D3741">
        <v>24326</v>
      </c>
      <c r="E3741">
        <v>108</v>
      </c>
      <c r="F3741">
        <v>16529.830000000002</v>
      </c>
      <c r="G3741">
        <v>3818.52</v>
      </c>
      <c r="H3741" t="str">
        <f>VLOOKUP(myynnit[[#This Row],[TuoteID]],ohjaus!$A$4:$B$20,2,FALSE)</f>
        <v>Lepotuoli</v>
      </c>
    </row>
    <row r="3742" spans="1:8" x14ac:dyDescent="0.35">
      <c r="A3742" t="s">
        <v>37</v>
      </c>
      <c r="B3742">
        <v>2016</v>
      </c>
      <c r="C3742">
        <v>8</v>
      </c>
      <c r="D3742">
        <v>12184</v>
      </c>
      <c r="E3742">
        <v>46</v>
      </c>
      <c r="F3742">
        <v>4965.2299999999996</v>
      </c>
      <c r="G3742">
        <v>2115.87</v>
      </c>
      <c r="H3742" t="str">
        <f>VLOOKUP(myynnit[[#This Row],[TuoteID]],ohjaus!$A$4:$B$20,2,FALSE)</f>
        <v>Rahi</v>
      </c>
    </row>
    <row r="3743" spans="1:8" x14ac:dyDescent="0.35">
      <c r="A3743" t="s">
        <v>37</v>
      </c>
      <c r="B3743">
        <v>2016</v>
      </c>
      <c r="C3743">
        <v>8</v>
      </c>
      <c r="D3743">
        <v>12622</v>
      </c>
      <c r="E3743">
        <v>64</v>
      </c>
      <c r="F3743">
        <v>15423.72</v>
      </c>
      <c r="G3743">
        <v>7977.3</v>
      </c>
      <c r="H3743" t="str">
        <f>VLOOKUP(myynnit[[#This Row],[TuoteID]],ohjaus!$A$4:$B$20,2,FALSE)</f>
        <v>Pianotuoli</v>
      </c>
    </row>
    <row r="3744" spans="1:8" x14ac:dyDescent="0.35">
      <c r="A3744" t="s">
        <v>37</v>
      </c>
      <c r="B3744">
        <v>2016</v>
      </c>
      <c r="C3744">
        <v>8</v>
      </c>
      <c r="D3744">
        <v>13527</v>
      </c>
      <c r="E3744">
        <v>519</v>
      </c>
      <c r="F3744">
        <v>89417.96</v>
      </c>
      <c r="G3744">
        <v>14317.71</v>
      </c>
      <c r="H3744" t="str">
        <f>VLOOKUP(myynnit[[#This Row],[TuoteID]],ohjaus!$A$4:$B$20,2,FALSE)</f>
        <v>Pinnatuoli</v>
      </c>
    </row>
    <row r="3745" spans="1:8" x14ac:dyDescent="0.35">
      <c r="A3745" t="s">
        <v>37</v>
      </c>
      <c r="B3745">
        <v>2016</v>
      </c>
      <c r="C3745">
        <v>8</v>
      </c>
      <c r="D3745">
        <v>13618</v>
      </c>
      <c r="E3745">
        <v>23</v>
      </c>
      <c r="F3745">
        <v>7649.56</v>
      </c>
      <c r="G3745">
        <v>3271.34</v>
      </c>
      <c r="H3745" t="str">
        <f>VLOOKUP(myynnit[[#This Row],[TuoteID]],ohjaus!$A$4:$B$20,2,FALSE)</f>
        <v>Pianotuoli</v>
      </c>
    </row>
    <row r="3746" spans="1:8" x14ac:dyDescent="0.35">
      <c r="A3746" t="s">
        <v>37</v>
      </c>
      <c r="B3746">
        <v>2016</v>
      </c>
      <c r="C3746">
        <v>8</v>
      </c>
      <c r="D3746">
        <v>16024</v>
      </c>
      <c r="E3746">
        <v>170</v>
      </c>
      <c r="F3746">
        <v>79576.56</v>
      </c>
      <c r="G3746">
        <v>21650.48</v>
      </c>
      <c r="H3746" t="str">
        <f>VLOOKUP(myynnit[[#This Row],[TuoteID]],ohjaus!$A$4:$B$20,2,FALSE)</f>
        <v>Työtuoli</v>
      </c>
    </row>
    <row r="3747" spans="1:8" x14ac:dyDescent="0.35">
      <c r="A3747" t="s">
        <v>37</v>
      </c>
      <c r="B3747">
        <v>2016</v>
      </c>
      <c r="C3747">
        <v>8</v>
      </c>
      <c r="D3747">
        <v>16650</v>
      </c>
      <c r="E3747">
        <v>35</v>
      </c>
      <c r="F3747">
        <v>6153.71</v>
      </c>
      <c r="G3747">
        <v>3326.46</v>
      </c>
      <c r="H3747" t="str">
        <f>VLOOKUP(myynnit[[#This Row],[TuoteID]],ohjaus!$A$4:$B$20,2,FALSE)</f>
        <v>Rahi</v>
      </c>
    </row>
    <row r="3748" spans="1:8" x14ac:dyDescent="0.35">
      <c r="A3748" t="s">
        <v>37</v>
      </c>
      <c r="B3748">
        <v>2016</v>
      </c>
      <c r="C3748">
        <v>8</v>
      </c>
      <c r="D3748">
        <v>17892</v>
      </c>
      <c r="E3748">
        <v>114</v>
      </c>
      <c r="F3748">
        <v>15145.91</v>
      </c>
      <c r="G3748">
        <v>3835.22</v>
      </c>
      <c r="H3748" t="str">
        <f>VLOOKUP(myynnit[[#This Row],[TuoteID]],ohjaus!$A$4:$B$20,2,FALSE)</f>
        <v>Lepotuoli</v>
      </c>
    </row>
    <row r="3749" spans="1:8" x14ac:dyDescent="0.35">
      <c r="A3749" t="s">
        <v>37</v>
      </c>
      <c r="B3749">
        <v>2016</v>
      </c>
      <c r="C3749">
        <v>8</v>
      </c>
      <c r="D3749">
        <v>18342</v>
      </c>
      <c r="E3749">
        <v>101</v>
      </c>
      <c r="F3749">
        <v>86774.82</v>
      </c>
      <c r="G3749">
        <v>26083.93</v>
      </c>
      <c r="H3749" t="str">
        <f>VLOOKUP(myynnit[[#This Row],[TuoteID]],ohjaus!$A$4:$B$20,2,FALSE)</f>
        <v>Työtuoli</v>
      </c>
    </row>
    <row r="3750" spans="1:8" x14ac:dyDescent="0.35">
      <c r="A3750" t="s">
        <v>37</v>
      </c>
      <c r="B3750">
        <v>2016</v>
      </c>
      <c r="C3750">
        <v>8</v>
      </c>
      <c r="D3750">
        <v>20177</v>
      </c>
      <c r="E3750">
        <v>161</v>
      </c>
      <c r="F3750">
        <v>15727.69</v>
      </c>
      <c r="G3750">
        <v>6388.73</v>
      </c>
      <c r="H3750" t="str">
        <f>VLOOKUP(myynnit[[#This Row],[TuoteID]],ohjaus!$A$4:$B$20,2,FALSE)</f>
        <v>Säkkituoli</v>
      </c>
    </row>
    <row r="3751" spans="1:8" x14ac:dyDescent="0.35">
      <c r="A3751" t="s">
        <v>37</v>
      </c>
      <c r="B3751">
        <v>2016</v>
      </c>
      <c r="C3751">
        <v>8</v>
      </c>
      <c r="D3751">
        <v>21179</v>
      </c>
      <c r="E3751">
        <v>31</v>
      </c>
      <c r="F3751">
        <v>3086.14</v>
      </c>
      <c r="G3751">
        <v>1567.44</v>
      </c>
      <c r="H3751" t="str">
        <f>VLOOKUP(myynnit[[#This Row],[TuoteID]],ohjaus!$A$4:$B$20,2,FALSE)</f>
        <v>Rahi</v>
      </c>
    </row>
    <row r="3752" spans="1:8" x14ac:dyDescent="0.35">
      <c r="A3752" t="s">
        <v>37</v>
      </c>
      <c r="B3752">
        <v>2016</v>
      </c>
      <c r="C3752">
        <v>8</v>
      </c>
      <c r="D3752">
        <v>21260</v>
      </c>
      <c r="E3752">
        <v>102</v>
      </c>
      <c r="F3752">
        <v>17405.25</v>
      </c>
      <c r="G3752">
        <v>4239.22</v>
      </c>
      <c r="H3752" t="str">
        <f>VLOOKUP(myynnit[[#This Row],[TuoteID]],ohjaus!$A$4:$B$20,2,FALSE)</f>
        <v>Lepotuoli</v>
      </c>
    </row>
    <row r="3753" spans="1:8" x14ac:dyDescent="0.35">
      <c r="A3753" t="s">
        <v>37</v>
      </c>
      <c r="B3753">
        <v>2016</v>
      </c>
      <c r="C3753">
        <v>8</v>
      </c>
      <c r="D3753">
        <v>22317</v>
      </c>
      <c r="E3753">
        <v>112</v>
      </c>
      <c r="F3753">
        <v>8335.49</v>
      </c>
      <c r="G3753">
        <v>2932.87</v>
      </c>
      <c r="H3753" t="str">
        <f>VLOOKUP(myynnit[[#This Row],[TuoteID]],ohjaus!$A$4:$B$20,2,FALSE)</f>
        <v>Säkkituoli</v>
      </c>
    </row>
    <row r="3754" spans="1:8" x14ac:dyDescent="0.35">
      <c r="A3754" t="s">
        <v>37</v>
      </c>
      <c r="B3754">
        <v>2016</v>
      </c>
      <c r="C3754">
        <v>8</v>
      </c>
      <c r="D3754">
        <v>22940</v>
      </c>
      <c r="E3754">
        <v>407</v>
      </c>
      <c r="F3754">
        <v>50185.67</v>
      </c>
      <c r="G3754">
        <v>9481.77</v>
      </c>
      <c r="H3754" t="str">
        <f>VLOOKUP(myynnit[[#This Row],[TuoteID]],ohjaus!$A$4:$B$20,2,FALSE)</f>
        <v>Pinnatuoli</v>
      </c>
    </row>
    <row r="3755" spans="1:8" x14ac:dyDescent="0.35">
      <c r="A3755" t="s">
        <v>37</v>
      </c>
      <c r="B3755">
        <v>2016</v>
      </c>
      <c r="C3755">
        <v>8</v>
      </c>
      <c r="D3755">
        <v>23178</v>
      </c>
      <c r="E3755">
        <v>371</v>
      </c>
      <c r="F3755">
        <v>64595.9</v>
      </c>
      <c r="G3755">
        <v>13398.89</v>
      </c>
      <c r="H3755" t="str">
        <f>VLOOKUP(myynnit[[#This Row],[TuoteID]],ohjaus!$A$4:$B$20,2,FALSE)</f>
        <v>Pinnatuoli</v>
      </c>
    </row>
    <row r="3756" spans="1:8" x14ac:dyDescent="0.35">
      <c r="A3756" t="s">
        <v>37</v>
      </c>
      <c r="B3756">
        <v>2016</v>
      </c>
      <c r="C3756">
        <v>8</v>
      </c>
      <c r="D3756">
        <v>23600</v>
      </c>
      <c r="E3756">
        <v>1069</v>
      </c>
      <c r="F3756">
        <v>108853.88</v>
      </c>
      <c r="G3756">
        <v>26474.16</v>
      </c>
      <c r="H3756" t="str">
        <f>VLOOKUP(myynnit[[#This Row],[TuoteID]],ohjaus!$A$4:$B$20,2,FALSE)</f>
        <v>Pinnatuoli</v>
      </c>
    </row>
    <row r="3757" spans="1:8" x14ac:dyDescent="0.35">
      <c r="A3757" t="s">
        <v>37</v>
      </c>
      <c r="B3757">
        <v>2016</v>
      </c>
      <c r="C3757">
        <v>8</v>
      </c>
      <c r="D3757">
        <v>23756</v>
      </c>
      <c r="E3757">
        <v>85</v>
      </c>
      <c r="F3757">
        <v>15953.44</v>
      </c>
      <c r="G3757">
        <v>6707.39</v>
      </c>
      <c r="H3757" t="str">
        <f>VLOOKUP(myynnit[[#This Row],[TuoteID]],ohjaus!$A$4:$B$20,2,FALSE)</f>
        <v>Pianotuoli</v>
      </c>
    </row>
    <row r="3758" spans="1:8" x14ac:dyDescent="0.35">
      <c r="A3758" t="s">
        <v>37</v>
      </c>
      <c r="B3758">
        <v>2016</v>
      </c>
      <c r="C3758">
        <v>8</v>
      </c>
      <c r="D3758">
        <v>24326</v>
      </c>
      <c r="E3758">
        <v>115</v>
      </c>
      <c r="F3758">
        <v>14704.53</v>
      </c>
      <c r="G3758">
        <v>4229.13</v>
      </c>
      <c r="H3758" t="str">
        <f>VLOOKUP(myynnit[[#This Row],[TuoteID]],ohjaus!$A$4:$B$20,2,FALSE)</f>
        <v>Lepotuoli</v>
      </c>
    </row>
    <row r="3759" spans="1:8" x14ac:dyDescent="0.35">
      <c r="A3759" t="s">
        <v>40</v>
      </c>
      <c r="B3759">
        <v>2016</v>
      </c>
      <c r="C3759">
        <v>8</v>
      </c>
      <c r="D3759">
        <v>12184</v>
      </c>
      <c r="E3759">
        <v>32</v>
      </c>
      <c r="F3759">
        <v>3178.51</v>
      </c>
      <c r="G3759">
        <v>1693.87</v>
      </c>
      <c r="H3759" t="str">
        <f>VLOOKUP(myynnit[[#This Row],[TuoteID]],ohjaus!$A$4:$B$20,2,FALSE)</f>
        <v>Rahi</v>
      </c>
    </row>
    <row r="3760" spans="1:8" x14ac:dyDescent="0.35">
      <c r="A3760" t="s">
        <v>40</v>
      </c>
      <c r="B3760">
        <v>2016</v>
      </c>
      <c r="C3760">
        <v>8</v>
      </c>
      <c r="D3760">
        <v>12622</v>
      </c>
      <c r="E3760">
        <v>13</v>
      </c>
      <c r="F3760">
        <v>3165.55</v>
      </c>
      <c r="G3760">
        <v>1309.8599999999999</v>
      </c>
      <c r="H3760" t="str">
        <f>VLOOKUP(myynnit[[#This Row],[TuoteID]],ohjaus!$A$4:$B$20,2,FALSE)</f>
        <v>Pianotuoli</v>
      </c>
    </row>
    <row r="3761" spans="1:8" x14ac:dyDescent="0.35">
      <c r="A3761" t="s">
        <v>40</v>
      </c>
      <c r="B3761">
        <v>2016</v>
      </c>
      <c r="C3761">
        <v>8</v>
      </c>
      <c r="D3761">
        <v>13527</v>
      </c>
      <c r="E3761">
        <v>306</v>
      </c>
      <c r="F3761">
        <v>50534.89</v>
      </c>
      <c r="G3761">
        <v>8465.01</v>
      </c>
      <c r="H3761" t="str">
        <f>VLOOKUP(myynnit[[#This Row],[TuoteID]],ohjaus!$A$4:$B$20,2,FALSE)</f>
        <v>Pinnatuoli</v>
      </c>
    </row>
    <row r="3762" spans="1:8" x14ac:dyDescent="0.35">
      <c r="A3762" t="s">
        <v>40</v>
      </c>
      <c r="B3762">
        <v>2016</v>
      </c>
      <c r="C3762">
        <v>8</v>
      </c>
      <c r="D3762">
        <v>13618</v>
      </c>
      <c r="E3762">
        <v>10</v>
      </c>
      <c r="F3762">
        <v>4111.0200000000004</v>
      </c>
      <c r="G3762">
        <v>1827.99</v>
      </c>
      <c r="H3762" t="str">
        <f>VLOOKUP(myynnit[[#This Row],[TuoteID]],ohjaus!$A$4:$B$20,2,FALSE)</f>
        <v>Pianotuoli</v>
      </c>
    </row>
    <row r="3763" spans="1:8" x14ac:dyDescent="0.35">
      <c r="A3763" t="s">
        <v>40</v>
      </c>
      <c r="B3763">
        <v>2016</v>
      </c>
      <c r="C3763">
        <v>8</v>
      </c>
      <c r="D3763">
        <v>16024</v>
      </c>
      <c r="E3763">
        <v>103</v>
      </c>
      <c r="F3763">
        <v>48728.6</v>
      </c>
      <c r="G3763">
        <v>16613.41</v>
      </c>
      <c r="H3763" t="str">
        <f>VLOOKUP(myynnit[[#This Row],[TuoteID]],ohjaus!$A$4:$B$20,2,FALSE)</f>
        <v>Työtuoli</v>
      </c>
    </row>
    <row r="3764" spans="1:8" x14ac:dyDescent="0.35">
      <c r="A3764" t="s">
        <v>40</v>
      </c>
      <c r="B3764">
        <v>2016</v>
      </c>
      <c r="C3764">
        <v>8</v>
      </c>
      <c r="D3764">
        <v>16650</v>
      </c>
      <c r="E3764">
        <v>27</v>
      </c>
      <c r="F3764">
        <v>3657.22</v>
      </c>
      <c r="G3764">
        <v>2331.69</v>
      </c>
      <c r="H3764" t="str">
        <f>VLOOKUP(myynnit[[#This Row],[TuoteID]],ohjaus!$A$4:$B$20,2,FALSE)</f>
        <v>Rahi</v>
      </c>
    </row>
    <row r="3765" spans="1:8" x14ac:dyDescent="0.35">
      <c r="A3765" t="s">
        <v>40</v>
      </c>
      <c r="B3765">
        <v>2016</v>
      </c>
      <c r="C3765">
        <v>8</v>
      </c>
      <c r="D3765">
        <v>17892</v>
      </c>
      <c r="E3765">
        <v>99</v>
      </c>
      <c r="F3765">
        <v>14505.59</v>
      </c>
      <c r="G3765">
        <v>3969.33</v>
      </c>
      <c r="H3765" t="str">
        <f>VLOOKUP(myynnit[[#This Row],[TuoteID]],ohjaus!$A$4:$B$20,2,FALSE)</f>
        <v>Lepotuoli</v>
      </c>
    </row>
    <row r="3766" spans="1:8" x14ac:dyDescent="0.35">
      <c r="A3766" t="s">
        <v>40</v>
      </c>
      <c r="B3766">
        <v>2016</v>
      </c>
      <c r="C3766">
        <v>8</v>
      </c>
      <c r="D3766">
        <v>18342</v>
      </c>
      <c r="E3766">
        <v>20</v>
      </c>
      <c r="F3766">
        <v>16331.08</v>
      </c>
      <c r="G3766">
        <v>4889.74</v>
      </c>
      <c r="H3766" t="str">
        <f>VLOOKUP(myynnit[[#This Row],[TuoteID]],ohjaus!$A$4:$B$20,2,FALSE)</f>
        <v>Työtuoli</v>
      </c>
    </row>
    <row r="3767" spans="1:8" x14ac:dyDescent="0.35">
      <c r="A3767" t="s">
        <v>40</v>
      </c>
      <c r="B3767">
        <v>2016</v>
      </c>
      <c r="C3767">
        <v>8</v>
      </c>
      <c r="D3767">
        <v>20177</v>
      </c>
      <c r="E3767">
        <v>12</v>
      </c>
      <c r="F3767">
        <v>1218.1400000000001</v>
      </c>
      <c r="G3767">
        <v>538.33000000000004</v>
      </c>
      <c r="H3767" t="str">
        <f>VLOOKUP(myynnit[[#This Row],[TuoteID]],ohjaus!$A$4:$B$20,2,FALSE)</f>
        <v>Säkkituoli</v>
      </c>
    </row>
    <row r="3768" spans="1:8" x14ac:dyDescent="0.35">
      <c r="A3768" t="s">
        <v>40</v>
      </c>
      <c r="B3768">
        <v>2016</v>
      </c>
      <c r="C3768">
        <v>8</v>
      </c>
      <c r="D3768">
        <v>21179</v>
      </c>
      <c r="E3768">
        <v>33</v>
      </c>
      <c r="F3768">
        <v>3760.41</v>
      </c>
      <c r="G3768">
        <v>2231.3000000000002</v>
      </c>
      <c r="H3768" t="str">
        <f>VLOOKUP(myynnit[[#This Row],[TuoteID]],ohjaus!$A$4:$B$20,2,FALSE)</f>
        <v>Rahi</v>
      </c>
    </row>
    <row r="3769" spans="1:8" x14ac:dyDescent="0.35">
      <c r="A3769" t="s">
        <v>40</v>
      </c>
      <c r="B3769">
        <v>2016</v>
      </c>
      <c r="C3769">
        <v>8</v>
      </c>
      <c r="D3769">
        <v>21260</v>
      </c>
      <c r="E3769">
        <v>56</v>
      </c>
      <c r="F3769">
        <v>9659.77</v>
      </c>
      <c r="G3769">
        <v>2406.9499999999998</v>
      </c>
      <c r="H3769" t="str">
        <f>VLOOKUP(myynnit[[#This Row],[TuoteID]],ohjaus!$A$4:$B$20,2,FALSE)</f>
        <v>Lepotuoli</v>
      </c>
    </row>
    <row r="3770" spans="1:8" x14ac:dyDescent="0.35">
      <c r="A3770" t="s">
        <v>40</v>
      </c>
      <c r="B3770">
        <v>2016</v>
      </c>
      <c r="C3770">
        <v>8</v>
      </c>
      <c r="D3770">
        <v>22317</v>
      </c>
      <c r="E3770">
        <v>8</v>
      </c>
      <c r="F3770">
        <v>781.03</v>
      </c>
      <c r="G3770">
        <v>334.09</v>
      </c>
      <c r="H3770" t="str">
        <f>VLOOKUP(myynnit[[#This Row],[TuoteID]],ohjaus!$A$4:$B$20,2,FALSE)</f>
        <v>Säkkituoli</v>
      </c>
    </row>
    <row r="3771" spans="1:8" x14ac:dyDescent="0.35">
      <c r="A3771" t="s">
        <v>40</v>
      </c>
      <c r="B3771">
        <v>2016</v>
      </c>
      <c r="C3771">
        <v>8</v>
      </c>
      <c r="D3771">
        <v>22940</v>
      </c>
      <c r="E3771">
        <v>167</v>
      </c>
      <c r="F3771">
        <v>22903.119999999999</v>
      </c>
      <c r="G3771">
        <v>6296.81</v>
      </c>
      <c r="H3771" t="str">
        <f>VLOOKUP(myynnit[[#This Row],[TuoteID]],ohjaus!$A$4:$B$20,2,FALSE)</f>
        <v>Pinnatuoli</v>
      </c>
    </row>
    <row r="3772" spans="1:8" x14ac:dyDescent="0.35">
      <c r="A3772" t="s">
        <v>40</v>
      </c>
      <c r="B3772">
        <v>2016</v>
      </c>
      <c r="C3772">
        <v>8</v>
      </c>
      <c r="D3772">
        <v>23178</v>
      </c>
      <c r="E3772">
        <v>123</v>
      </c>
      <c r="F3772">
        <v>19913.12</v>
      </c>
      <c r="G3772">
        <v>4736.08</v>
      </c>
      <c r="H3772" t="str">
        <f>VLOOKUP(myynnit[[#This Row],[TuoteID]],ohjaus!$A$4:$B$20,2,FALSE)</f>
        <v>Pinnatuoli</v>
      </c>
    </row>
    <row r="3773" spans="1:8" x14ac:dyDescent="0.35">
      <c r="A3773" t="s">
        <v>40</v>
      </c>
      <c r="B3773">
        <v>2016</v>
      </c>
      <c r="C3773">
        <v>8</v>
      </c>
      <c r="D3773">
        <v>23600</v>
      </c>
      <c r="E3773">
        <v>647</v>
      </c>
      <c r="F3773">
        <v>79961.850000000006</v>
      </c>
      <c r="G3773">
        <v>22147.05</v>
      </c>
      <c r="H3773" t="str">
        <f>VLOOKUP(myynnit[[#This Row],[TuoteID]],ohjaus!$A$4:$B$20,2,FALSE)</f>
        <v>Pinnatuoli</v>
      </c>
    </row>
    <row r="3774" spans="1:8" x14ac:dyDescent="0.35">
      <c r="A3774" t="s">
        <v>40</v>
      </c>
      <c r="B3774">
        <v>2016</v>
      </c>
      <c r="C3774">
        <v>8</v>
      </c>
      <c r="D3774">
        <v>23756</v>
      </c>
      <c r="E3774">
        <v>66</v>
      </c>
      <c r="F3774">
        <v>12409.78</v>
      </c>
      <c r="G3774">
        <v>6100.23</v>
      </c>
      <c r="H3774" t="str">
        <f>VLOOKUP(myynnit[[#This Row],[TuoteID]],ohjaus!$A$4:$B$20,2,FALSE)</f>
        <v>Pianotuoli</v>
      </c>
    </row>
    <row r="3775" spans="1:8" x14ac:dyDescent="0.35">
      <c r="A3775" t="s">
        <v>40</v>
      </c>
      <c r="B3775">
        <v>2016</v>
      </c>
      <c r="C3775">
        <v>8</v>
      </c>
      <c r="D3775">
        <v>24326</v>
      </c>
      <c r="E3775">
        <v>40</v>
      </c>
      <c r="F3775">
        <v>5549.28</v>
      </c>
      <c r="G3775">
        <v>1605.03</v>
      </c>
      <c r="H3775" t="str">
        <f>VLOOKUP(myynnit[[#This Row],[TuoteID]],ohjaus!$A$4:$B$20,2,FALSE)</f>
        <v>Lepotuoli</v>
      </c>
    </row>
    <row r="3776" spans="1:8" x14ac:dyDescent="0.35">
      <c r="A3776" t="s">
        <v>39</v>
      </c>
      <c r="B3776">
        <v>2016</v>
      </c>
      <c r="C3776">
        <v>8</v>
      </c>
      <c r="D3776">
        <v>12184</v>
      </c>
      <c r="E3776">
        <v>104</v>
      </c>
      <c r="F3776">
        <v>13802.89</v>
      </c>
      <c r="G3776">
        <v>8380.5400000000009</v>
      </c>
      <c r="H3776" t="str">
        <f>VLOOKUP(myynnit[[#This Row],[TuoteID]],ohjaus!$A$4:$B$20,2,FALSE)</f>
        <v>Rahi</v>
      </c>
    </row>
    <row r="3777" spans="1:8" x14ac:dyDescent="0.35">
      <c r="A3777" t="s">
        <v>39</v>
      </c>
      <c r="B3777">
        <v>2016</v>
      </c>
      <c r="C3777">
        <v>8</v>
      </c>
      <c r="D3777">
        <v>12622</v>
      </c>
      <c r="E3777">
        <v>26</v>
      </c>
      <c r="F3777">
        <v>8366.07</v>
      </c>
      <c r="G3777">
        <v>5378.68</v>
      </c>
      <c r="H3777" t="str">
        <f>VLOOKUP(myynnit[[#This Row],[TuoteID]],ohjaus!$A$4:$B$20,2,FALSE)</f>
        <v>Pianotuoli</v>
      </c>
    </row>
    <row r="3778" spans="1:8" x14ac:dyDescent="0.35">
      <c r="A3778" t="s">
        <v>39</v>
      </c>
      <c r="B3778">
        <v>2016</v>
      </c>
      <c r="C3778">
        <v>8</v>
      </c>
      <c r="D3778">
        <v>13527</v>
      </c>
      <c r="E3778">
        <v>205</v>
      </c>
      <c r="F3778">
        <v>33547.57</v>
      </c>
      <c r="G3778">
        <v>7905.79</v>
      </c>
      <c r="H3778" t="str">
        <f>VLOOKUP(myynnit[[#This Row],[TuoteID]],ohjaus!$A$4:$B$20,2,FALSE)</f>
        <v>Pinnatuoli</v>
      </c>
    </row>
    <row r="3779" spans="1:8" x14ac:dyDescent="0.35">
      <c r="A3779" t="s">
        <v>39</v>
      </c>
      <c r="B3779">
        <v>2016</v>
      </c>
      <c r="C3779">
        <v>8</v>
      </c>
      <c r="D3779">
        <v>13618</v>
      </c>
      <c r="E3779">
        <v>23</v>
      </c>
      <c r="F3779">
        <v>9401.0300000000007</v>
      </c>
      <c r="G3779">
        <v>5307.6</v>
      </c>
      <c r="H3779" t="str">
        <f>VLOOKUP(myynnit[[#This Row],[TuoteID]],ohjaus!$A$4:$B$20,2,FALSE)</f>
        <v>Pianotuoli</v>
      </c>
    </row>
    <row r="3780" spans="1:8" x14ac:dyDescent="0.35">
      <c r="A3780" t="s">
        <v>39</v>
      </c>
      <c r="B3780">
        <v>2016</v>
      </c>
      <c r="C3780">
        <v>8</v>
      </c>
      <c r="D3780">
        <v>16024</v>
      </c>
      <c r="E3780">
        <v>191</v>
      </c>
      <c r="F3780">
        <v>85418.84</v>
      </c>
      <c r="G3780">
        <v>27099.8</v>
      </c>
      <c r="H3780" t="str">
        <f>VLOOKUP(myynnit[[#This Row],[TuoteID]],ohjaus!$A$4:$B$20,2,FALSE)</f>
        <v>Työtuoli</v>
      </c>
    </row>
    <row r="3781" spans="1:8" x14ac:dyDescent="0.35">
      <c r="A3781" t="s">
        <v>39</v>
      </c>
      <c r="B3781">
        <v>2016</v>
      </c>
      <c r="C3781">
        <v>8</v>
      </c>
      <c r="D3781">
        <v>16650</v>
      </c>
      <c r="E3781">
        <v>20</v>
      </c>
      <c r="F3781">
        <v>3838.23</v>
      </c>
      <c r="G3781">
        <v>2312.98</v>
      </c>
      <c r="H3781" t="str">
        <f>VLOOKUP(myynnit[[#This Row],[TuoteID]],ohjaus!$A$4:$B$20,2,FALSE)</f>
        <v>Rahi</v>
      </c>
    </row>
    <row r="3782" spans="1:8" x14ac:dyDescent="0.35">
      <c r="A3782" t="s">
        <v>39</v>
      </c>
      <c r="B3782">
        <v>2016</v>
      </c>
      <c r="C3782">
        <v>8</v>
      </c>
      <c r="D3782">
        <v>17892</v>
      </c>
      <c r="E3782">
        <v>102</v>
      </c>
      <c r="F3782">
        <v>15573.03</v>
      </c>
      <c r="G3782">
        <v>5266.8</v>
      </c>
      <c r="H3782" t="str">
        <f>VLOOKUP(myynnit[[#This Row],[TuoteID]],ohjaus!$A$4:$B$20,2,FALSE)</f>
        <v>Lepotuoli</v>
      </c>
    </row>
    <row r="3783" spans="1:8" x14ac:dyDescent="0.35">
      <c r="A3783" t="s">
        <v>39</v>
      </c>
      <c r="B3783">
        <v>2016</v>
      </c>
      <c r="C3783">
        <v>8</v>
      </c>
      <c r="D3783">
        <v>18342</v>
      </c>
      <c r="E3783">
        <v>90</v>
      </c>
      <c r="F3783">
        <v>70665.42</v>
      </c>
      <c r="G3783">
        <v>17784.759999999998</v>
      </c>
      <c r="H3783" t="str">
        <f>VLOOKUP(myynnit[[#This Row],[TuoteID]],ohjaus!$A$4:$B$20,2,FALSE)</f>
        <v>Työtuoli</v>
      </c>
    </row>
    <row r="3784" spans="1:8" x14ac:dyDescent="0.35">
      <c r="A3784" t="s">
        <v>39</v>
      </c>
      <c r="B3784">
        <v>2016</v>
      </c>
      <c r="C3784">
        <v>8</v>
      </c>
      <c r="D3784">
        <v>20177</v>
      </c>
      <c r="E3784">
        <v>88</v>
      </c>
      <c r="F3784">
        <v>10537.73</v>
      </c>
      <c r="G3784">
        <v>5516.53</v>
      </c>
      <c r="H3784" t="str">
        <f>VLOOKUP(myynnit[[#This Row],[TuoteID]],ohjaus!$A$4:$B$20,2,FALSE)</f>
        <v>Säkkituoli</v>
      </c>
    </row>
    <row r="3785" spans="1:8" x14ac:dyDescent="0.35">
      <c r="A3785" t="s">
        <v>39</v>
      </c>
      <c r="B3785">
        <v>2016</v>
      </c>
      <c r="C3785">
        <v>8</v>
      </c>
      <c r="D3785">
        <v>21179</v>
      </c>
      <c r="E3785">
        <v>49</v>
      </c>
      <c r="F3785">
        <v>8014.18</v>
      </c>
      <c r="G3785">
        <v>4869.67</v>
      </c>
      <c r="H3785" t="str">
        <f>VLOOKUP(myynnit[[#This Row],[TuoteID]],ohjaus!$A$4:$B$20,2,FALSE)</f>
        <v>Rahi</v>
      </c>
    </row>
    <row r="3786" spans="1:8" x14ac:dyDescent="0.35">
      <c r="A3786" t="s">
        <v>39</v>
      </c>
      <c r="B3786">
        <v>2016</v>
      </c>
      <c r="C3786">
        <v>8</v>
      </c>
      <c r="D3786">
        <v>21260</v>
      </c>
      <c r="E3786">
        <v>48</v>
      </c>
      <c r="F3786">
        <v>10294.32</v>
      </c>
      <c r="G3786">
        <v>3632.94</v>
      </c>
      <c r="H3786" t="str">
        <f>VLOOKUP(myynnit[[#This Row],[TuoteID]],ohjaus!$A$4:$B$20,2,FALSE)</f>
        <v>Lepotuoli</v>
      </c>
    </row>
    <row r="3787" spans="1:8" x14ac:dyDescent="0.35">
      <c r="A3787" t="s">
        <v>39</v>
      </c>
      <c r="B3787">
        <v>2016</v>
      </c>
      <c r="C3787">
        <v>8</v>
      </c>
      <c r="D3787">
        <v>22317</v>
      </c>
      <c r="E3787">
        <v>29</v>
      </c>
      <c r="F3787">
        <v>2774.28</v>
      </c>
      <c r="G3787">
        <v>1161.28</v>
      </c>
      <c r="H3787" t="str">
        <f>VLOOKUP(myynnit[[#This Row],[TuoteID]],ohjaus!$A$4:$B$20,2,FALSE)</f>
        <v>Säkkituoli</v>
      </c>
    </row>
    <row r="3788" spans="1:8" x14ac:dyDescent="0.35">
      <c r="A3788" t="s">
        <v>39</v>
      </c>
      <c r="B3788">
        <v>2016</v>
      </c>
      <c r="C3788">
        <v>8</v>
      </c>
      <c r="D3788">
        <v>22940</v>
      </c>
      <c r="E3788">
        <v>754</v>
      </c>
      <c r="F3788">
        <v>93549</v>
      </c>
      <c r="G3788">
        <v>23785.759999999998</v>
      </c>
      <c r="H3788" t="str">
        <f>VLOOKUP(myynnit[[#This Row],[TuoteID]],ohjaus!$A$4:$B$20,2,FALSE)</f>
        <v>Pinnatuoli</v>
      </c>
    </row>
    <row r="3789" spans="1:8" x14ac:dyDescent="0.35">
      <c r="A3789" t="s">
        <v>39</v>
      </c>
      <c r="B3789">
        <v>2016</v>
      </c>
      <c r="C3789">
        <v>8</v>
      </c>
      <c r="D3789">
        <v>23178</v>
      </c>
      <c r="E3789">
        <v>258</v>
      </c>
      <c r="F3789">
        <v>50248.800000000003</v>
      </c>
      <c r="G3789">
        <v>13748.43</v>
      </c>
      <c r="H3789" t="str">
        <f>VLOOKUP(myynnit[[#This Row],[TuoteID]],ohjaus!$A$4:$B$20,2,FALSE)</f>
        <v>Pinnatuoli</v>
      </c>
    </row>
    <row r="3790" spans="1:8" x14ac:dyDescent="0.35">
      <c r="A3790" t="s">
        <v>39</v>
      </c>
      <c r="B3790">
        <v>2016</v>
      </c>
      <c r="C3790">
        <v>8</v>
      </c>
      <c r="D3790">
        <v>23600</v>
      </c>
      <c r="E3790">
        <v>1056</v>
      </c>
      <c r="F3790">
        <v>109487.48</v>
      </c>
      <c r="G3790">
        <v>35858.79</v>
      </c>
      <c r="H3790" t="str">
        <f>VLOOKUP(myynnit[[#This Row],[TuoteID]],ohjaus!$A$4:$B$20,2,FALSE)</f>
        <v>Pinnatuoli</v>
      </c>
    </row>
    <row r="3791" spans="1:8" x14ac:dyDescent="0.35">
      <c r="A3791" t="s">
        <v>39</v>
      </c>
      <c r="B3791">
        <v>2016</v>
      </c>
      <c r="C3791">
        <v>8</v>
      </c>
      <c r="D3791">
        <v>23756</v>
      </c>
      <c r="E3791">
        <v>51</v>
      </c>
      <c r="F3791">
        <v>7617.42</v>
      </c>
      <c r="G3791">
        <v>4468.12</v>
      </c>
      <c r="H3791" t="str">
        <f>VLOOKUP(myynnit[[#This Row],[TuoteID]],ohjaus!$A$4:$B$20,2,FALSE)</f>
        <v>Pianotuoli</v>
      </c>
    </row>
    <row r="3792" spans="1:8" x14ac:dyDescent="0.35">
      <c r="A3792" t="s">
        <v>39</v>
      </c>
      <c r="B3792">
        <v>2016</v>
      </c>
      <c r="C3792">
        <v>8</v>
      </c>
      <c r="D3792">
        <v>24326</v>
      </c>
      <c r="E3792">
        <v>59</v>
      </c>
      <c r="F3792">
        <v>8020.61</v>
      </c>
      <c r="G3792">
        <v>2792.41</v>
      </c>
      <c r="H3792" t="str">
        <f>VLOOKUP(myynnit[[#This Row],[TuoteID]],ohjaus!$A$4:$B$20,2,FALSE)</f>
        <v>Lepotuoli</v>
      </c>
    </row>
    <row r="3793" spans="1:8" x14ac:dyDescent="0.35">
      <c r="A3793" t="s">
        <v>38</v>
      </c>
      <c r="B3793">
        <v>2016</v>
      </c>
      <c r="C3793">
        <v>8</v>
      </c>
      <c r="D3793">
        <v>12184</v>
      </c>
      <c r="E3793">
        <v>62</v>
      </c>
      <c r="F3793">
        <v>7645.66</v>
      </c>
      <c r="G3793">
        <v>3796.75</v>
      </c>
      <c r="H3793" t="str">
        <f>VLOOKUP(myynnit[[#This Row],[TuoteID]],ohjaus!$A$4:$B$20,2,FALSE)</f>
        <v>Rahi</v>
      </c>
    </row>
    <row r="3794" spans="1:8" x14ac:dyDescent="0.35">
      <c r="A3794" t="s">
        <v>38</v>
      </c>
      <c r="B3794">
        <v>2016</v>
      </c>
      <c r="C3794">
        <v>8</v>
      </c>
      <c r="D3794">
        <v>12622</v>
      </c>
      <c r="E3794">
        <v>51</v>
      </c>
      <c r="F3794">
        <v>12300.38</v>
      </c>
      <c r="G3794">
        <v>6430.31</v>
      </c>
      <c r="H3794" t="str">
        <f>VLOOKUP(myynnit[[#This Row],[TuoteID]],ohjaus!$A$4:$B$20,2,FALSE)</f>
        <v>Pianotuoli</v>
      </c>
    </row>
    <row r="3795" spans="1:8" x14ac:dyDescent="0.35">
      <c r="A3795" t="s">
        <v>38</v>
      </c>
      <c r="B3795">
        <v>2016</v>
      </c>
      <c r="C3795">
        <v>8</v>
      </c>
      <c r="D3795">
        <v>13527</v>
      </c>
      <c r="E3795">
        <v>248</v>
      </c>
      <c r="F3795">
        <v>39790.870000000003</v>
      </c>
      <c r="G3795">
        <v>7464.23</v>
      </c>
      <c r="H3795" t="str">
        <f>VLOOKUP(myynnit[[#This Row],[TuoteID]],ohjaus!$A$4:$B$20,2,FALSE)</f>
        <v>Pinnatuoli</v>
      </c>
    </row>
    <row r="3796" spans="1:8" x14ac:dyDescent="0.35">
      <c r="A3796" t="s">
        <v>38</v>
      </c>
      <c r="B3796">
        <v>2016</v>
      </c>
      <c r="C3796">
        <v>8</v>
      </c>
      <c r="D3796">
        <v>13618</v>
      </c>
      <c r="E3796">
        <v>15</v>
      </c>
      <c r="F3796">
        <v>6320.25</v>
      </c>
      <c r="G3796">
        <v>3118.98</v>
      </c>
      <c r="H3796" t="str">
        <f>VLOOKUP(myynnit[[#This Row],[TuoteID]],ohjaus!$A$4:$B$20,2,FALSE)</f>
        <v>Pianotuoli</v>
      </c>
    </row>
    <row r="3797" spans="1:8" x14ac:dyDescent="0.35">
      <c r="A3797" t="s">
        <v>38</v>
      </c>
      <c r="B3797">
        <v>2016</v>
      </c>
      <c r="C3797">
        <v>8</v>
      </c>
      <c r="D3797">
        <v>16024</v>
      </c>
      <c r="E3797">
        <v>219</v>
      </c>
      <c r="F3797">
        <v>93078.62</v>
      </c>
      <c r="G3797">
        <v>20943.52</v>
      </c>
      <c r="H3797" t="str">
        <f>VLOOKUP(myynnit[[#This Row],[TuoteID]],ohjaus!$A$4:$B$20,2,FALSE)</f>
        <v>Työtuoli</v>
      </c>
    </row>
    <row r="3798" spans="1:8" x14ac:dyDescent="0.35">
      <c r="A3798" t="s">
        <v>38</v>
      </c>
      <c r="B3798">
        <v>2016</v>
      </c>
      <c r="C3798">
        <v>8</v>
      </c>
      <c r="D3798">
        <v>16650</v>
      </c>
      <c r="E3798">
        <v>54</v>
      </c>
      <c r="F3798">
        <v>9085.02</v>
      </c>
      <c r="G3798">
        <v>4763.6000000000004</v>
      </c>
      <c r="H3798" t="str">
        <f>VLOOKUP(myynnit[[#This Row],[TuoteID]],ohjaus!$A$4:$B$20,2,FALSE)</f>
        <v>Rahi</v>
      </c>
    </row>
    <row r="3799" spans="1:8" x14ac:dyDescent="0.35">
      <c r="A3799" t="s">
        <v>38</v>
      </c>
      <c r="B3799">
        <v>2016</v>
      </c>
      <c r="C3799">
        <v>8</v>
      </c>
      <c r="D3799">
        <v>17892</v>
      </c>
      <c r="E3799">
        <v>103</v>
      </c>
      <c r="F3799">
        <v>15724.67</v>
      </c>
      <c r="G3799">
        <v>3533.65</v>
      </c>
      <c r="H3799" t="str">
        <f>VLOOKUP(myynnit[[#This Row],[TuoteID]],ohjaus!$A$4:$B$20,2,FALSE)</f>
        <v>Lepotuoli</v>
      </c>
    </row>
    <row r="3800" spans="1:8" x14ac:dyDescent="0.35">
      <c r="A3800" t="s">
        <v>38</v>
      </c>
      <c r="B3800">
        <v>2016</v>
      </c>
      <c r="C3800">
        <v>8</v>
      </c>
      <c r="D3800">
        <v>18342</v>
      </c>
      <c r="E3800">
        <v>203</v>
      </c>
      <c r="F3800">
        <v>181674.5</v>
      </c>
      <c r="G3800">
        <v>48139</v>
      </c>
      <c r="H3800" t="str">
        <f>VLOOKUP(myynnit[[#This Row],[TuoteID]],ohjaus!$A$4:$B$20,2,FALSE)</f>
        <v>Työtuoli</v>
      </c>
    </row>
    <row r="3801" spans="1:8" x14ac:dyDescent="0.35">
      <c r="A3801" t="s">
        <v>38</v>
      </c>
      <c r="B3801">
        <v>2016</v>
      </c>
      <c r="C3801">
        <v>8</v>
      </c>
      <c r="D3801">
        <v>20177</v>
      </c>
      <c r="E3801">
        <v>66</v>
      </c>
      <c r="F3801">
        <v>7248.84</v>
      </c>
      <c r="G3801">
        <v>2560</v>
      </c>
      <c r="H3801" t="str">
        <f>VLOOKUP(myynnit[[#This Row],[TuoteID]],ohjaus!$A$4:$B$20,2,FALSE)</f>
        <v>Säkkituoli</v>
      </c>
    </row>
    <row r="3802" spans="1:8" x14ac:dyDescent="0.35">
      <c r="A3802" t="s">
        <v>38</v>
      </c>
      <c r="B3802">
        <v>2016</v>
      </c>
      <c r="C3802">
        <v>8</v>
      </c>
      <c r="D3802">
        <v>21179</v>
      </c>
      <c r="E3802">
        <v>64</v>
      </c>
      <c r="F3802">
        <v>7341.87</v>
      </c>
      <c r="G3802">
        <v>4166.1499999999996</v>
      </c>
      <c r="H3802" t="str">
        <f>VLOOKUP(myynnit[[#This Row],[TuoteID]],ohjaus!$A$4:$B$20,2,FALSE)</f>
        <v>Rahi</v>
      </c>
    </row>
    <row r="3803" spans="1:8" x14ac:dyDescent="0.35">
      <c r="A3803" t="s">
        <v>38</v>
      </c>
      <c r="B3803">
        <v>2016</v>
      </c>
      <c r="C3803">
        <v>8</v>
      </c>
      <c r="D3803">
        <v>21260</v>
      </c>
      <c r="E3803">
        <v>39</v>
      </c>
      <c r="F3803">
        <v>7315.39</v>
      </c>
      <c r="G3803">
        <v>1782.99</v>
      </c>
      <c r="H3803" t="str">
        <f>VLOOKUP(myynnit[[#This Row],[TuoteID]],ohjaus!$A$4:$B$20,2,FALSE)</f>
        <v>Lepotuoli</v>
      </c>
    </row>
    <row r="3804" spans="1:8" x14ac:dyDescent="0.35">
      <c r="A3804" t="s">
        <v>38</v>
      </c>
      <c r="B3804">
        <v>2016</v>
      </c>
      <c r="C3804">
        <v>8</v>
      </c>
      <c r="D3804">
        <v>22317</v>
      </c>
      <c r="E3804">
        <v>48</v>
      </c>
      <c r="F3804">
        <v>3584.52</v>
      </c>
      <c r="G3804">
        <v>1268.19</v>
      </c>
      <c r="H3804" t="str">
        <f>VLOOKUP(myynnit[[#This Row],[TuoteID]],ohjaus!$A$4:$B$20,2,FALSE)</f>
        <v>Säkkituoli</v>
      </c>
    </row>
    <row r="3805" spans="1:8" x14ac:dyDescent="0.35">
      <c r="A3805" t="s">
        <v>38</v>
      </c>
      <c r="B3805">
        <v>2016</v>
      </c>
      <c r="C3805">
        <v>8</v>
      </c>
      <c r="D3805">
        <v>22940</v>
      </c>
      <c r="E3805">
        <v>290</v>
      </c>
      <c r="F3805">
        <v>37811.24</v>
      </c>
      <c r="G3805">
        <v>7661.21</v>
      </c>
      <c r="H3805" t="str">
        <f>VLOOKUP(myynnit[[#This Row],[TuoteID]],ohjaus!$A$4:$B$20,2,FALSE)</f>
        <v>Pinnatuoli</v>
      </c>
    </row>
    <row r="3806" spans="1:8" x14ac:dyDescent="0.35">
      <c r="A3806" t="s">
        <v>38</v>
      </c>
      <c r="B3806">
        <v>2016</v>
      </c>
      <c r="C3806">
        <v>8</v>
      </c>
      <c r="D3806">
        <v>23178</v>
      </c>
      <c r="E3806">
        <v>148</v>
      </c>
      <c r="F3806">
        <v>26727.15</v>
      </c>
      <c r="G3806">
        <v>5753.66</v>
      </c>
      <c r="H3806" t="str">
        <f>VLOOKUP(myynnit[[#This Row],[TuoteID]],ohjaus!$A$4:$B$20,2,FALSE)</f>
        <v>Pinnatuoli</v>
      </c>
    </row>
    <row r="3807" spans="1:8" x14ac:dyDescent="0.35">
      <c r="A3807" t="s">
        <v>38</v>
      </c>
      <c r="B3807">
        <v>2016</v>
      </c>
      <c r="C3807">
        <v>8</v>
      </c>
      <c r="D3807">
        <v>23600</v>
      </c>
      <c r="E3807">
        <v>508</v>
      </c>
      <c r="F3807">
        <v>55762.83</v>
      </c>
      <c r="G3807">
        <v>11269.32</v>
      </c>
      <c r="H3807" t="str">
        <f>VLOOKUP(myynnit[[#This Row],[TuoteID]],ohjaus!$A$4:$B$20,2,FALSE)</f>
        <v>Pinnatuoli</v>
      </c>
    </row>
    <row r="3808" spans="1:8" x14ac:dyDescent="0.35">
      <c r="A3808" t="s">
        <v>38</v>
      </c>
      <c r="B3808">
        <v>2016</v>
      </c>
      <c r="C3808">
        <v>8</v>
      </c>
      <c r="D3808">
        <v>23756</v>
      </c>
      <c r="E3808">
        <v>142</v>
      </c>
      <c r="F3808">
        <v>27526.06</v>
      </c>
      <c r="G3808">
        <v>14023.84</v>
      </c>
      <c r="H3808" t="str">
        <f>VLOOKUP(myynnit[[#This Row],[TuoteID]],ohjaus!$A$4:$B$20,2,FALSE)</f>
        <v>Pianotuoli</v>
      </c>
    </row>
    <row r="3809" spans="1:8" x14ac:dyDescent="0.35">
      <c r="A3809" t="s">
        <v>38</v>
      </c>
      <c r="B3809">
        <v>2016</v>
      </c>
      <c r="C3809">
        <v>8</v>
      </c>
      <c r="D3809">
        <v>24326</v>
      </c>
      <c r="E3809">
        <v>143</v>
      </c>
      <c r="F3809">
        <v>21303.33</v>
      </c>
      <c r="G3809">
        <v>4811.43</v>
      </c>
      <c r="H3809" t="str">
        <f>VLOOKUP(myynnit[[#This Row],[TuoteID]],ohjaus!$A$4:$B$20,2,FALSE)</f>
        <v>Lepotuoli</v>
      </c>
    </row>
    <row r="3810" spans="1:8" x14ac:dyDescent="0.35">
      <c r="A3810" t="s">
        <v>37</v>
      </c>
      <c r="B3810">
        <v>2016</v>
      </c>
      <c r="C3810">
        <v>9</v>
      </c>
      <c r="D3810">
        <v>12184</v>
      </c>
      <c r="E3810">
        <v>46</v>
      </c>
      <c r="F3810">
        <v>5246.48</v>
      </c>
      <c r="G3810">
        <v>2670.29</v>
      </c>
      <c r="H3810" t="str">
        <f>VLOOKUP(myynnit[[#This Row],[TuoteID]],ohjaus!$A$4:$B$20,2,FALSE)</f>
        <v>Rahi</v>
      </c>
    </row>
    <row r="3811" spans="1:8" x14ac:dyDescent="0.35">
      <c r="A3811" t="s">
        <v>37</v>
      </c>
      <c r="B3811">
        <v>2016</v>
      </c>
      <c r="C3811">
        <v>9</v>
      </c>
      <c r="D3811">
        <v>12622</v>
      </c>
      <c r="E3811">
        <v>81</v>
      </c>
      <c r="F3811">
        <v>20045.02</v>
      </c>
      <c r="G3811">
        <v>9881.42</v>
      </c>
      <c r="H3811" t="str">
        <f>VLOOKUP(myynnit[[#This Row],[TuoteID]],ohjaus!$A$4:$B$20,2,FALSE)</f>
        <v>Pianotuoli</v>
      </c>
    </row>
    <row r="3812" spans="1:8" x14ac:dyDescent="0.35">
      <c r="A3812" t="s">
        <v>37</v>
      </c>
      <c r="B3812">
        <v>2016</v>
      </c>
      <c r="C3812">
        <v>9</v>
      </c>
      <c r="D3812">
        <v>13527</v>
      </c>
      <c r="E3812">
        <v>627</v>
      </c>
      <c r="F3812">
        <v>108272.74</v>
      </c>
      <c r="G3812">
        <v>22569.35</v>
      </c>
      <c r="H3812" t="str">
        <f>VLOOKUP(myynnit[[#This Row],[TuoteID]],ohjaus!$A$4:$B$20,2,FALSE)</f>
        <v>Pinnatuoli</v>
      </c>
    </row>
    <row r="3813" spans="1:8" x14ac:dyDescent="0.35">
      <c r="A3813" t="s">
        <v>37</v>
      </c>
      <c r="B3813">
        <v>2016</v>
      </c>
      <c r="C3813">
        <v>9</v>
      </c>
      <c r="D3813">
        <v>13618</v>
      </c>
      <c r="E3813">
        <v>32</v>
      </c>
      <c r="F3813">
        <v>13770.25</v>
      </c>
      <c r="G3813">
        <v>6084</v>
      </c>
      <c r="H3813" t="str">
        <f>VLOOKUP(myynnit[[#This Row],[TuoteID]],ohjaus!$A$4:$B$20,2,FALSE)</f>
        <v>Pianotuoli</v>
      </c>
    </row>
    <row r="3814" spans="1:8" x14ac:dyDescent="0.35">
      <c r="A3814" t="s">
        <v>37</v>
      </c>
      <c r="B3814">
        <v>2016</v>
      </c>
      <c r="C3814">
        <v>9</v>
      </c>
      <c r="D3814">
        <v>16024</v>
      </c>
      <c r="E3814">
        <v>221</v>
      </c>
      <c r="F3814">
        <v>106732.3</v>
      </c>
      <c r="G3814">
        <v>26921.48</v>
      </c>
      <c r="H3814" t="str">
        <f>VLOOKUP(myynnit[[#This Row],[TuoteID]],ohjaus!$A$4:$B$20,2,FALSE)</f>
        <v>Työtuoli</v>
      </c>
    </row>
    <row r="3815" spans="1:8" x14ac:dyDescent="0.35">
      <c r="A3815" t="s">
        <v>37</v>
      </c>
      <c r="B3815">
        <v>2016</v>
      </c>
      <c r="C3815">
        <v>9</v>
      </c>
      <c r="D3815">
        <v>16650</v>
      </c>
      <c r="E3815">
        <v>60</v>
      </c>
      <c r="F3815">
        <v>9454.9</v>
      </c>
      <c r="G3815">
        <v>4727.34</v>
      </c>
      <c r="H3815" t="str">
        <f>VLOOKUP(myynnit[[#This Row],[TuoteID]],ohjaus!$A$4:$B$20,2,FALSE)</f>
        <v>Rahi</v>
      </c>
    </row>
    <row r="3816" spans="1:8" x14ac:dyDescent="0.35">
      <c r="A3816" t="s">
        <v>37</v>
      </c>
      <c r="B3816">
        <v>2016</v>
      </c>
      <c r="C3816">
        <v>9</v>
      </c>
      <c r="D3816">
        <v>17892</v>
      </c>
      <c r="E3816">
        <v>126</v>
      </c>
      <c r="F3816">
        <v>15933.84</v>
      </c>
      <c r="G3816">
        <v>4904.3500000000004</v>
      </c>
      <c r="H3816" t="str">
        <f>VLOOKUP(myynnit[[#This Row],[TuoteID]],ohjaus!$A$4:$B$20,2,FALSE)</f>
        <v>Lepotuoli</v>
      </c>
    </row>
    <row r="3817" spans="1:8" x14ac:dyDescent="0.35">
      <c r="A3817" t="s">
        <v>37</v>
      </c>
      <c r="B3817">
        <v>2016</v>
      </c>
      <c r="C3817">
        <v>9</v>
      </c>
      <c r="D3817">
        <v>18342</v>
      </c>
      <c r="E3817">
        <v>139</v>
      </c>
      <c r="F3817">
        <v>104020.57</v>
      </c>
      <c r="G3817">
        <v>26912.35</v>
      </c>
      <c r="H3817" t="str">
        <f>VLOOKUP(myynnit[[#This Row],[TuoteID]],ohjaus!$A$4:$B$20,2,FALSE)</f>
        <v>Työtuoli</v>
      </c>
    </row>
    <row r="3818" spans="1:8" x14ac:dyDescent="0.35">
      <c r="A3818" t="s">
        <v>37</v>
      </c>
      <c r="B3818">
        <v>2016</v>
      </c>
      <c r="C3818">
        <v>9</v>
      </c>
      <c r="D3818">
        <v>20177</v>
      </c>
      <c r="E3818">
        <v>57</v>
      </c>
      <c r="F3818">
        <v>5534.86</v>
      </c>
      <c r="G3818">
        <v>2242.84</v>
      </c>
      <c r="H3818" t="str">
        <f>VLOOKUP(myynnit[[#This Row],[TuoteID]],ohjaus!$A$4:$B$20,2,FALSE)</f>
        <v>Säkkituoli</v>
      </c>
    </row>
    <row r="3819" spans="1:8" x14ac:dyDescent="0.35">
      <c r="A3819" t="s">
        <v>37</v>
      </c>
      <c r="B3819">
        <v>2016</v>
      </c>
      <c r="C3819">
        <v>9</v>
      </c>
      <c r="D3819">
        <v>21179</v>
      </c>
      <c r="E3819">
        <v>73</v>
      </c>
      <c r="F3819">
        <v>7695.97</v>
      </c>
      <c r="G3819">
        <v>3243.94</v>
      </c>
      <c r="H3819" t="str">
        <f>VLOOKUP(myynnit[[#This Row],[TuoteID]],ohjaus!$A$4:$B$20,2,FALSE)</f>
        <v>Rahi</v>
      </c>
    </row>
    <row r="3820" spans="1:8" x14ac:dyDescent="0.35">
      <c r="A3820" t="s">
        <v>37</v>
      </c>
      <c r="B3820">
        <v>2016</v>
      </c>
      <c r="C3820">
        <v>9</v>
      </c>
      <c r="D3820">
        <v>21260</v>
      </c>
      <c r="E3820">
        <v>44</v>
      </c>
      <c r="F3820">
        <v>8541.35</v>
      </c>
      <c r="G3820">
        <v>2318.81</v>
      </c>
      <c r="H3820" t="str">
        <f>VLOOKUP(myynnit[[#This Row],[TuoteID]],ohjaus!$A$4:$B$20,2,FALSE)</f>
        <v>Lepotuoli</v>
      </c>
    </row>
    <row r="3821" spans="1:8" x14ac:dyDescent="0.35">
      <c r="A3821" t="s">
        <v>37</v>
      </c>
      <c r="B3821">
        <v>2016</v>
      </c>
      <c r="C3821">
        <v>9</v>
      </c>
      <c r="D3821">
        <v>22317</v>
      </c>
      <c r="E3821">
        <v>73</v>
      </c>
      <c r="F3821">
        <v>7141.3</v>
      </c>
      <c r="G3821">
        <v>2734.24</v>
      </c>
      <c r="H3821" t="str">
        <f>VLOOKUP(myynnit[[#This Row],[TuoteID]],ohjaus!$A$4:$B$20,2,FALSE)</f>
        <v>Säkkituoli</v>
      </c>
    </row>
    <row r="3822" spans="1:8" x14ac:dyDescent="0.35">
      <c r="A3822" t="s">
        <v>37</v>
      </c>
      <c r="B3822">
        <v>2016</v>
      </c>
      <c r="C3822">
        <v>9</v>
      </c>
      <c r="D3822">
        <v>22940</v>
      </c>
      <c r="E3822">
        <v>498</v>
      </c>
      <c r="F3822">
        <v>65830.990000000005</v>
      </c>
      <c r="G3822">
        <v>12034.44</v>
      </c>
      <c r="H3822" t="str">
        <f>VLOOKUP(myynnit[[#This Row],[TuoteID]],ohjaus!$A$4:$B$20,2,FALSE)</f>
        <v>Pinnatuoli</v>
      </c>
    </row>
    <row r="3823" spans="1:8" x14ac:dyDescent="0.35">
      <c r="A3823" t="s">
        <v>37</v>
      </c>
      <c r="B3823">
        <v>2016</v>
      </c>
      <c r="C3823">
        <v>9</v>
      </c>
      <c r="D3823">
        <v>23178</v>
      </c>
      <c r="E3823">
        <v>418</v>
      </c>
      <c r="F3823">
        <v>73701.97</v>
      </c>
      <c r="G3823">
        <v>15501.04</v>
      </c>
      <c r="H3823" t="str">
        <f>VLOOKUP(myynnit[[#This Row],[TuoteID]],ohjaus!$A$4:$B$20,2,FALSE)</f>
        <v>Pinnatuoli</v>
      </c>
    </row>
    <row r="3824" spans="1:8" x14ac:dyDescent="0.35">
      <c r="A3824" t="s">
        <v>37</v>
      </c>
      <c r="B3824">
        <v>2016</v>
      </c>
      <c r="C3824">
        <v>9</v>
      </c>
      <c r="D3824">
        <v>23600</v>
      </c>
      <c r="E3824">
        <v>1225</v>
      </c>
      <c r="F3824">
        <v>143369.79</v>
      </c>
      <c r="G3824">
        <v>38292.980000000003</v>
      </c>
      <c r="H3824" t="str">
        <f>VLOOKUP(myynnit[[#This Row],[TuoteID]],ohjaus!$A$4:$B$20,2,FALSE)</f>
        <v>Pinnatuoli</v>
      </c>
    </row>
    <row r="3825" spans="1:8" x14ac:dyDescent="0.35">
      <c r="A3825" t="s">
        <v>37</v>
      </c>
      <c r="B3825">
        <v>2016</v>
      </c>
      <c r="C3825">
        <v>9</v>
      </c>
      <c r="D3825">
        <v>23756</v>
      </c>
      <c r="E3825">
        <v>145</v>
      </c>
      <c r="F3825">
        <v>23056.09</v>
      </c>
      <c r="G3825">
        <v>10025.23</v>
      </c>
      <c r="H3825" t="str">
        <f>VLOOKUP(myynnit[[#This Row],[TuoteID]],ohjaus!$A$4:$B$20,2,FALSE)</f>
        <v>Pianotuoli</v>
      </c>
    </row>
    <row r="3826" spans="1:8" x14ac:dyDescent="0.35">
      <c r="A3826" t="s">
        <v>37</v>
      </c>
      <c r="B3826">
        <v>2016</v>
      </c>
      <c r="C3826">
        <v>9</v>
      </c>
      <c r="D3826">
        <v>24326</v>
      </c>
      <c r="E3826">
        <v>145</v>
      </c>
      <c r="F3826">
        <v>20286.78</v>
      </c>
      <c r="G3826">
        <v>6208.53</v>
      </c>
      <c r="H3826" t="str">
        <f>VLOOKUP(myynnit[[#This Row],[TuoteID]],ohjaus!$A$4:$B$20,2,FALSE)</f>
        <v>Lepotuoli</v>
      </c>
    </row>
    <row r="3827" spans="1:8" x14ac:dyDescent="0.35">
      <c r="A3827" t="s">
        <v>40</v>
      </c>
      <c r="B3827">
        <v>2016</v>
      </c>
      <c r="C3827">
        <v>9</v>
      </c>
      <c r="D3827">
        <v>12184</v>
      </c>
      <c r="E3827">
        <v>23</v>
      </c>
      <c r="F3827">
        <v>3036.32</v>
      </c>
      <c r="G3827">
        <v>1720.29</v>
      </c>
      <c r="H3827" t="str">
        <f>VLOOKUP(myynnit[[#This Row],[TuoteID]],ohjaus!$A$4:$B$20,2,FALSE)</f>
        <v>Rahi</v>
      </c>
    </row>
    <row r="3828" spans="1:8" x14ac:dyDescent="0.35">
      <c r="A3828" t="s">
        <v>40</v>
      </c>
      <c r="B3828">
        <v>2016</v>
      </c>
      <c r="C3828">
        <v>9</v>
      </c>
      <c r="D3828">
        <v>12622</v>
      </c>
      <c r="E3828">
        <v>10</v>
      </c>
      <c r="F3828">
        <v>2988.72</v>
      </c>
      <c r="G3828">
        <v>1134.18</v>
      </c>
      <c r="H3828" t="str">
        <f>VLOOKUP(myynnit[[#This Row],[TuoteID]],ohjaus!$A$4:$B$20,2,FALSE)</f>
        <v>Pianotuoli</v>
      </c>
    </row>
    <row r="3829" spans="1:8" x14ac:dyDescent="0.35">
      <c r="A3829" t="s">
        <v>40</v>
      </c>
      <c r="B3829">
        <v>2016</v>
      </c>
      <c r="C3829">
        <v>9</v>
      </c>
      <c r="D3829">
        <v>13527</v>
      </c>
      <c r="E3829">
        <v>132</v>
      </c>
      <c r="F3829">
        <v>20037.43</v>
      </c>
      <c r="G3829">
        <v>3644.03</v>
      </c>
      <c r="H3829" t="str">
        <f>VLOOKUP(myynnit[[#This Row],[TuoteID]],ohjaus!$A$4:$B$20,2,FALSE)</f>
        <v>Pinnatuoli</v>
      </c>
    </row>
    <row r="3830" spans="1:8" x14ac:dyDescent="0.35">
      <c r="A3830" t="s">
        <v>40</v>
      </c>
      <c r="B3830">
        <v>2016</v>
      </c>
      <c r="C3830">
        <v>9</v>
      </c>
      <c r="D3830">
        <v>13618</v>
      </c>
      <c r="E3830">
        <v>10</v>
      </c>
      <c r="F3830">
        <v>4137.66</v>
      </c>
      <c r="G3830">
        <v>1991.72</v>
      </c>
      <c r="H3830" t="str">
        <f>VLOOKUP(myynnit[[#This Row],[TuoteID]],ohjaus!$A$4:$B$20,2,FALSE)</f>
        <v>Pianotuoli</v>
      </c>
    </row>
    <row r="3831" spans="1:8" x14ac:dyDescent="0.35">
      <c r="A3831" t="s">
        <v>40</v>
      </c>
      <c r="B3831">
        <v>2016</v>
      </c>
      <c r="C3831">
        <v>9</v>
      </c>
      <c r="D3831">
        <v>16024</v>
      </c>
      <c r="E3831">
        <v>191</v>
      </c>
      <c r="F3831">
        <v>89068.44</v>
      </c>
      <c r="G3831">
        <v>31585.03</v>
      </c>
      <c r="H3831" t="str">
        <f>VLOOKUP(myynnit[[#This Row],[TuoteID]],ohjaus!$A$4:$B$20,2,FALSE)</f>
        <v>Työtuoli</v>
      </c>
    </row>
    <row r="3832" spans="1:8" x14ac:dyDescent="0.35">
      <c r="A3832" t="s">
        <v>40</v>
      </c>
      <c r="B3832">
        <v>2016</v>
      </c>
      <c r="C3832">
        <v>9</v>
      </c>
      <c r="D3832">
        <v>16650</v>
      </c>
      <c r="E3832">
        <v>21</v>
      </c>
      <c r="F3832">
        <v>3334.98</v>
      </c>
      <c r="G3832">
        <v>1952.01</v>
      </c>
      <c r="H3832" t="str">
        <f>VLOOKUP(myynnit[[#This Row],[TuoteID]],ohjaus!$A$4:$B$20,2,FALSE)</f>
        <v>Rahi</v>
      </c>
    </row>
    <row r="3833" spans="1:8" x14ac:dyDescent="0.35">
      <c r="A3833" t="s">
        <v>40</v>
      </c>
      <c r="B3833">
        <v>2016</v>
      </c>
      <c r="C3833">
        <v>9</v>
      </c>
      <c r="D3833">
        <v>17892</v>
      </c>
      <c r="E3833">
        <v>92</v>
      </c>
      <c r="F3833">
        <v>12657.44</v>
      </c>
      <c r="G3833">
        <v>2858.02</v>
      </c>
      <c r="H3833" t="str">
        <f>VLOOKUP(myynnit[[#This Row],[TuoteID]],ohjaus!$A$4:$B$20,2,FALSE)</f>
        <v>Lepotuoli</v>
      </c>
    </row>
    <row r="3834" spans="1:8" x14ac:dyDescent="0.35">
      <c r="A3834" t="s">
        <v>40</v>
      </c>
      <c r="B3834">
        <v>2016</v>
      </c>
      <c r="C3834">
        <v>9</v>
      </c>
      <c r="D3834">
        <v>18342</v>
      </c>
      <c r="E3834">
        <v>27</v>
      </c>
      <c r="F3834">
        <v>21307.040000000001</v>
      </c>
      <c r="G3834">
        <v>7025.84</v>
      </c>
      <c r="H3834" t="str">
        <f>VLOOKUP(myynnit[[#This Row],[TuoteID]],ohjaus!$A$4:$B$20,2,FALSE)</f>
        <v>Työtuoli</v>
      </c>
    </row>
    <row r="3835" spans="1:8" x14ac:dyDescent="0.35">
      <c r="A3835" t="s">
        <v>40</v>
      </c>
      <c r="B3835">
        <v>2016</v>
      </c>
      <c r="C3835">
        <v>9</v>
      </c>
      <c r="D3835">
        <v>20177</v>
      </c>
      <c r="E3835">
        <v>30</v>
      </c>
      <c r="F3835">
        <v>2645.47</v>
      </c>
      <c r="G3835">
        <v>1133.21</v>
      </c>
      <c r="H3835" t="str">
        <f>VLOOKUP(myynnit[[#This Row],[TuoteID]],ohjaus!$A$4:$B$20,2,FALSE)</f>
        <v>Säkkituoli</v>
      </c>
    </row>
    <row r="3836" spans="1:8" x14ac:dyDescent="0.35">
      <c r="A3836" t="s">
        <v>40</v>
      </c>
      <c r="B3836">
        <v>2016</v>
      </c>
      <c r="C3836">
        <v>9</v>
      </c>
      <c r="D3836">
        <v>21179</v>
      </c>
      <c r="E3836">
        <v>27</v>
      </c>
      <c r="F3836">
        <v>3205.03</v>
      </c>
      <c r="G3836">
        <v>1554.48</v>
      </c>
      <c r="H3836" t="str">
        <f>VLOOKUP(myynnit[[#This Row],[TuoteID]],ohjaus!$A$4:$B$20,2,FALSE)</f>
        <v>Rahi</v>
      </c>
    </row>
    <row r="3837" spans="1:8" x14ac:dyDescent="0.35">
      <c r="A3837" t="s">
        <v>40</v>
      </c>
      <c r="B3837">
        <v>2016</v>
      </c>
      <c r="C3837">
        <v>9</v>
      </c>
      <c r="D3837">
        <v>21260</v>
      </c>
      <c r="E3837">
        <v>30</v>
      </c>
      <c r="F3837">
        <v>5674.28</v>
      </c>
      <c r="G3837">
        <v>1540.9</v>
      </c>
      <c r="H3837" t="str">
        <f>VLOOKUP(myynnit[[#This Row],[TuoteID]],ohjaus!$A$4:$B$20,2,FALSE)</f>
        <v>Lepotuoli</v>
      </c>
    </row>
    <row r="3838" spans="1:8" x14ac:dyDescent="0.35">
      <c r="A3838" t="s">
        <v>40</v>
      </c>
      <c r="B3838">
        <v>2016</v>
      </c>
      <c r="C3838">
        <v>9</v>
      </c>
      <c r="D3838">
        <v>22317</v>
      </c>
      <c r="E3838">
        <v>6</v>
      </c>
      <c r="F3838">
        <v>638.80999999999995</v>
      </c>
      <c r="G3838">
        <v>254.2</v>
      </c>
      <c r="H3838" t="str">
        <f>VLOOKUP(myynnit[[#This Row],[TuoteID]],ohjaus!$A$4:$B$20,2,FALSE)</f>
        <v>Säkkituoli</v>
      </c>
    </row>
    <row r="3839" spans="1:8" x14ac:dyDescent="0.35">
      <c r="A3839" t="s">
        <v>40</v>
      </c>
      <c r="B3839">
        <v>2016</v>
      </c>
      <c r="C3839">
        <v>9</v>
      </c>
      <c r="D3839">
        <v>22940</v>
      </c>
      <c r="E3839">
        <v>129</v>
      </c>
      <c r="F3839">
        <v>15846.32</v>
      </c>
      <c r="G3839">
        <v>3904.31</v>
      </c>
      <c r="H3839" t="str">
        <f>VLOOKUP(myynnit[[#This Row],[TuoteID]],ohjaus!$A$4:$B$20,2,FALSE)</f>
        <v>Pinnatuoli</v>
      </c>
    </row>
    <row r="3840" spans="1:8" x14ac:dyDescent="0.35">
      <c r="A3840" t="s">
        <v>40</v>
      </c>
      <c r="B3840">
        <v>2016</v>
      </c>
      <c r="C3840">
        <v>9</v>
      </c>
      <c r="D3840">
        <v>23178</v>
      </c>
      <c r="E3840">
        <v>171</v>
      </c>
      <c r="F3840">
        <v>32041.31</v>
      </c>
      <c r="G3840">
        <v>8089.26</v>
      </c>
      <c r="H3840" t="str">
        <f>VLOOKUP(myynnit[[#This Row],[TuoteID]],ohjaus!$A$4:$B$20,2,FALSE)</f>
        <v>Pinnatuoli</v>
      </c>
    </row>
    <row r="3841" spans="1:8" x14ac:dyDescent="0.35">
      <c r="A3841" t="s">
        <v>40</v>
      </c>
      <c r="B3841">
        <v>2016</v>
      </c>
      <c r="C3841">
        <v>9</v>
      </c>
      <c r="D3841">
        <v>23600</v>
      </c>
      <c r="E3841">
        <v>273</v>
      </c>
      <c r="F3841">
        <v>31144.400000000001</v>
      </c>
      <c r="G3841">
        <v>7475.94</v>
      </c>
      <c r="H3841" t="str">
        <f>VLOOKUP(myynnit[[#This Row],[TuoteID]],ohjaus!$A$4:$B$20,2,FALSE)</f>
        <v>Pinnatuoli</v>
      </c>
    </row>
    <row r="3842" spans="1:8" x14ac:dyDescent="0.35">
      <c r="A3842" t="s">
        <v>40</v>
      </c>
      <c r="B3842">
        <v>2016</v>
      </c>
      <c r="C3842">
        <v>9</v>
      </c>
      <c r="D3842">
        <v>23756</v>
      </c>
      <c r="E3842">
        <v>45</v>
      </c>
      <c r="F3842">
        <v>8248.61</v>
      </c>
      <c r="G3842">
        <v>3601.27</v>
      </c>
      <c r="H3842" t="str">
        <f>VLOOKUP(myynnit[[#This Row],[TuoteID]],ohjaus!$A$4:$B$20,2,FALSE)</f>
        <v>Pianotuoli</v>
      </c>
    </row>
    <row r="3843" spans="1:8" x14ac:dyDescent="0.35">
      <c r="A3843" t="s">
        <v>40</v>
      </c>
      <c r="B3843">
        <v>2016</v>
      </c>
      <c r="C3843">
        <v>9</v>
      </c>
      <c r="D3843">
        <v>24326</v>
      </c>
      <c r="E3843">
        <v>25</v>
      </c>
      <c r="F3843">
        <v>3493.51</v>
      </c>
      <c r="G3843">
        <v>1201.57</v>
      </c>
      <c r="H3843" t="str">
        <f>VLOOKUP(myynnit[[#This Row],[TuoteID]],ohjaus!$A$4:$B$20,2,FALSE)</f>
        <v>Lepotuoli</v>
      </c>
    </row>
    <row r="3844" spans="1:8" x14ac:dyDescent="0.35">
      <c r="A3844" t="s">
        <v>39</v>
      </c>
      <c r="B3844">
        <v>2016</v>
      </c>
      <c r="C3844">
        <v>9</v>
      </c>
      <c r="D3844">
        <v>12184</v>
      </c>
      <c r="E3844">
        <v>96</v>
      </c>
      <c r="F3844">
        <v>15124.72</v>
      </c>
      <c r="G3844">
        <v>11907.39</v>
      </c>
      <c r="H3844" t="str">
        <f>VLOOKUP(myynnit[[#This Row],[TuoteID]],ohjaus!$A$4:$B$20,2,FALSE)</f>
        <v>Rahi</v>
      </c>
    </row>
    <row r="3845" spans="1:8" x14ac:dyDescent="0.35">
      <c r="A3845" t="s">
        <v>39</v>
      </c>
      <c r="B3845">
        <v>2016</v>
      </c>
      <c r="C3845">
        <v>9</v>
      </c>
      <c r="D3845">
        <v>12622</v>
      </c>
      <c r="E3845">
        <v>22</v>
      </c>
      <c r="F3845">
        <v>6650.94</v>
      </c>
      <c r="G3845">
        <v>3947.19</v>
      </c>
      <c r="H3845" t="str">
        <f>VLOOKUP(myynnit[[#This Row],[TuoteID]],ohjaus!$A$4:$B$20,2,FALSE)</f>
        <v>Pianotuoli</v>
      </c>
    </row>
    <row r="3846" spans="1:8" x14ac:dyDescent="0.35">
      <c r="A3846" t="s">
        <v>39</v>
      </c>
      <c r="B3846">
        <v>2016</v>
      </c>
      <c r="C3846">
        <v>9</v>
      </c>
      <c r="D3846">
        <v>13527</v>
      </c>
      <c r="E3846">
        <v>377</v>
      </c>
      <c r="F3846">
        <v>63982.37</v>
      </c>
      <c r="G3846">
        <v>14293.19</v>
      </c>
      <c r="H3846" t="str">
        <f>VLOOKUP(myynnit[[#This Row],[TuoteID]],ohjaus!$A$4:$B$20,2,FALSE)</f>
        <v>Pinnatuoli</v>
      </c>
    </row>
    <row r="3847" spans="1:8" x14ac:dyDescent="0.35">
      <c r="A3847" t="s">
        <v>39</v>
      </c>
      <c r="B3847">
        <v>2016</v>
      </c>
      <c r="C3847">
        <v>9</v>
      </c>
      <c r="D3847">
        <v>13618</v>
      </c>
      <c r="E3847">
        <v>15</v>
      </c>
      <c r="F3847">
        <v>5561.32</v>
      </c>
      <c r="G3847">
        <v>2878.12</v>
      </c>
      <c r="H3847" t="str">
        <f>VLOOKUP(myynnit[[#This Row],[TuoteID]],ohjaus!$A$4:$B$20,2,FALSE)</f>
        <v>Pianotuoli</v>
      </c>
    </row>
    <row r="3848" spans="1:8" x14ac:dyDescent="0.35">
      <c r="A3848" t="s">
        <v>39</v>
      </c>
      <c r="B3848">
        <v>2016</v>
      </c>
      <c r="C3848">
        <v>9</v>
      </c>
      <c r="D3848">
        <v>16024</v>
      </c>
      <c r="E3848">
        <v>282</v>
      </c>
      <c r="F3848">
        <v>132305.97</v>
      </c>
      <c r="G3848">
        <v>42517.760000000002</v>
      </c>
      <c r="H3848" t="str">
        <f>VLOOKUP(myynnit[[#This Row],[TuoteID]],ohjaus!$A$4:$B$20,2,FALSE)</f>
        <v>Työtuoli</v>
      </c>
    </row>
    <row r="3849" spans="1:8" x14ac:dyDescent="0.35">
      <c r="A3849" t="s">
        <v>39</v>
      </c>
      <c r="B3849">
        <v>2016</v>
      </c>
      <c r="C3849">
        <v>9</v>
      </c>
      <c r="D3849">
        <v>16650</v>
      </c>
      <c r="E3849">
        <v>37</v>
      </c>
      <c r="F3849">
        <v>5262.7</v>
      </c>
      <c r="G3849">
        <v>3270.67</v>
      </c>
      <c r="H3849" t="str">
        <f>VLOOKUP(myynnit[[#This Row],[TuoteID]],ohjaus!$A$4:$B$20,2,FALSE)</f>
        <v>Rahi</v>
      </c>
    </row>
    <row r="3850" spans="1:8" x14ac:dyDescent="0.35">
      <c r="A3850" t="s">
        <v>39</v>
      </c>
      <c r="B3850">
        <v>2016</v>
      </c>
      <c r="C3850">
        <v>9</v>
      </c>
      <c r="D3850">
        <v>17892</v>
      </c>
      <c r="E3850">
        <v>73</v>
      </c>
      <c r="F3850">
        <v>9746.51</v>
      </c>
      <c r="G3850">
        <v>3095.8</v>
      </c>
      <c r="H3850" t="str">
        <f>VLOOKUP(myynnit[[#This Row],[TuoteID]],ohjaus!$A$4:$B$20,2,FALSE)</f>
        <v>Lepotuoli</v>
      </c>
    </row>
    <row r="3851" spans="1:8" x14ac:dyDescent="0.35">
      <c r="A3851" t="s">
        <v>39</v>
      </c>
      <c r="B3851">
        <v>2016</v>
      </c>
      <c r="C3851">
        <v>9</v>
      </c>
      <c r="D3851">
        <v>18342</v>
      </c>
      <c r="E3851">
        <v>95</v>
      </c>
      <c r="F3851">
        <v>72990.080000000002</v>
      </c>
      <c r="G3851">
        <v>20390.47</v>
      </c>
      <c r="H3851" t="str">
        <f>VLOOKUP(myynnit[[#This Row],[TuoteID]],ohjaus!$A$4:$B$20,2,FALSE)</f>
        <v>Työtuoli</v>
      </c>
    </row>
    <row r="3852" spans="1:8" x14ac:dyDescent="0.35">
      <c r="A3852" t="s">
        <v>39</v>
      </c>
      <c r="B3852">
        <v>2016</v>
      </c>
      <c r="C3852">
        <v>9</v>
      </c>
      <c r="D3852">
        <v>20177</v>
      </c>
      <c r="E3852">
        <v>70</v>
      </c>
      <c r="F3852">
        <v>7406.02</v>
      </c>
      <c r="G3852">
        <v>3069.84</v>
      </c>
      <c r="H3852" t="str">
        <f>VLOOKUP(myynnit[[#This Row],[TuoteID]],ohjaus!$A$4:$B$20,2,FALSE)</f>
        <v>Säkkituoli</v>
      </c>
    </row>
    <row r="3853" spans="1:8" x14ac:dyDescent="0.35">
      <c r="A3853" t="s">
        <v>39</v>
      </c>
      <c r="B3853">
        <v>2016</v>
      </c>
      <c r="C3853">
        <v>9</v>
      </c>
      <c r="D3853">
        <v>21179</v>
      </c>
      <c r="E3853">
        <v>45</v>
      </c>
      <c r="F3853">
        <v>4635.05</v>
      </c>
      <c r="G3853">
        <v>3194.75</v>
      </c>
      <c r="H3853" t="str">
        <f>VLOOKUP(myynnit[[#This Row],[TuoteID]],ohjaus!$A$4:$B$20,2,FALSE)</f>
        <v>Rahi</v>
      </c>
    </row>
    <row r="3854" spans="1:8" x14ac:dyDescent="0.35">
      <c r="A3854" t="s">
        <v>39</v>
      </c>
      <c r="B3854">
        <v>2016</v>
      </c>
      <c r="C3854">
        <v>9</v>
      </c>
      <c r="D3854">
        <v>21260</v>
      </c>
      <c r="E3854">
        <v>29</v>
      </c>
      <c r="F3854">
        <v>5180.47</v>
      </c>
      <c r="G3854">
        <v>1500.77</v>
      </c>
      <c r="H3854" t="str">
        <f>VLOOKUP(myynnit[[#This Row],[TuoteID]],ohjaus!$A$4:$B$20,2,FALSE)</f>
        <v>Lepotuoli</v>
      </c>
    </row>
    <row r="3855" spans="1:8" x14ac:dyDescent="0.35">
      <c r="A3855" t="s">
        <v>39</v>
      </c>
      <c r="B3855">
        <v>2016</v>
      </c>
      <c r="C3855">
        <v>9</v>
      </c>
      <c r="D3855">
        <v>22317</v>
      </c>
      <c r="E3855">
        <v>40</v>
      </c>
      <c r="F3855">
        <v>2980.93</v>
      </c>
      <c r="G3855">
        <v>1324.73</v>
      </c>
      <c r="H3855" t="str">
        <f>VLOOKUP(myynnit[[#This Row],[TuoteID]],ohjaus!$A$4:$B$20,2,FALSE)</f>
        <v>Säkkituoli</v>
      </c>
    </row>
    <row r="3856" spans="1:8" x14ac:dyDescent="0.35">
      <c r="A3856" t="s">
        <v>39</v>
      </c>
      <c r="B3856">
        <v>2016</v>
      </c>
      <c r="C3856">
        <v>9</v>
      </c>
      <c r="D3856">
        <v>22940</v>
      </c>
      <c r="E3856">
        <v>723</v>
      </c>
      <c r="F3856">
        <v>95246.47</v>
      </c>
      <c r="G3856">
        <v>26908.7</v>
      </c>
      <c r="H3856" t="str">
        <f>VLOOKUP(myynnit[[#This Row],[TuoteID]],ohjaus!$A$4:$B$20,2,FALSE)</f>
        <v>Pinnatuoli</v>
      </c>
    </row>
    <row r="3857" spans="1:8" x14ac:dyDescent="0.35">
      <c r="A3857" t="s">
        <v>39</v>
      </c>
      <c r="B3857">
        <v>2016</v>
      </c>
      <c r="C3857">
        <v>9</v>
      </c>
      <c r="D3857">
        <v>23178</v>
      </c>
      <c r="E3857">
        <v>240</v>
      </c>
      <c r="F3857">
        <v>41109.46</v>
      </c>
      <c r="G3857">
        <v>11174.21</v>
      </c>
      <c r="H3857" t="str">
        <f>VLOOKUP(myynnit[[#This Row],[TuoteID]],ohjaus!$A$4:$B$20,2,FALSE)</f>
        <v>Pinnatuoli</v>
      </c>
    </row>
    <row r="3858" spans="1:8" x14ac:dyDescent="0.35">
      <c r="A3858" t="s">
        <v>39</v>
      </c>
      <c r="B3858">
        <v>2016</v>
      </c>
      <c r="C3858">
        <v>9</v>
      </c>
      <c r="D3858">
        <v>23600</v>
      </c>
      <c r="E3858">
        <v>1200</v>
      </c>
      <c r="F3858">
        <v>122743.4</v>
      </c>
      <c r="G3858">
        <v>36578.54</v>
      </c>
      <c r="H3858" t="str">
        <f>VLOOKUP(myynnit[[#This Row],[TuoteID]],ohjaus!$A$4:$B$20,2,FALSE)</f>
        <v>Pinnatuoli</v>
      </c>
    </row>
    <row r="3859" spans="1:8" x14ac:dyDescent="0.35">
      <c r="A3859" t="s">
        <v>39</v>
      </c>
      <c r="B3859">
        <v>2016</v>
      </c>
      <c r="C3859">
        <v>9</v>
      </c>
      <c r="D3859">
        <v>23756</v>
      </c>
      <c r="E3859">
        <v>73</v>
      </c>
      <c r="F3859">
        <v>13883.52</v>
      </c>
      <c r="G3859">
        <v>7064.01</v>
      </c>
      <c r="H3859" t="str">
        <f>VLOOKUP(myynnit[[#This Row],[TuoteID]],ohjaus!$A$4:$B$20,2,FALSE)</f>
        <v>Pianotuoli</v>
      </c>
    </row>
    <row r="3860" spans="1:8" x14ac:dyDescent="0.35">
      <c r="A3860" t="s">
        <v>39</v>
      </c>
      <c r="B3860">
        <v>2016</v>
      </c>
      <c r="C3860">
        <v>9</v>
      </c>
      <c r="D3860">
        <v>24326</v>
      </c>
      <c r="E3860">
        <v>99</v>
      </c>
      <c r="F3860">
        <v>14180.67</v>
      </c>
      <c r="G3860">
        <v>3974.53</v>
      </c>
      <c r="H3860" t="str">
        <f>VLOOKUP(myynnit[[#This Row],[TuoteID]],ohjaus!$A$4:$B$20,2,FALSE)</f>
        <v>Lepotuoli</v>
      </c>
    </row>
    <row r="3861" spans="1:8" x14ac:dyDescent="0.35">
      <c r="A3861" t="s">
        <v>38</v>
      </c>
      <c r="B3861">
        <v>2016</v>
      </c>
      <c r="C3861">
        <v>9</v>
      </c>
      <c r="D3861">
        <v>12184</v>
      </c>
      <c r="E3861">
        <v>36</v>
      </c>
      <c r="F3861">
        <v>5414.67</v>
      </c>
      <c r="G3861">
        <v>2740.45</v>
      </c>
      <c r="H3861" t="str">
        <f>VLOOKUP(myynnit[[#This Row],[TuoteID]],ohjaus!$A$4:$B$20,2,FALSE)</f>
        <v>Rahi</v>
      </c>
    </row>
    <row r="3862" spans="1:8" x14ac:dyDescent="0.35">
      <c r="A3862" t="s">
        <v>38</v>
      </c>
      <c r="B3862">
        <v>2016</v>
      </c>
      <c r="C3862">
        <v>9</v>
      </c>
      <c r="D3862">
        <v>12622</v>
      </c>
      <c r="E3862">
        <v>64</v>
      </c>
      <c r="F3862">
        <v>17192.54</v>
      </c>
      <c r="G3862">
        <v>9035.92</v>
      </c>
      <c r="H3862" t="str">
        <f>VLOOKUP(myynnit[[#This Row],[TuoteID]],ohjaus!$A$4:$B$20,2,FALSE)</f>
        <v>Pianotuoli</v>
      </c>
    </row>
    <row r="3863" spans="1:8" x14ac:dyDescent="0.35">
      <c r="A3863" t="s">
        <v>38</v>
      </c>
      <c r="B3863">
        <v>2016</v>
      </c>
      <c r="C3863">
        <v>9</v>
      </c>
      <c r="D3863">
        <v>13527</v>
      </c>
      <c r="E3863">
        <v>682</v>
      </c>
      <c r="F3863">
        <v>114284.67</v>
      </c>
      <c r="G3863">
        <v>27556.799999999999</v>
      </c>
      <c r="H3863" t="str">
        <f>VLOOKUP(myynnit[[#This Row],[TuoteID]],ohjaus!$A$4:$B$20,2,FALSE)</f>
        <v>Pinnatuoli</v>
      </c>
    </row>
    <row r="3864" spans="1:8" x14ac:dyDescent="0.35">
      <c r="A3864" t="s">
        <v>38</v>
      </c>
      <c r="B3864">
        <v>2016</v>
      </c>
      <c r="C3864">
        <v>9</v>
      </c>
      <c r="D3864">
        <v>13618</v>
      </c>
      <c r="E3864">
        <v>18</v>
      </c>
      <c r="F3864">
        <v>7793.83</v>
      </c>
      <c r="G3864">
        <v>3778.76</v>
      </c>
      <c r="H3864" t="str">
        <f>VLOOKUP(myynnit[[#This Row],[TuoteID]],ohjaus!$A$4:$B$20,2,FALSE)</f>
        <v>Pianotuoli</v>
      </c>
    </row>
    <row r="3865" spans="1:8" x14ac:dyDescent="0.35">
      <c r="A3865" t="s">
        <v>38</v>
      </c>
      <c r="B3865">
        <v>2016</v>
      </c>
      <c r="C3865">
        <v>9</v>
      </c>
      <c r="D3865">
        <v>16024</v>
      </c>
      <c r="E3865">
        <v>220</v>
      </c>
      <c r="F3865">
        <v>86364.03</v>
      </c>
      <c r="G3865">
        <v>21983.32</v>
      </c>
      <c r="H3865" t="str">
        <f>VLOOKUP(myynnit[[#This Row],[TuoteID]],ohjaus!$A$4:$B$20,2,FALSE)</f>
        <v>Työtuoli</v>
      </c>
    </row>
    <row r="3866" spans="1:8" x14ac:dyDescent="0.35">
      <c r="A3866" t="s">
        <v>38</v>
      </c>
      <c r="B3866">
        <v>2016</v>
      </c>
      <c r="C3866">
        <v>9</v>
      </c>
      <c r="D3866">
        <v>16650</v>
      </c>
      <c r="E3866">
        <v>35</v>
      </c>
      <c r="F3866">
        <v>5489.46</v>
      </c>
      <c r="G3866">
        <v>3235.18</v>
      </c>
      <c r="H3866" t="str">
        <f>VLOOKUP(myynnit[[#This Row],[TuoteID]],ohjaus!$A$4:$B$20,2,FALSE)</f>
        <v>Rahi</v>
      </c>
    </row>
    <row r="3867" spans="1:8" x14ac:dyDescent="0.35">
      <c r="A3867" t="s">
        <v>38</v>
      </c>
      <c r="B3867">
        <v>2016</v>
      </c>
      <c r="C3867">
        <v>9</v>
      </c>
      <c r="D3867">
        <v>17892</v>
      </c>
      <c r="E3867">
        <v>107</v>
      </c>
      <c r="F3867">
        <v>15203.62</v>
      </c>
      <c r="G3867">
        <v>3357.75</v>
      </c>
      <c r="H3867" t="str">
        <f>VLOOKUP(myynnit[[#This Row],[TuoteID]],ohjaus!$A$4:$B$20,2,FALSE)</f>
        <v>Lepotuoli</v>
      </c>
    </row>
    <row r="3868" spans="1:8" x14ac:dyDescent="0.35">
      <c r="A3868" t="s">
        <v>38</v>
      </c>
      <c r="B3868">
        <v>2016</v>
      </c>
      <c r="C3868">
        <v>9</v>
      </c>
      <c r="D3868">
        <v>18342</v>
      </c>
      <c r="E3868">
        <v>109</v>
      </c>
      <c r="F3868">
        <v>93195.01</v>
      </c>
      <c r="G3868">
        <v>25364.5</v>
      </c>
      <c r="H3868" t="str">
        <f>VLOOKUP(myynnit[[#This Row],[TuoteID]],ohjaus!$A$4:$B$20,2,FALSE)</f>
        <v>Työtuoli</v>
      </c>
    </row>
    <row r="3869" spans="1:8" x14ac:dyDescent="0.35">
      <c r="A3869" t="s">
        <v>38</v>
      </c>
      <c r="B3869">
        <v>2016</v>
      </c>
      <c r="C3869">
        <v>9</v>
      </c>
      <c r="D3869">
        <v>20177</v>
      </c>
      <c r="E3869">
        <v>93</v>
      </c>
      <c r="F3869">
        <v>10246.280000000001</v>
      </c>
      <c r="G3869">
        <v>3282.36</v>
      </c>
      <c r="H3869" t="str">
        <f>VLOOKUP(myynnit[[#This Row],[TuoteID]],ohjaus!$A$4:$B$20,2,FALSE)</f>
        <v>Säkkituoli</v>
      </c>
    </row>
    <row r="3870" spans="1:8" x14ac:dyDescent="0.35">
      <c r="A3870" t="s">
        <v>38</v>
      </c>
      <c r="B3870">
        <v>2016</v>
      </c>
      <c r="C3870">
        <v>9</v>
      </c>
      <c r="D3870">
        <v>21179</v>
      </c>
      <c r="E3870">
        <v>45</v>
      </c>
      <c r="F3870">
        <v>4668.83</v>
      </c>
      <c r="G3870">
        <v>2436.84</v>
      </c>
      <c r="H3870" t="str">
        <f>VLOOKUP(myynnit[[#This Row],[TuoteID]],ohjaus!$A$4:$B$20,2,FALSE)</f>
        <v>Rahi</v>
      </c>
    </row>
    <row r="3871" spans="1:8" x14ac:dyDescent="0.35">
      <c r="A3871" t="s">
        <v>38</v>
      </c>
      <c r="B3871">
        <v>2016</v>
      </c>
      <c r="C3871">
        <v>9</v>
      </c>
      <c r="D3871">
        <v>21260</v>
      </c>
      <c r="E3871">
        <v>51</v>
      </c>
      <c r="F3871">
        <v>9737.3799999999992</v>
      </c>
      <c r="G3871">
        <v>2104.88</v>
      </c>
      <c r="H3871" t="str">
        <f>VLOOKUP(myynnit[[#This Row],[TuoteID]],ohjaus!$A$4:$B$20,2,FALSE)</f>
        <v>Lepotuoli</v>
      </c>
    </row>
    <row r="3872" spans="1:8" x14ac:dyDescent="0.35">
      <c r="A3872" t="s">
        <v>38</v>
      </c>
      <c r="B3872">
        <v>2016</v>
      </c>
      <c r="C3872">
        <v>9</v>
      </c>
      <c r="D3872">
        <v>22317</v>
      </c>
      <c r="E3872">
        <v>61</v>
      </c>
      <c r="F3872">
        <v>6107.63</v>
      </c>
      <c r="G3872">
        <v>2478.92</v>
      </c>
      <c r="H3872" t="str">
        <f>VLOOKUP(myynnit[[#This Row],[TuoteID]],ohjaus!$A$4:$B$20,2,FALSE)</f>
        <v>Säkkituoli</v>
      </c>
    </row>
    <row r="3873" spans="1:8" x14ac:dyDescent="0.35">
      <c r="A3873" t="s">
        <v>38</v>
      </c>
      <c r="B3873">
        <v>2016</v>
      </c>
      <c r="C3873">
        <v>9</v>
      </c>
      <c r="D3873">
        <v>22940</v>
      </c>
      <c r="E3873">
        <v>447</v>
      </c>
      <c r="F3873">
        <v>60969.86</v>
      </c>
      <c r="G3873">
        <v>12846.1</v>
      </c>
      <c r="H3873" t="str">
        <f>VLOOKUP(myynnit[[#This Row],[TuoteID]],ohjaus!$A$4:$B$20,2,FALSE)</f>
        <v>Pinnatuoli</v>
      </c>
    </row>
    <row r="3874" spans="1:8" x14ac:dyDescent="0.35">
      <c r="A3874" t="s">
        <v>38</v>
      </c>
      <c r="B3874">
        <v>2016</v>
      </c>
      <c r="C3874">
        <v>9</v>
      </c>
      <c r="D3874">
        <v>23178</v>
      </c>
      <c r="E3874">
        <v>240</v>
      </c>
      <c r="F3874">
        <v>41062.46</v>
      </c>
      <c r="G3874">
        <v>9709.42</v>
      </c>
      <c r="H3874" t="str">
        <f>VLOOKUP(myynnit[[#This Row],[TuoteID]],ohjaus!$A$4:$B$20,2,FALSE)</f>
        <v>Pinnatuoli</v>
      </c>
    </row>
    <row r="3875" spans="1:8" x14ac:dyDescent="0.35">
      <c r="A3875" t="s">
        <v>38</v>
      </c>
      <c r="B3875">
        <v>2016</v>
      </c>
      <c r="C3875">
        <v>9</v>
      </c>
      <c r="D3875">
        <v>23600</v>
      </c>
      <c r="E3875">
        <v>985</v>
      </c>
      <c r="F3875">
        <v>114655.59</v>
      </c>
      <c r="G3875">
        <v>23164.93</v>
      </c>
      <c r="H3875" t="str">
        <f>VLOOKUP(myynnit[[#This Row],[TuoteID]],ohjaus!$A$4:$B$20,2,FALSE)</f>
        <v>Pinnatuoli</v>
      </c>
    </row>
    <row r="3876" spans="1:8" x14ac:dyDescent="0.35">
      <c r="A3876" t="s">
        <v>38</v>
      </c>
      <c r="B3876">
        <v>2016</v>
      </c>
      <c r="C3876">
        <v>9</v>
      </c>
      <c r="D3876">
        <v>23756</v>
      </c>
      <c r="E3876">
        <v>88</v>
      </c>
      <c r="F3876">
        <v>15138.89</v>
      </c>
      <c r="G3876">
        <v>8119.27</v>
      </c>
      <c r="H3876" t="str">
        <f>VLOOKUP(myynnit[[#This Row],[TuoteID]],ohjaus!$A$4:$B$20,2,FALSE)</f>
        <v>Pianotuoli</v>
      </c>
    </row>
    <row r="3877" spans="1:8" x14ac:dyDescent="0.35">
      <c r="A3877" t="s">
        <v>38</v>
      </c>
      <c r="B3877">
        <v>2016</v>
      </c>
      <c r="C3877">
        <v>9</v>
      </c>
      <c r="D3877">
        <v>24326</v>
      </c>
      <c r="E3877">
        <v>90</v>
      </c>
      <c r="F3877">
        <v>13516.32</v>
      </c>
      <c r="G3877">
        <v>3971.62</v>
      </c>
      <c r="H3877" t="str">
        <f>VLOOKUP(myynnit[[#This Row],[TuoteID]],ohjaus!$A$4:$B$20,2,FALSE)</f>
        <v>Lepotuoli</v>
      </c>
    </row>
    <row r="3878" spans="1:8" x14ac:dyDescent="0.35">
      <c r="A3878" t="s">
        <v>37</v>
      </c>
      <c r="B3878">
        <v>2016</v>
      </c>
      <c r="C3878">
        <v>10</v>
      </c>
      <c r="D3878">
        <v>12184</v>
      </c>
      <c r="E3878">
        <v>82</v>
      </c>
      <c r="F3878">
        <v>11349.3</v>
      </c>
      <c r="G3878">
        <v>6222.33</v>
      </c>
      <c r="H3878" t="str">
        <f>VLOOKUP(myynnit[[#This Row],[TuoteID]],ohjaus!$A$4:$B$20,2,FALSE)</f>
        <v>Rahi</v>
      </c>
    </row>
    <row r="3879" spans="1:8" x14ac:dyDescent="0.35">
      <c r="A3879" t="s">
        <v>37</v>
      </c>
      <c r="B3879">
        <v>2016</v>
      </c>
      <c r="C3879">
        <v>10</v>
      </c>
      <c r="D3879">
        <v>12622</v>
      </c>
      <c r="E3879">
        <v>61</v>
      </c>
      <c r="F3879">
        <v>14997.1</v>
      </c>
      <c r="G3879">
        <v>7044.99</v>
      </c>
      <c r="H3879" t="str">
        <f>VLOOKUP(myynnit[[#This Row],[TuoteID]],ohjaus!$A$4:$B$20,2,FALSE)</f>
        <v>Pianotuoli</v>
      </c>
    </row>
    <row r="3880" spans="1:8" x14ac:dyDescent="0.35">
      <c r="A3880" t="s">
        <v>37</v>
      </c>
      <c r="B3880">
        <v>2016</v>
      </c>
      <c r="C3880">
        <v>10</v>
      </c>
      <c r="D3880">
        <v>13527</v>
      </c>
      <c r="E3880">
        <v>540</v>
      </c>
      <c r="F3880">
        <v>82489.58</v>
      </c>
      <c r="G3880">
        <v>13682.7</v>
      </c>
      <c r="H3880" t="str">
        <f>VLOOKUP(myynnit[[#This Row],[TuoteID]],ohjaus!$A$4:$B$20,2,FALSE)</f>
        <v>Pinnatuoli</v>
      </c>
    </row>
    <row r="3881" spans="1:8" x14ac:dyDescent="0.35">
      <c r="A3881" t="s">
        <v>37</v>
      </c>
      <c r="B3881">
        <v>2016</v>
      </c>
      <c r="C3881">
        <v>10</v>
      </c>
      <c r="D3881">
        <v>13618</v>
      </c>
      <c r="E3881">
        <v>17</v>
      </c>
      <c r="F3881">
        <v>7764.08</v>
      </c>
      <c r="G3881">
        <v>3266.14</v>
      </c>
      <c r="H3881" t="str">
        <f>VLOOKUP(myynnit[[#This Row],[TuoteID]],ohjaus!$A$4:$B$20,2,FALSE)</f>
        <v>Pianotuoli</v>
      </c>
    </row>
    <row r="3882" spans="1:8" x14ac:dyDescent="0.35">
      <c r="A3882" t="s">
        <v>37</v>
      </c>
      <c r="B3882">
        <v>2016</v>
      </c>
      <c r="C3882">
        <v>10</v>
      </c>
      <c r="D3882">
        <v>16024</v>
      </c>
      <c r="E3882">
        <v>228</v>
      </c>
      <c r="F3882">
        <v>90545.84</v>
      </c>
      <c r="G3882">
        <v>24112.74</v>
      </c>
      <c r="H3882" t="str">
        <f>VLOOKUP(myynnit[[#This Row],[TuoteID]],ohjaus!$A$4:$B$20,2,FALSE)</f>
        <v>Työtuoli</v>
      </c>
    </row>
    <row r="3883" spans="1:8" x14ac:dyDescent="0.35">
      <c r="A3883" t="s">
        <v>37</v>
      </c>
      <c r="B3883">
        <v>2016</v>
      </c>
      <c r="C3883">
        <v>10</v>
      </c>
      <c r="D3883">
        <v>16650</v>
      </c>
      <c r="E3883">
        <v>57</v>
      </c>
      <c r="F3883">
        <v>8306.57</v>
      </c>
      <c r="G3883">
        <v>3887.66</v>
      </c>
      <c r="H3883" t="str">
        <f>VLOOKUP(myynnit[[#This Row],[TuoteID]],ohjaus!$A$4:$B$20,2,FALSE)</f>
        <v>Rahi</v>
      </c>
    </row>
    <row r="3884" spans="1:8" x14ac:dyDescent="0.35">
      <c r="A3884" t="s">
        <v>37</v>
      </c>
      <c r="B3884">
        <v>2016</v>
      </c>
      <c r="C3884">
        <v>10</v>
      </c>
      <c r="D3884">
        <v>17892</v>
      </c>
      <c r="E3884">
        <v>109</v>
      </c>
      <c r="F3884">
        <v>14972.92</v>
      </c>
      <c r="G3884">
        <v>4049.32</v>
      </c>
      <c r="H3884" t="str">
        <f>VLOOKUP(myynnit[[#This Row],[TuoteID]],ohjaus!$A$4:$B$20,2,FALSE)</f>
        <v>Lepotuoli</v>
      </c>
    </row>
    <row r="3885" spans="1:8" x14ac:dyDescent="0.35">
      <c r="A3885" t="s">
        <v>37</v>
      </c>
      <c r="B3885">
        <v>2016</v>
      </c>
      <c r="C3885">
        <v>10</v>
      </c>
      <c r="D3885">
        <v>18342</v>
      </c>
      <c r="E3885">
        <v>120</v>
      </c>
      <c r="F3885">
        <v>91775.35</v>
      </c>
      <c r="G3885">
        <v>26723.59</v>
      </c>
      <c r="H3885" t="str">
        <f>VLOOKUP(myynnit[[#This Row],[TuoteID]],ohjaus!$A$4:$B$20,2,FALSE)</f>
        <v>Työtuoli</v>
      </c>
    </row>
    <row r="3886" spans="1:8" x14ac:dyDescent="0.35">
      <c r="A3886" t="s">
        <v>37</v>
      </c>
      <c r="B3886">
        <v>2016</v>
      </c>
      <c r="C3886">
        <v>10</v>
      </c>
      <c r="D3886">
        <v>20177</v>
      </c>
      <c r="E3886">
        <v>81</v>
      </c>
      <c r="F3886">
        <v>7581.44</v>
      </c>
      <c r="G3886">
        <v>2562.2800000000002</v>
      </c>
      <c r="H3886" t="str">
        <f>VLOOKUP(myynnit[[#This Row],[TuoteID]],ohjaus!$A$4:$B$20,2,FALSE)</f>
        <v>Säkkituoli</v>
      </c>
    </row>
    <row r="3887" spans="1:8" x14ac:dyDescent="0.35">
      <c r="A3887" t="s">
        <v>37</v>
      </c>
      <c r="B3887">
        <v>2016</v>
      </c>
      <c r="C3887">
        <v>10</v>
      </c>
      <c r="D3887">
        <v>21179</v>
      </c>
      <c r="E3887">
        <v>28</v>
      </c>
      <c r="F3887">
        <v>3070.9</v>
      </c>
      <c r="G3887">
        <v>1371.14</v>
      </c>
      <c r="H3887" t="str">
        <f>VLOOKUP(myynnit[[#This Row],[TuoteID]],ohjaus!$A$4:$B$20,2,FALSE)</f>
        <v>Rahi</v>
      </c>
    </row>
    <row r="3888" spans="1:8" x14ac:dyDescent="0.35">
      <c r="A3888" t="s">
        <v>37</v>
      </c>
      <c r="B3888">
        <v>2016</v>
      </c>
      <c r="C3888">
        <v>10</v>
      </c>
      <c r="D3888">
        <v>21260</v>
      </c>
      <c r="E3888">
        <v>108</v>
      </c>
      <c r="F3888">
        <v>20341.97</v>
      </c>
      <c r="G3888">
        <v>5857.99</v>
      </c>
      <c r="H3888" t="str">
        <f>VLOOKUP(myynnit[[#This Row],[TuoteID]],ohjaus!$A$4:$B$20,2,FALSE)</f>
        <v>Lepotuoli</v>
      </c>
    </row>
    <row r="3889" spans="1:8" x14ac:dyDescent="0.35">
      <c r="A3889" t="s">
        <v>37</v>
      </c>
      <c r="B3889">
        <v>2016</v>
      </c>
      <c r="C3889">
        <v>10</v>
      </c>
      <c r="D3889">
        <v>22317</v>
      </c>
      <c r="E3889">
        <v>79</v>
      </c>
      <c r="F3889">
        <v>7463</v>
      </c>
      <c r="G3889">
        <v>2860.23</v>
      </c>
      <c r="H3889" t="str">
        <f>VLOOKUP(myynnit[[#This Row],[TuoteID]],ohjaus!$A$4:$B$20,2,FALSE)</f>
        <v>Säkkituoli</v>
      </c>
    </row>
    <row r="3890" spans="1:8" x14ac:dyDescent="0.35">
      <c r="A3890" t="s">
        <v>37</v>
      </c>
      <c r="B3890">
        <v>2016</v>
      </c>
      <c r="C3890">
        <v>10</v>
      </c>
      <c r="D3890">
        <v>22940</v>
      </c>
      <c r="E3890">
        <v>574</v>
      </c>
      <c r="F3890">
        <v>75646.5</v>
      </c>
      <c r="G3890">
        <v>15695.35</v>
      </c>
      <c r="H3890" t="str">
        <f>VLOOKUP(myynnit[[#This Row],[TuoteID]],ohjaus!$A$4:$B$20,2,FALSE)</f>
        <v>Pinnatuoli</v>
      </c>
    </row>
    <row r="3891" spans="1:8" x14ac:dyDescent="0.35">
      <c r="A3891" t="s">
        <v>37</v>
      </c>
      <c r="B3891">
        <v>2016</v>
      </c>
      <c r="C3891">
        <v>10</v>
      </c>
      <c r="D3891">
        <v>23178</v>
      </c>
      <c r="E3891">
        <v>225</v>
      </c>
      <c r="F3891">
        <v>42175.16</v>
      </c>
      <c r="G3891">
        <v>6983.93</v>
      </c>
      <c r="H3891" t="str">
        <f>VLOOKUP(myynnit[[#This Row],[TuoteID]],ohjaus!$A$4:$B$20,2,FALSE)</f>
        <v>Pinnatuoli</v>
      </c>
    </row>
    <row r="3892" spans="1:8" x14ac:dyDescent="0.35">
      <c r="A3892" t="s">
        <v>37</v>
      </c>
      <c r="B3892">
        <v>2016</v>
      </c>
      <c r="C3892">
        <v>10</v>
      </c>
      <c r="D3892">
        <v>23600</v>
      </c>
      <c r="E3892">
        <v>1371</v>
      </c>
      <c r="F3892">
        <v>154200.54</v>
      </c>
      <c r="G3892">
        <v>39265.75</v>
      </c>
      <c r="H3892" t="str">
        <f>VLOOKUP(myynnit[[#This Row],[TuoteID]],ohjaus!$A$4:$B$20,2,FALSE)</f>
        <v>Pinnatuoli</v>
      </c>
    </row>
    <row r="3893" spans="1:8" x14ac:dyDescent="0.35">
      <c r="A3893" t="s">
        <v>37</v>
      </c>
      <c r="B3893">
        <v>2016</v>
      </c>
      <c r="C3893">
        <v>10</v>
      </c>
      <c r="D3893">
        <v>23756</v>
      </c>
      <c r="E3893">
        <v>136</v>
      </c>
      <c r="F3893">
        <v>22810.74</v>
      </c>
      <c r="G3893">
        <v>11531.07</v>
      </c>
      <c r="H3893" t="str">
        <f>VLOOKUP(myynnit[[#This Row],[TuoteID]],ohjaus!$A$4:$B$20,2,FALSE)</f>
        <v>Pianotuoli</v>
      </c>
    </row>
    <row r="3894" spans="1:8" x14ac:dyDescent="0.35">
      <c r="A3894" t="s">
        <v>37</v>
      </c>
      <c r="B3894">
        <v>2016</v>
      </c>
      <c r="C3894">
        <v>10</v>
      </c>
      <c r="D3894">
        <v>24326</v>
      </c>
      <c r="E3894">
        <v>114</v>
      </c>
      <c r="F3894">
        <v>16951.57</v>
      </c>
      <c r="G3894">
        <v>4495.42</v>
      </c>
      <c r="H3894" t="str">
        <f>VLOOKUP(myynnit[[#This Row],[TuoteID]],ohjaus!$A$4:$B$20,2,FALSE)</f>
        <v>Lepotuoli</v>
      </c>
    </row>
    <row r="3895" spans="1:8" x14ac:dyDescent="0.35">
      <c r="A3895" t="s">
        <v>40</v>
      </c>
      <c r="B3895">
        <v>2016</v>
      </c>
      <c r="C3895">
        <v>10</v>
      </c>
      <c r="D3895">
        <v>12184</v>
      </c>
      <c r="E3895">
        <v>24</v>
      </c>
      <c r="F3895">
        <v>2477.61</v>
      </c>
      <c r="G3895">
        <v>1087.96</v>
      </c>
      <c r="H3895" t="str">
        <f>VLOOKUP(myynnit[[#This Row],[TuoteID]],ohjaus!$A$4:$B$20,2,FALSE)</f>
        <v>Rahi</v>
      </c>
    </row>
    <row r="3896" spans="1:8" x14ac:dyDescent="0.35">
      <c r="A3896" t="s">
        <v>40</v>
      </c>
      <c r="B3896">
        <v>2016</v>
      </c>
      <c r="C3896">
        <v>10</v>
      </c>
      <c r="D3896">
        <v>12622</v>
      </c>
      <c r="E3896">
        <v>16</v>
      </c>
      <c r="F3896">
        <v>4664.37</v>
      </c>
      <c r="G3896">
        <v>1988.2</v>
      </c>
      <c r="H3896" t="str">
        <f>VLOOKUP(myynnit[[#This Row],[TuoteID]],ohjaus!$A$4:$B$20,2,FALSE)</f>
        <v>Pianotuoli</v>
      </c>
    </row>
    <row r="3897" spans="1:8" x14ac:dyDescent="0.35">
      <c r="A3897" t="s">
        <v>40</v>
      </c>
      <c r="B3897">
        <v>2016</v>
      </c>
      <c r="C3897">
        <v>10</v>
      </c>
      <c r="D3897">
        <v>13527</v>
      </c>
      <c r="E3897">
        <v>334</v>
      </c>
      <c r="F3897">
        <v>53095.73</v>
      </c>
      <c r="G3897">
        <v>8940.9500000000007</v>
      </c>
      <c r="H3897" t="str">
        <f>VLOOKUP(myynnit[[#This Row],[TuoteID]],ohjaus!$A$4:$B$20,2,FALSE)</f>
        <v>Pinnatuoli</v>
      </c>
    </row>
    <row r="3898" spans="1:8" x14ac:dyDescent="0.35">
      <c r="A3898" t="s">
        <v>40</v>
      </c>
      <c r="B3898">
        <v>2016</v>
      </c>
      <c r="C3898">
        <v>10</v>
      </c>
      <c r="D3898">
        <v>13618</v>
      </c>
      <c r="E3898">
        <v>9</v>
      </c>
      <c r="F3898">
        <v>3588.3</v>
      </c>
      <c r="G3898">
        <v>1799.71</v>
      </c>
      <c r="H3898" t="str">
        <f>VLOOKUP(myynnit[[#This Row],[TuoteID]],ohjaus!$A$4:$B$20,2,FALSE)</f>
        <v>Pianotuoli</v>
      </c>
    </row>
    <row r="3899" spans="1:8" x14ac:dyDescent="0.35">
      <c r="A3899" t="s">
        <v>40</v>
      </c>
      <c r="B3899">
        <v>2016</v>
      </c>
      <c r="C3899">
        <v>10</v>
      </c>
      <c r="D3899">
        <v>16024</v>
      </c>
      <c r="E3899">
        <v>79</v>
      </c>
      <c r="F3899">
        <v>30557.25</v>
      </c>
      <c r="G3899">
        <v>9316.91</v>
      </c>
      <c r="H3899" t="str">
        <f>VLOOKUP(myynnit[[#This Row],[TuoteID]],ohjaus!$A$4:$B$20,2,FALSE)</f>
        <v>Työtuoli</v>
      </c>
    </row>
    <row r="3900" spans="1:8" x14ac:dyDescent="0.35">
      <c r="A3900" t="s">
        <v>40</v>
      </c>
      <c r="B3900">
        <v>2016</v>
      </c>
      <c r="C3900">
        <v>10</v>
      </c>
      <c r="D3900">
        <v>16650</v>
      </c>
      <c r="E3900">
        <v>17</v>
      </c>
      <c r="F3900">
        <v>2897.16</v>
      </c>
      <c r="G3900">
        <v>1836.14</v>
      </c>
      <c r="H3900" t="str">
        <f>VLOOKUP(myynnit[[#This Row],[TuoteID]],ohjaus!$A$4:$B$20,2,FALSE)</f>
        <v>Rahi</v>
      </c>
    </row>
    <row r="3901" spans="1:8" x14ac:dyDescent="0.35">
      <c r="A3901" t="s">
        <v>40</v>
      </c>
      <c r="B3901">
        <v>2016</v>
      </c>
      <c r="C3901">
        <v>10</v>
      </c>
      <c r="D3901">
        <v>17892</v>
      </c>
      <c r="E3901">
        <v>76</v>
      </c>
      <c r="F3901">
        <v>10055.459999999999</v>
      </c>
      <c r="G3901">
        <v>2563.9499999999998</v>
      </c>
      <c r="H3901" t="str">
        <f>VLOOKUP(myynnit[[#This Row],[TuoteID]],ohjaus!$A$4:$B$20,2,FALSE)</f>
        <v>Lepotuoli</v>
      </c>
    </row>
    <row r="3902" spans="1:8" x14ac:dyDescent="0.35">
      <c r="A3902" t="s">
        <v>40</v>
      </c>
      <c r="B3902">
        <v>2016</v>
      </c>
      <c r="C3902">
        <v>10</v>
      </c>
      <c r="D3902">
        <v>18342</v>
      </c>
      <c r="E3902">
        <v>16</v>
      </c>
      <c r="F3902">
        <v>13562.11</v>
      </c>
      <c r="G3902">
        <v>4275.7</v>
      </c>
      <c r="H3902" t="str">
        <f>VLOOKUP(myynnit[[#This Row],[TuoteID]],ohjaus!$A$4:$B$20,2,FALSE)</f>
        <v>Työtuoli</v>
      </c>
    </row>
    <row r="3903" spans="1:8" x14ac:dyDescent="0.35">
      <c r="A3903" t="s">
        <v>40</v>
      </c>
      <c r="B3903">
        <v>2016</v>
      </c>
      <c r="C3903">
        <v>10</v>
      </c>
      <c r="D3903">
        <v>20177</v>
      </c>
      <c r="E3903">
        <v>22</v>
      </c>
      <c r="F3903">
        <v>2508.39</v>
      </c>
      <c r="G3903">
        <v>1126.45</v>
      </c>
      <c r="H3903" t="str">
        <f>VLOOKUP(myynnit[[#This Row],[TuoteID]],ohjaus!$A$4:$B$20,2,FALSE)</f>
        <v>Säkkituoli</v>
      </c>
    </row>
    <row r="3904" spans="1:8" x14ac:dyDescent="0.35">
      <c r="A3904" t="s">
        <v>40</v>
      </c>
      <c r="B3904">
        <v>2016</v>
      </c>
      <c r="C3904">
        <v>10</v>
      </c>
      <c r="D3904">
        <v>21179</v>
      </c>
      <c r="E3904">
        <v>20</v>
      </c>
      <c r="F3904">
        <v>2067.62</v>
      </c>
      <c r="G3904">
        <v>1287.25</v>
      </c>
      <c r="H3904" t="str">
        <f>VLOOKUP(myynnit[[#This Row],[TuoteID]],ohjaus!$A$4:$B$20,2,FALSE)</f>
        <v>Rahi</v>
      </c>
    </row>
    <row r="3905" spans="1:8" x14ac:dyDescent="0.35">
      <c r="A3905" t="s">
        <v>40</v>
      </c>
      <c r="B3905">
        <v>2016</v>
      </c>
      <c r="C3905">
        <v>10</v>
      </c>
      <c r="D3905">
        <v>21260</v>
      </c>
      <c r="E3905">
        <v>62</v>
      </c>
      <c r="F3905">
        <v>11417.47</v>
      </c>
      <c r="G3905">
        <v>2928.99</v>
      </c>
      <c r="H3905" t="str">
        <f>VLOOKUP(myynnit[[#This Row],[TuoteID]],ohjaus!$A$4:$B$20,2,FALSE)</f>
        <v>Lepotuoli</v>
      </c>
    </row>
    <row r="3906" spans="1:8" x14ac:dyDescent="0.35">
      <c r="A3906" t="s">
        <v>40</v>
      </c>
      <c r="B3906">
        <v>2016</v>
      </c>
      <c r="C3906">
        <v>10</v>
      </c>
      <c r="D3906">
        <v>22317</v>
      </c>
      <c r="E3906">
        <v>8</v>
      </c>
      <c r="F3906">
        <v>731.73</v>
      </c>
      <c r="G3906">
        <v>322.23</v>
      </c>
      <c r="H3906" t="str">
        <f>VLOOKUP(myynnit[[#This Row],[TuoteID]],ohjaus!$A$4:$B$20,2,FALSE)</f>
        <v>Säkkituoli</v>
      </c>
    </row>
    <row r="3907" spans="1:8" x14ac:dyDescent="0.35">
      <c r="A3907" t="s">
        <v>40</v>
      </c>
      <c r="B3907">
        <v>2016</v>
      </c>
      <c r="C3907">
        <v>10</v>
      </c>
      <c r="D3907">
        <v>22940</v>
      </c>
      <c r="E3907">
        <v>108</v>
      </c>
      <c r="F3907">
        <v>14875.81</v>
      </c>
      <c r="G3907">
        <v>4147.96</v>
      </c>
      <c r="H3907" t="str">
        <f>VLOOKUP(myynnit[[#This Row],[TuoteID]],ohjaus!$A$4:$B$20,2,FALSE)</f>
        <v>Pinnatuoli</v>
      </c>
    </row>
    <row r="3908" spans="1:8" x14ac:dyDescent="0.35">
      <c r="A3908" t="s">
        <v>40</v>
      </c>
      <c r="B3908">
        <v>2016</v>
      </c>
      <c r="C3908">
        <v>10</v>
      </c>
      <c r="D3908">
        <v>23178</v>
      </c>
      <c r="E3908">
        <v>134</v>
      </c>
      <c r="F3908">
        <v>23071.42</v>
      </c>
      <c r="G3908">
        <v>5809.5</v>
      </c>
      <c r="H3908" t="str">
        <f>VLOOKUP(myynnit[[#This Row],[TuoteID]],ohjaus!$A$4:$B$20,2,FALSE)</f>
        <v>Pinnatuoli</v>
      </c>
    </row>
    <row r="3909" spans="1:8" x14ac:dyDescent="0.35">
      <c r="A3909" t="s">
        <v>40</v>
      </c>
      <c r="B3909">
        <v>2016</v>
      </c>
      <c r="C3909">
        <v>10</v>
      </c>
      <c r="D3909">
        <v>23600</v>
      </c>
      <c r="E3909">
        <v>443</v>
      </c>
      <c r="F3909">
        <v>45608.92</v>
      </c>
      <c r="G3909">
        <v>13557.98</v>
      </c>
      <c r="H3909" t="str">
        <f>VLOOKUP(myynnit[[#This Row],[TuoteID]],ohjaus!$A$4:$B$20,2,FALSE)</f>
        <v>Pinnatuoli</v>
      </c>
    </row>
    <row r="3910" spans="1:8" x14ac:dyDescent="0.35">
      <c r="A3910" t="s">
        <v>40</v>
      </c>
      <c r="B3910">
        <v>2016</v>
      </c>
      <c r="C3910">
        <v>10</v>
      </c>
      <c r="D3910">
        <v>23756</v>
      </c>
      <c r="E3910">
        <v>94</v>
      </c>
      <c r="F3910">
        <v>16566.47</v>
      </c>
      <c r="G3910">
        <v>7159.22</v>
      </c>
      <c r="H3910" t="str">
        <f>VLOOKUP(myynnit[[#This Row],[TuoteID]],ohjaus!$A$4:$B$20,2,FALSE)</f>
        <v>Pianotuoli</v>
      </c>
    </row>
    <row r="3911" spans="1:8" x14ac:dyDescent="0.35">
      <c r="A3911" t="s">
        <v>40</v>
      </c>
      <c r="B3911">
        <v>2016</v>
      </c>
      <c r="C3911">
        <v>10</v>
      </c>
      <c r="D3911">
        <v>24326</v>
      </c>
      <c r="E3911">
        <v>19</v>
      </c>
      <c r="F3911">
        <v>2915.53</v>
      </c>
      <c r="G3911">
        <v>869.18</v>
      </c>
      <c r="H3911" t="str">
        <f>VLOOKUP(myynnit[[#This Row],[TuoteID]],ohjaus!$A$4:$B$20,2,FALSE)</f>
        <v>Lepotuoli</v>
      </c>
    </row>
    <row r="3912" spans="1:8" x14ac:dyDescent="0.35">
      <c r="A3912" t="s">
        <v>39</v>
      </c>
      <c r="B3912">
        <v>2016</v>
      </c>
      <c r="C3912">
        <v>10</v>
      </c>
      <c r="D3912">
        <v>12184</v>
      </c>
      <c r="E3912">
        <v>63</v>
      </c>
      <c r="F3912">
        <v>9287.75</v>
      </c>
      <c r="G3912">
        <v>5874.49</v>
      </c>
      <c r="H3912" t="str">
        <f>VLOOKUP(myynnit[[#This Row],[TuoteID]],ohjaus!$A$4:$B$20,2,FALSE)</f>
        <v>Rahi</v>
      </c>
    </row>
    <row r="3913" spans="1:8" x14ac:dyDescent="0.35">
      <c r="A3913" t="s">
        <v>39</v>
      </c>
      <c r="B3913">
        <v>2016</v>
      </c>
      <c r="C3913">
        <v>10</v>
      </c>
      <c r="D3913">
        <v>12622</v>
      </c>
      <c r="E3913">
        <v>54</v>
      </c>
      <c r="F3913">
        <v>14120.47</v>
      </c>
      <c r="G3913">
        <v>8068.83</v>
      </c>
      <c r="H3913" t="str">
        <f>VLOOKUP(myynnit[[#This Row],[TuoteID]],ohjaus!$A$4:$B$20,2,FALSE)</f>
        <v>Pianotuoli</v>
      </c>
    </row>
    <row r="3914" spans="1:8" x14ac:dyDescent="0.35">
      <c r="A3914" t="s">
        <v>39</v>
      </c>
      <c r="B3914">
        <v>2016</v>
      </c>
      <c r="C3914">
        <v>10</v>
      </c>
      <c r="D3914">
        <v>13527</v>
      </c>
      <c r="E3914">
        <v>481</v>
      </c>
      <c r="F3914">
        <v>73957.960000000006</v>
      </c>
      <c r="G3914">
        <v>16085.92</v>
      </c>
      <c r="H3914" t="str">
        <f>VLOOKUP(myynnit[[#This Row],[TuoteID]],ohjaus!$A$4:$B$20,2,FALSE)</f>
        <v>Pinnatuoli</v>
      </c>
    </row>
    <row r="3915" spans="1:8" x14ac:dyDescent="0.35">
      <c r="A3915" t="s">
        <v>39</v>
      </c>
      <c r="B3915">
        <v>2016</v>
      </c>
      <c r="C3915">
        <v>10</v>
      </c>
      <c r="D3915">
        <v>13618</v>
      </c>
      <c r="E3915">
        <v>27</v>
      </c>
      <c r="F3915">
        <v>9582.49</v>
      </c>
      <c r="G3915">
        <v>4969.8599999999997</v>
      </c>
      <c r="H3915" t="str">
        <f>VLOOKUP(myynnit[[#This Row],[TuoteID]],ohjaus!$A$4:$B$20,2,FALSE)</f>
        <v>Pianotuoli</v>
      </c>
    </row>
    <row r="3916" spans="1:8" x14ac:dyDescent="0.35">
      <c r="A3916" t="s">
        <v>39</v>
      </c>
      <c r="B3916">
        <v>2016</v>
      </c>
      <c r="C3916">
        <v>10</v>
      </c>
      <c r="D3916">
        <v>16024</v>
      </c>
      <c r="E3916">
        <v>139</v>
      </c>
      <c r="F3916">
        <v>60332.39</v>
      </c>
      <c r="G3916">
        <v>15402.42</v>
      </c>
      <c r="H3916" t="str">
        <f>VLOOKUP(myynnit[[#This Row],[TuoteID]],ohjaus!$A$4:$B$20,2,FALSE)</f>
        <v>Työtuoli</v>
      </c>
    </row>
    <row r="3917" spans="1:8" x14ac:dyDescent="0.35">
      <c r="A3917" t="s">
        <v>39</v>
      </c>
      <c r="B3917">
        <v>2016</v>
      </c>
      <c r="C3917">
        <v>10</v>
      </c>
      <c r="D3917">
        <v>16650</v>
      </c>
      <c r="E3917">
        <v>32</v>
      </c>
      <c r="F3917">
        <v>5123.5600000000004</v>
      </c>
      <c r="G3917">
        <v>3745.07</v>
      </c>
      <c r="H3917" t="str">
        <f>VLOOKUP(myynnit[[#This Row],[TuoteID]],ohjaus!$A$4:$B$20,2,FALSE)</f>
        <v>Rahi</v>
      </c>
    </row>
    <row r="3918" spans="1:8" x14ac:dyDescent="0.35">
      <c r="A3918" t="s">
        <v>39</v>
      </c>
      <c r="B3918">
        <v>2016</v>
      </c>
      <c r="C3918">
        <v>10</v>
      </c>
      <c r="D3918">
        <v>17892</v>
      </c>
      <c r="E3918">
        <v>75</v>
      </c>
      <c r="F3918">
        <v>10359.06</v>
      </c>
      <c r="G3918">
        <v>3619.29</v>
      </c>
      <c r="H3918" t="str">
        <f>VLOOKUP(myynnit[[#This Row],[TuoteID]],ohjaus!$A$4:$B$20,2,FALSE)</f>
        <v>Lepotuoli</v>
      </c>
    </row>
    <row r="3919" spans="1:8" x14ac:dyDescent="0.35">
      <c r="A3919" t="s">
        <v>39</v>
      </c>
      <c r="B3919">
        <v>2016</v>
      </c>
      <c r="C3919">
        <v>10</v>
      </c>
      <c r="D3919">
        <v>18342</v>
      </c>
      <c r="E3919">
        <v>143</v>
      </c>
      <c r="F3919">
        <v>123028.54</v>
      </c>
      <c r="G3919">
        <v>38718.74</v>
      </c>
      <c r="H3919" t="str">
        <f>VLOOKUP(myynnit[[#This Row],[TuoteID]],ohjaus!$A$4:$B$20,2,FALSE)</f>
        <v>Työtuoli</v>
      </c>
    </row>
    <row r="3920" spans="1:8" x14ac:dyDescent="0.35">
      <c r="A3920" t="s">
        <v>39</v>
      </c>
      <c r="B3920">
        <v>2016</v>
      </c>
      <c r="C3920">
        <v>10</v>
      </c>
      <c r="D3920">
        <v>20177</v>
      </c>
      <c r="E3920">
        <v>42</v>
      </c>
      <c r="F3920">
        <v>4392.05</v>
      </c>
      <c r="G3920">
        <v>1859.86</v>
      </c>
      <c r="H3920" t="str">
        <f>VLOOKUP(myynnit[[#This Row],[TuoteID]],ohjaus!$A$4:$B$20,2,FALSE)</f>
        <v>Säkkituoli</v>
      </c>
    </row>
    <row r="3921" spans="1:8" x14ac:dyDescent="0.35">
      <c r="A3921" t="s">
        <v>39</v>
      </c>
      <c r="B3921">
        <v>2016</v>
      </c>
      <c r="C3921">
        <v>10</v>
      </c>
      <c r="D3921">
        <v>21179</v>
      </c>
      <c r="E3921">
        <v>34</v>
      </c>
      <c r="F3921">
        <v>5548.25</v>
      </c>
      <c r="G3921">
        <v>3707.8</v>
      </c>
      <c r="H3921" t="str">
        <f>VLOOKUP(myynnit[[#This Row],[TuoteID]],ohjaus!$A$4:$B$20,2,FALSE)</f>
        <v>Rahi</v>
      </c>
    </row>
    <row r="3922" spans="1:8" x14ac:dyDescent="0.35">
      <c r="A3922" t="s">
        <v>39</v>
      </c>
      <c r="B3922">
        <v>2016</v>
      </c>
      <c r="C3922">
        <v>10</v>
      </c>
      <c r="D3922">
        <v>21260</v>
      </c>
      <c r="E3922">
        <v>49</v>
      </c>
      <c r="F3922">
        <v>10439.44</v>
      </c>
      <c r="G3922">
        <v>3416.59</v>
      </c>
      <c r="H3922" t="str">
        <f>VLOOKUP(myynnit[[#This Row],[TuoteID]],ohjaus!$A$4:$B$20,2,FALSE)</f>
        <v>Lepotuoli</v>
      </c>
    </row>
    <row r="3923" spans="1:8" x14ac:dyDescent="0.35">
      <c r="A3923" t="s">
        <v>39</v>
      </c>
      <c r="B3923">
        <v>2016</v>
      </c>
      <c r="C3923">
        <v>10</v>
      </c>
      <c r="D3923">
        <v>22317</v>
      </c>
      <c r="E3923">
        <v>41</v>
      </c>
      <c r="F3923">
        <v>3859.29</v>
      </c>
      <c r="G3923">
        <v>1572.78</v>
      </c>
      <c r="H3923" t="str">
        <f>VLOOKUP(myynnit[[#This Row],[TuoteID]],ohjaus!$A$4:$B$20,2,FALSE)</f>
        <v>Säkkituoli</v>
      </c>
    </row>
    <row r="3924" spans="1:8" x14ac:dyDescent="0.35">
      <c r="A3924" t="s">
        <v>39</v>
      </c>
      <c r="B3924">
        <v>2016</v>
      </c>
      <c r="C3924">
        <v>10</v>
      </c>
      <c r="D3924">
        <v>22940</v>
      </c>
      <c r="E3924">
        <v>351</v>
      </c>
      <c r="F3924">
        <v>42865.49</v>
      </c>
      <c r="G3924">
        <v>10934.88</v>
      </c>
      <c r="H3924" t="str">
        <f>VLOOKUP(myynnit[[#This Row],[TuoteID]],ohjaus!$A$4:$B$20,2,FALSE)</f>
        <v>Pinnatuoli</v>
      </c>
    </row>
    <row r="3925" spans="1:8" x14ac:dyDescent="0.35">
      <c r="A3925" t="s">
        <v>39</v>
      </c>
      <c r="B3925">
        <v>2016</v>
      </c>
      <c r="C3925">
        <v>10</v>
      </c>
      <c r="D3925">
        <v>23178</v>
      </c>
      <c r="E3925">
        <v>218</v>
      </c>
      <c r="F3925">
        <v>41442.720000000001</v>
      </c>
      <c r="G3925">
        <v>9481.31</v>
      </c>
      <c r="H3925" t="str">
        <f>VLOOKUP(myynnit[[#This Row],[TuoteID]],ohjaus!$A$4:$B$20,2,FALSE)</f>
        <v>Pinnatuoli</v>
      </c>
    </row>
    <row r="3926" spans="1:8" x14ac:dyDescent="0.35">
      <c r="A3926" t="s">
        <v>39</v>
      </c>
      <c r="B3926">
        <v>2016</v>
      </c>
      <c r="C3926">
        <v>10</v>
      </c>
      <c r="D3926">
        <v>23600</v>
      </c>
      <c r="E3926">
        <v>726</v>
      </c>
      <c r="F3926">
        <v>72963.31</v>
      </c>
      <c r="G3926">
        <v>18986.740000000002</v>
      </c>
      <c r="H3926" t="str">
        <f>VLOOKUP(myynnit[[#This Row],[TuoteID]],ohjaus!$A$4:$B$20,2,FALSE)</f>
        <v>Pinnatuoli</v>
      </c>
    </row>
    <row r="3927" spans="1:8" x14ac:dyDescent="0.35">
      <c r="A3927" t="s">
        <v>39</v>
      </c>
      <c r="B3927">
        <v>2016</v>
      </c>
      <c r="C3927">
        <v>10</v>
      </c>
      <c r="D3927">
        <v>23756</v>
      </c>
      <c r="E3927">
        <v>126</v>
      </c>
      <c r="F3927">
        <v>18995.14</v>
      </c>
      <c r="G3927">
        <v>10302.81</v>
      </c>
      <c r="H3927" t="str">
        <f>VLOOKUP(myynnit[[#This Row],[TuoteID]],ohjaus!$A$4:$B$20,2,FALSE)</f>
        <v>Pianotuoli</v>
      </c>
    </row>
    <row r="3928" spans="1:8" x14ac:dyDescent="0.35">
      <c r="A3928" t="s">
        <v>39</v>
      </c>
      <c r="B3928">
        <v>2016</v>
      </c>
      <c r="C3928">
        <v>10</v>
      </c>
      <c r="D3928">
        <v>24326</v>
      </c>
      <c r="E3928">
        <v>83</v>
      </c>
      <c r="F3928">
        <v>12601.8</v>
      </c>
      <c r="G3928">
        <v>4018.6</v>
      </c>
      <c r="H3928" t="str">
        <f>VLOOKUP(myynnit[[#This Row],[TuoteID]],ohjaus!$A$4:$B$20,2,FALSE)</f>
        <v>Lepotuoli</v>
      </c>
    </row>
    <row r="3929" spans="1:8" x14ac:dyDescent="0.35">
      <c r="A3929" t="s">
        <v>38</v>
      </c>
      <c r="B3929">
        <v>2016</v>
      </c>
      <c r="C3929">
        <v>10</v>
      </c>
      <c r="D3929">
        <v>12184</v>
      </c>
      <c r="E3929">
        <v>38</v>
      </c>
      <c r="F3929">
        <v>5671.84</v>
      </c>
      <c r="G3929">
        <v>3042.85</v>
      </c>
      <c r="H3929" t="str">
        <f>VLOOKUP(myynnit[[#This Row],[TuoteID]],ohjaus!$A$4:$B$20,2,FALSE)</f>
        <v>Rahi</v>
      </c>
    </row>
    <row r="3930" spans="1:8" x14ac:dyDescent="0.35">
      <c r="A3930" t="s">
        <v>38</v>
      </c>
      <c r="B3930">
        <v>2016</v>
      </c>
      <c r="C3930">
        <v>10</v>
      </c>
      <c r="D3930">
        <v>12622</v>
      </c>
      <c r="E3930">
        <v>41</v>
      </c>
      <c r="F3930">
        <v>12678.97</v>
      </c>
      <c r="G3930">
        <v>5410.19</v>
      </c>
      <c r="H3930" t="str">
        <f>VLOOKUP(myynnit[[#This Row],[TuoteID]],ohjaus!$A$4:$B$20,2,FALSE)</f>
        <v>Pianotuoli</v>
      </c>
    </row>
    <row r="3931" spans="1:8" x14ac:dyDescent="0.35">
      <c r="A3931" t="s">
        <v>38</v>
      </c>
      <c r="B3931">
        <v>2016</v>
      </c>
      <c r="C3931">
        <v>10</v>
      </c>
      <c r="D3931">
        <v>13527</v>
      </c>
      <c r="E3931">
        <v>686</v>
      </c>
      <c r="F3931">
        <v>111776.61</v>
      </c>
      <c r="G3931">
        <v>21565.01</v>
      </c>
      <c r="H3931" t="str">
        <f>VLOOKUP(myynnit[[#This Row],[TuoteID]],ohjaus!$A$4:$B$20,2,FALSE)</f>
        <v>Pinnatuoli</v>
      </c>
    </row>
    <row r="3932" spans="1:8" x14ac:dyDescent="0.35">
      <c r="A3932" t="s">
        <v>38</v>
      </c>
      <c r="B3932">
        <v>2016</v>
      </c>
      <c r="C3932">
        <v>10</v>
      </c>
      <c r="D3932">
        <v>13618</v>
      </c>
      <c r="E3932">
        <v>12</v>
      </c>
      <c r="F3932">
        <v>4155.63</v>
      </c>
      <c r="G3932">
        <v>2087.64</v>
      </c>
      <c r="H3932" t="str">
        <f>VLOOKUP(myynnit[[#This Row],[TuoteID]],ohjaus!$A$4:$B$20,2,FALSE)</f>
        <v>Pianotuoli</v>
      </c>
    </row>
    <row r="3933" spans="1:8" x14ac:dyDescent="0.35">
      <c r="A3933" t="s">
        <v>38</v>
      </c>
      <c r="B3933">
        <v>2016</v>
      </c>
      <c r="C3933">
        <v>10</v>
      </c>
      <c r="D3933">
        <v>16024</v>
      </c>
      <c r="E3933">
        <v>176</v>
      </c>
      <c r="F3933">
        <v>78861.539999999994</v>
      </c>
      <c r="G3933">
        <v>19836.3</v>
      </c>
      <c r="H3933" t="str">
        <f>VLOOKUP(myynnit[[#This Row],[TuoteID]],ohjaus!$A$4:$B$20,2,FALSE)</f>
        <v>Työtuoli</v>
      </c>
    </row>
    <row r="3934" spans="1:8" x14ac:dyDescent="0.35">
      <c r="A3934" t="s">
        <v>38</v>
      </c>
      <c r="B3934">
        <v>2016</v>
      </c>
      <c r="C3934">
        <v>10</v>
      </c>
      <c r="D3934">
        <v>16650</v>
      </c>
      <c r="E3934">
        <v>43</v>
      </c>
      <c r="F3934">
        <v>6023.08</v>
      </c>
      <c r="G3934">
        <v>3744.3</v>
      </c>
      <c r="H3934" t="str">
        <f>VLOOKUP(myynnit[[#This Row],[TuoteID]],ohjaus!$A$4:$B$20,2,FALSE)</f>
        <v>Rahi</v>
      </c>
    </row>
    <row r="3935" spans="1:8" x14ac:dyDescent="0.35">
      <c r="A3935" t="s">
        <v>38</v>
      </c>
      <c r="B3935">
        <v>2016</v>
      </c>
      <c r="C3935">
        <v>10</v>
      </c>
      <c r="D3935">
        <v>17892</v>
      </c>
      <c r="E3935">
        <v>100</v>
      </c>
      <c r="F3935">
        <v>13112.92</v>
      </c>
      <c r="G3935">
        <v>3834.96</v>
      </c>
      <c r="H3935" t="str">
        <f>VLOOKUP(myynnit[[#This Row],[TuoteID]],ohjaus!$A$4:$B$20,2,FALSE)</f>
        <v>Lepotuoli</v>
      </c>
    </row>
    <row r="3936" spans="1:8" x14ac:dyDescent="0.35">
      <c r="A3936" t="s">
        <v>38</v>
      </c>
      <c r="B3936">
        <v>2016</v>
      </c>
      <c r="C3936">
        <v>10</v>
      </c>
      <c r="D3936">
        <v>18342</v>
      </c>
      <c r="E3936">
        <v>122</v>
      </c>
      <c r="F3936">
        <v>107481.60000000001</v>
      </c>
      <c r="G3936">
        <v>28778.48</v>
      </c>
      <c r="H3936" t="str">
        <f>VLOOKUP(myynnit[[#This Row],[TuoteID]],ohjaus!$A$4:$B$20,2,FALSE)</f>
        <v>Työtuoli</v>
      </c>
    </row>
    <row r="3937" spans="1:8" x14ac:dyDescent="0.35">
      <c r="A3937" t="s">
        <v>38</v>
      </c>
      <c r="B3937">
        <v>2016</v>
      </c>
      <c r="C3937">
        <v>10</v>
      </c>
      <c r="D3937">
        <v>20177</v>
      </c>
      <c r="E3937">
        <v>46</v>
      </c>
      <c r="F3937">
        <v>4330.1400000000003</v>
      </c>
      <c r="G3937">
        <v>1713.73</v>
      </c>
      <c r="H3937" t="str">
        <f>VLOOKUP(myynnit[[#This Row],[TuoteID]],ohjaus!$A$4:$B$20,2,FALSE)</f>
        <v>Säkkituoli</v>
      </c>
    </row>
    <row r="3938" spans="1:8" x14ac:dyDescent="0.35">
      <c r="A3938" t="s">
        <v>38</v>
      </c>
      <c r="B3938">
        <v>2016</v>
      </c>
      <c r="C3938">
        <v>10</v>
      </c>
      <c r="D3938">
        <v>21179</v>
      </c>
      <c r="E3938">
        <v>65</v>
      </c>
      <c r="F3938">
        <v>9183.57</v>
      </c>
      <c r="G3938">
        <v>6039.52</v>
      </c>
      <c r="H3938" t="str">
        <f>VLOOKUP(myynnit[[#This Row],[TuoteID]],ohjaus!$A$4:$B$20,2,FALSE)</f>
        <v>Rahi</v>
      </c>
    </row>
    <row r="3939" spans="1:8" x14ac:dyDescent="0.35">
      <c r="A3939" t="s">
        <v>38</v>
      </c>
      <c r="B3939">
        <v>2016</v>
      </c>
      <c r="C3939">
        <v>10</v>
      </c>
      <c r="D3939">
        <v>21260</v>
      </c>
      <c r="E3939">
        <v>69</v>
      </c>
      <c r="F3939">
        <v>11974.24</v>
      </c>
      <c r="G3939">
        <v>3210.84</v>
      </c>
      <c r="H3939" t="str">
        <f>VLOOKUP(myynnit[[#This Row],[TuoteID]],ohjaus!$A$4:$B$20,2,FALSE)</f>
        <v>Lepotuoli</v>
      </c>
    </row>
    <row r="3940" spans="1:8" x14ac:dyDescent="0.35">
      <c r="A3940" t="s">
        <v>38</v>
      </c>
      <c r="B3940">
        <v>2016</v>
      </c>
      <c r="C3940">
        <v>10</v>
      </c>
      <c r="D3940">
        <v>22317</v>
      </c>
      <c r="E3940">
        <v>81</v>
      </c>
      <c r="F3940">
        <v>6647.65</v>
      </c>
      <c r="G3940">
        <v>2340.13</v>
      </c>
      <c r="H3940" t="str">
        <f>VLOOKUP(myynnit[[#This Row],[TuoteID]],ohjaus!$A$4:$B$20,2,FALSE)</f>
        <v>Säkkituoli</v>
      </c>
    </row>
    <row r="3941" spans="1:8" x14ac:dyDescent="0.35">
      <c r="A3941" t="s">
        <v>38</v>
      </c>
      <c r="B3941">
        <v>2016</v>
      </c>
      <c r="C3941">
        <v>10</v>
      </c>
      <c r="D3941">
        <v>22940</v>
      </c>
      <c r="E3941">
        <v>555</v>
      </c>
      <c r="F3941">
        <v>72316.100000000006</v>
      </c>
      <c r="G3941">
        <v>17132.169999999998</v>
      </c>
      <c r="H3941" t="str">
        <f>VLOOKUP(myynnit[[#This Row],[TuoteID]],ohjaus!$A$4:$B$20,2,FALSE)</f>
        <v>Pinnatuoli</v>
      </c>
    </row>
    <row r="3942" spans="1:8" x14ac:dyDescent="0.35">
      <c r="A3942" t="s">
        <v>38</v>
      </c>
      <c r="B3942">
        <v>2016</v>
      </c>
      <c r="C3942">
        <v>10</v>
      </c>
      <c r="D3942">
        <v>23178</v>
      </c>
      <c r="E3942">
        <v>166</v>
      </c>
      <c r="F3942">
        <v>26696.92</v>
      </c>
      <c r="G3942">
        <v>5471.07</v>
      </c>
      <c r="H3942" t="str">
        <f>VLOOKUP(myynnit[[#This Row],[TuoteID]],ohjaus!$A$4:$B$20,2,FALSE)</f>
        <v>Pinnatuoli</v>
      </c>
    </row>
    <row r="3943" spans="1:8" x14ac:dyDescent="0.35">
      <c r="A3943" t="s">
        <v>38</v>
      </c>
      <c r="B3943">
        <v>2016</v>
      </c>
      <c r="C3943">
        <v>10</v>
      </c>
      <c r="D3943">
        <v>23600</v>
      </c>
      <c r="E3943">
        <v>489</v>
      </c>
      <c r="F3943">
        <v>53661.75</v>
      </c>
      <c r="G3943">
        <v>12807.78</v>
      </c>
      <c r="H3943" t="str">
        <f>VLOOKUP(myynnit[[#This Row],[TuoteID]],ohjaus!$A$4:$B$20,2,FALSE)</f>
        <v>Pinnatuoli</v>
      </c>
    </row>
    <row r="3944" spans="1:8" x14ac:dyDescent="0.35">
      <c r="A3944" t="s">
        <v>38</v>
      </c>
      <c r="B3944">
        <v>2016</v>
      </c>
      <c r="C3944">
        <v>10</v>
      </c>
      <c r="D3944">
        <v>23756</v>
      </c>
      <c r="E3944">
        <v>131</v>
      </c>
      <c r="F3944">
        <v>23491.52</v>
      </c>
      <c r="G3944">
        <v>11004.25</v>
      </c>
      <c r="H3944" t="str">
        <f>VLOOKUP(myynnit[[#This Row],[TuoteID]],ohjaus!$A$4:$B$20,2,FALSE)</f>
        <v>Pianotuoli</v>
      </c>
    </row>
    <row r="3945" spans="1:8" x14ac:dyDescent="0.35">
      <c r="A3945" t="s">
        <v>38</v>
      </c>
      <c r="B3945">
        <v>2016</v>
      </c>
      <c r="C3945">
        <v>10</v>
      </c>
      <c r="D3945">
        <v>24326</v>
      </c>
      <c r="E3945">
        <v>68</v>
      </c>
      <c r="F3945">
        <v>9812.0300000000007</v>
      </c>
      <c r="G3945">
        <v>2122.54</v>
      </c>
      <c r="H3945" t="str">
        <f>VLOOKUP(myynnit[[#This Row],[TuoteID]],ohjaus!$A$4:$B$20,2,FALSE)</f>
        <v>Lepotuoli</v>
      </c>
    </row>
    <row r="3946" spans="1:8" x14ac:dyDescent="0.35">
      <c r="A3946" t="s">
        <v>37</v>
      </c>
      <c r="B3946">
        <v>2016</v>
      </c>
      <c r="C3946">
        <v>11</v>
      </c>
      <c r="D3946">
        <v>12184</v>
      </c>
      <c r="E3946">
        <v>66</v>
      </c>
      <c r="F3946">
        <v>7881.95</v>
      </c>
      <c r="G3946">
        <v>3629.86</v>
      </c>
      <c r="H3946" t="str">
        <f>VLOOKUP(myynnit[[#This Row],[TuoteID]],ohjaus!$A$4:$B$20,2,FALSE)</f>
        <v>Rahi</v>
      </c>
    </row>
    <row r="3947" spans="1:8" x14ac:dyDescent="0.35">
      <c r="A3947" t="s">
        <v>37</v>
      </c>
      <c r="B3947">
        <v>2016</v>
      </c>
      <c r="C3947">
        <v>11</v>
      </c>
      <c r="D3947">
        <v>12622</v>
      </c>
      <c r="E3947">
        <v>74</v>
      </c>
      <c r="F3947">
        <v>20066.98</v>
      </c>
      <c r="G3947">
        <v>10414.83</v>
      </c>
      <c r="H3947" t="str">
        <f>VLOOKUP(myynnit[[#This Row],[TuoteID]],ohjaus!$A$4:$B$20,2,FALSE)</f>
        <v>Pianotuoli</v>
      </c>
    </row>
    <row r="3948" spans="1:8" x14ac:dyDescent="0.35">
      <c r="A3948" t="s">
        <v>37</v>
      </c>
      <c r="B3948">
        <v>2016</v>
      </c>
      <c r="C3948">
        <v>11</v>
      </c>
      <c r="D3948">
        <v>13527</v>
      </c>
      <c r="E3948">
        <v>598</v>
      </c>
      <c r="F3948">
        <v>97011.63</v>
      </c>
      <c r="G3948">
        <v>19205.93</v>
      </c>
      <c r="H3948" t="str">
        <f>VLOOKUP(myynnit[[#This Row],[TuoteID]],ohjaus!$A$4:$B$20,2,FALSE)</f>
        <v>Pinnatuoli</v>
      </c>
    </row>
    <row r="3949" spans="1:8" x14ac:dyDescent="0.35">
      <c r="A3949" t="s">
        <v>37</v>
      </c>
      <c r="B3949">
        <v>2016</v>
      </c>
      <c r="C3949">
        <v>11</v>
      </c>
      <c r="D3949">
        <v>13618</v>
      </c>
      <c r="E3949">
        <v>11</v>
      </c>
      <c r="F3949">
        <v>4784.0600000000004</v>
      </c>
      <c r="G3949">
        <v>1916.53</v>
      </c>
      <c r="H3949" t="str">
        <f>VLOOKUP(myynnit[[#This Row],[TuoteID]],ohjaus!$A$4:$B$20,2,FALSE)</f>
        <v>Pianotuoli</v>
      </c>
    </row>
    <row r="3950" spans="1:8" x14ac:dyDescent="0.35">
      <c r="A3950" t="s">
        <v>37</v>
      </c>
      <c r="B3950">
        <v>2016</v>
      </c>
      <c r="C3950">
        <v>11</v>
      </c>
      <c r="D3950">
        <v>16024</v>
      </c>
      <c r="E3950">
        <v>316</v>
      </c>
      <c r="F3950">
        <v>140445.68</v>
      </c>
      <c r="G3950">
        <v>44929.42</v>
      </c>
      <c r="H3950" t="str">
        <f>VLOOKUP(myynnit[[#This Row],[TuoteID]],ohjaus!$A$4:$B$20,2,FALSE)</f>
        <v>Työtuoli</v>
      </c>
    </row>
    <row r="3951" spans="1:8" x14ac:dyDescent="0.35">
      <c r="A3951" t="s">
        <v>37</v>
      </c>
      <c r="B3951">
        <v>2016</v>
      </c>
      <c r="C3951">
        <v>11</v>
      </c>
      <c r="D3951">
        <v>16650</v>
      </c>
      <c r="E3951">
        <v>38</v>
      </c>
      <c r="F3951">
        <v>4795.9799999999996</v>
      </c>
      <c r="G3951">
        <v>2518.65</v>
      </c>
      <c r="H3951" t="str">
        <f>VLOOKUP(myynnit[[#This Row],[TuoteID]],ohjaus!$A$4:$B$20,2,FALSE)</f>
        <v>Rahi</v>
      </c>
    </row>
    <row r="3952" spans="1:8" x14ac:dyDescent="0.35">
      <c r="A3952" t="s">
        <v>37</v>
      </c>
      <c r="B3952">
        <v>2016</v>
      </c>
      <c r="C3952">
        <v>11</v>
      </c>
      <c r="D3952">
        <v>17892</v>
      </c>
      <c r="E3952">
        <v>195</v>
      </c>
      <c r="F3952">
        <v>27362.29</v>
      </c>
      <c r="G3952">
        <v>8881.15</v>
      </c>
      <c r="H3952" t="str">
        <f>VLOOKUP(myynnit[[#This Row],[TuoteID]],ohjaus!$A$4:$B$20,2,FALSE)</f>
        <v>Lepotuoli</v>
      </c>
    </row>
    <row r="3953" spans="1:8" x14ac:dyDescent="0.35">
      <c r="A3953" t="s">
        <v>37</v>
      </c>
      <c r="B3953">
        <v>2016</v>
      </c>
      <c r="C3953">
        <v>11</v>
      </c>
      <c r="D3953">
        <v>18342</v>
      </c>
      <c r="E3953">
        <v>182</v>
      </c>
      <c r="F3953">
        <v>138741.69</v>
      </c>
      <c r="G3953">
        <v>45273.95</v>
      </c>
      <c r="H3953" t="str">
        <f>VLOOKUP(myynnit[[#This Row],[TuoteID]],ohjaus!$A$4:$B$20,2,FALSE)</f>
        <v>Työtuoli</v>
      </c>
    </row>
    <row r="3954" spans="1:8" x14ac:dyDescent="0.35">
      <c r="A3954" t="s">
        <v>37</v>
      </c>
      <c r="B3954">
        <v>2016</v>
      </c>
      <c r="C3954">
        <v>11</v>
      </c>
      <c r="D3954">
        <v>20177</v>
      </c>
      <c r="E3954">
        <v>100</v>
      </c>
      <c r="F3954">
        <v>10530.33</v>
      </c>
      <c r="G3954">
        <v>4413.03</v>
      </c>
      <c r="H3954" t="str">
        <f>VLOOKUP(myynnit[[#This Row],[TuoteID]],ohjaus!$A$4:$B$20,2,FALSE)</f>
        <v>Säkkituoli</v>
      </c>
    </row>
    <row r="3955" spans="1:8" x14ac:dyDescent="0.35">
      <c r="A3955" t="s">
        <v>37</v>
      </c>
      <c r="B3955">
        <v>2016</v>
      </c>
      <c r="C3955">
        <v>11</v>
      </c>
      <c r="D3955">
        <v>21179</v>
      </c>
      <c r="E3955">
        <v>65</v>
      </c>
      <c r="F3955">
        <v>6641.76</v>
      </c>
      <c r="G3955">
        <v>3510.25</v>
      </c>
      <c r="H3955" t="str">
        <f>VLOOKUP(myynnit[[#This Row],[TuoteID]],ohjaus!$A$4:$B$20,2,FALSE)</f>
        <v>Rahi</v>
      </c>
    </row>
    <row r="3956" spans="1:8" x14ac:dyDescent="0.35">
      <c r="A3956" t="s">
        <v>37</v>
      </c>
      <c r="B3956">
        <v>2016</v>
      </c>
      <c r="C3956">
        <v>11</v>
      </c>
      <c r="D3956">
        <v>21260</v>
      </c>
      <c r="E3956">
        <v>54</v>
      </c>
      <c r="F3956">
        <v>9250.5400000000009</v>
      </c>
      <c r="G3956">
        <v>2881.23</v>
      </c>
      <c r="H3956" t="str">
        <f>VLOOKUP(myynnit[[#This Row],[TuoteID]],ohjaus!$A$4:$B$20,2,FALSE)</f>
        <v>Lepotuoli</v>
      </c>
    </row>
    <row r="3957" spans="1:8" x14ac:dyDescent="0.35">
      <c r="A3957" t="s">
        <v>37</v>
      </c>
      <c r="B3957">
        <v>2016</v>
      </c>
      <c r="C3957">
        <v>11</v>
      </c>
      <c r="D3957">
        <v>22317</v>
      </c>
      <c r="E3957">
        <v>46</v>
      </c>
      <c r="F3957">
        <v>4144.6899999999996</v>
      </c>
      <c r="G3957">
        <v>1661.31</v>
      </c>
      <c r="H3957" t="str">
        <f>VLOOKUP(myynnit[[#This Row],[TuoteID]],ohjaus!$A$4:$B$20,2,FALSE)</f>
        <v>Säkkituoli</v>
      </c>
    </row>
    <row r="3958" spans="1:8" x14ac:dyDescent="0.35">
      <c r="A3958" t="s">
        <v>37</v>
      </c>
      <c r="B3958">
        <v>2016</v>
      </c>
      <c r="C3958">
        <v>11</v>
      </c>
      <c r="D3958">
        <v>22940</v>
      </c>
      <c r="E3958">
        <v>730</v>
      </c>
      <c r="F3958">
        <v>98425.75</v>
      </c>
      <c r="G3958">
        <v>17373.939999999999</v>
      </c>
      <c r="H3958" t="str">
        <f>VLOOKUP(myynnit[[#This Row],[TuoteID]],ohjaus!$A$4:$B$20,2,FALSE)</f>
        <v>Pinnatuoli</v>
      </c>
    </row>
    <row r="3959" spans="1:8" x14ac:dyDescent="0.35">
      <c r="A3959" t="s">
        <v>37</v>
      </c>
      <c r="B3959">
        <v>2016</v>
      </c>
      <c r="C3959">
        <v>11</v>
      </c>
      <c r="D3959">
        <v>23178</v>
      </c>
      <c r="E3959">
        <v>474</v>
      </c>
      <c r="F3959">
        <v>83041.710000000006</v>
      </c>
      <c r="G3959">
        <v>13458.97</v>
      </c>
      <c r="H3959" t="str">
        <f>VLOOKUP(myynnit[[#This Row],[TuoteID]],ohjaus!$A$4:$B$20,2,FALSE)</f>
        <v>Pinnatuoli</v>
      </c>
    </row>
    <row r="3960" spans="1:8" x14ac:dyDescent="0.35">
      <c r="A3960" t="s">
        <v>37</v>
      </c>
      <c r="B3960">
        <v>2016</v>
      </c>
      <c r="C3960">
        <v>11</v>
      </c>
      <c r="D3960">
        <v>23600</v>
      </c>
      <c r="E3960">
        <v>1319</v>
      </c>
      <c r="F3960">
        <v>131581.39000000001</v>
      </c>
      <c r="G3960">
        <v>35516.42</v>
      </c>
      <c r="H3960" t="str">
        <f>VLOOKUP(myynnit[[#This Row],[TuoteID]],ohjaus!$A$4:$B$20,2,FALSE)</f>
        <v>Pinnatuoli</v>
      </c>
    </row>
    <row r="3961" spans="1:8" x14ac:dyDescent="0.35">
      <c r="A3961" t="s">
        <v>37</v>
      </c>
      <c r="B3961">
        <v>2016</v>
      </c>
      <c r="C3961">
        <v>11</v>
      </c>
      <c r="D3961">
        <v>23756</v>
      </c>
      <c r="E3961">
        <v>146</v>
      </c>
      <c r="F3961">
        <v>28082.09</v>
      </c>
      <c r="G3961">
        <v>13923.04</v>
      </c>
      <c r="H3961" t="str">
        <f>VLOOKUP(myynnit[[#This Row],[TuoteID]],ohjaus!$A$4:$B$20,2,FALSE)</f>
        <v>Pianotuoli</v>
      </c>
    </row>
    <row r="3962" spans="1:8" x14ac:dyDescent="0.35">
      <c r="A3962" t="s">
        <v>37</v>
      </c>
      <c r="B3962">
        <v>2016</v>
      </c>
      <c r="C3962">
        <v>11</v>
      </c>
      <c r="D3962">
        <v>24326</v>
      </c>
      <c r="E3962">
        <v>72</v>
      </c>
      <c r="F3962">
        <v>9805.2099999999991</v>
      </c>
      <c r="G3962">
        <v>2674.31</v>
      </c>
      <c r="H3962" t="str">
        <f>VLOOKUP(myynnit[[#This Row],[TuoteID]],ohjaus!$A$4:$B$20,2,FALSE)</f>
        <v>Lepotuoli</v>
      </c>
    </row>
    <row r="3963" spans="1:8" x14ac:dyDescent="0.35">
      <c r="A3963" t="s">
        <v>40</v>
      </c>
      <c r="B3963">
        <v>2016</v>
      </c>
      <c r="C3963">
        <v>11</v>
      </c>
      <c r="D3963">
        <v>12184</v>
      </c>
      <c r="E3963">
        <v>42</v>
      </c>
      <c r="F3963">
        <v>5529.32</v>
      </c>
      <c r="G3963">
        <v>2771.38</v>
      </c>
      <c r="H3963" t="str">
        <f>VLOOKUP(myynnit[[#This Row],[TuoteID]],ohjaus!$A$4:$B$20,2,FALSE)</f>
        <v>Rahi</v>
      </c>
    </row>
    <row r="3964" spans="1:8" x14ac:dyDescent="0.35">
      <c r="A3964" t="s">
        <v>40</v>
      </c>
      <c r="B3964">
        <v>2016</v>
      </c>
      <c r="C3964">
        <v>11</v>
      </c>
      <c r="D3964">
        <v>12622</v>
      </c>
      <c r="E3964">
        <v>9</v>
      </c>
      <c r="F3964">
        <v>1982.64</v>
      </c>
      <c r="G3964">
        <v>709.51</v>
      </c>
      <c r="H3964" t="str">
        <f>VLOOKUP(myynnit[[#This Row],[TuoteID]],ohjaus!$A$4:$B$20,2,FALSE)</f>
        <v>Pianotuoli</v>
      </c>
    </row>
    <row r="3965" spans="1:8" x14ac:dyDescent="0.35">
      <c r="A3965" t="s">
        <v>40</v>
      </c>
      <c r="B3965">
        <v>2016</v>
      </c>
      <c r="C3965">
        <v>11</v>
      </c>
      <c r="D3965">
        <v>13527</v>
      </c>
      <c r="E3965">
        <v>139</v>
      </c>
      <c r="F3965">
        <v>23607.8</v>
      </c>
      <c r="G3965">
        <v>4408.45</v>
      </c>
      <c r="H3965" t="str">
        <f>VLOOKUP(myynnit[[#This Row],[TuoteID]],ohjaus!$A$4:$B$20,2,FALSE)</f>
        <v>Pinnatuoli</v>
      </c>
    </row>
    <row r="3966" spans="1:8" x14ac:dyDescent="0.35">
      <c r="A3966" t="s">
        <v>40</v>
      </c>
      <c r="B3966">
        <v>2016</v>
      </c>
      <c r="C3966">
        <v>11</v>
      </c>
      <c r="D3966">
        <v>13618</v>
      </c>
      <c r="E3966">
        <v>10</v>
      </c>
      <c r="F3966">
        <v>4170.99</v>
      </c>
      <c r="G3966">
        <v>2083.16</v>
      </c>
      <c r="H3966" t="str">
        <f>VLOOKUP(myynnit[[#This Row],[TuoteID]],ohjaus!$A$4:$B$20,2,FALSE)</f>
        <v>Pianotuoli</v>
      </c>
    </row>
    <row r="3967" spans="1:8" x14ac:dyDescent="0.35">
      <c r="A3967" t="s">
        <v>40</v>
      </c>
      <c r="B3967">
        <v>2016</v>
      </c>
      <c r="C3967">
        <v>11</v>
      </c>
      <c r="D3967">
        <v>16024</v>
      </c>
      <c r="E3967">
        <v>81</v>
      </c>
      <c r="F3967">
        <v>33557.68</v>
      </c>
      <c r="G3967">
        <v>10357.129999999999</v>
      </c>
      <c r="H3967" t="str">
        <f>VLOOKUP(myynnit[[#This Row],[TuoteID]],ohjaus!$A$4:$B$20,2,FALSE)</f>
        <v>Työtuoli</v>
      </c>
    </row>
    <row r="3968" spans="1:8" x14ac:dyDescent="0.35">
      <c r="A3968" t="s">
        <v>40</v>
      </c>
      <c r="B3968">
        <v>2016</v>
      </c>
      <c r="C3968">
        <v>11</v>
      </c>
      <c r="D3968">
        <v>16650</v>
      </c>
      <c r="E3968">
        <v>14</v>
      </c>
      <c r="F3968">
        <v>2238.7199999999998</v>
      </c>
      <c r="G3968">
        <v>1299.83</v>
      </c>
      <c r="H3968" t="str">
        <f>VLOOKUP(myynnit[[#This Row],[TuoteID]],ohjaus!$A$4:$B$20,2,FALSE)</f>
        <v>Rahi</v>
      </c>
    </row>
    <row r="3969" spans="1:8" x14ac:dyDescent="0.35">
      <c r="A3969" t="s">
        <v>40</v>
      </c>
      <c r="B3969">
        <v>2016</v>
      </c>
      <c r="C3969">
        <v>11</v>
      </c>
      <c r="D3969">
        <v>17892</v>
      </c>
      <c r="E3969">
        <v>47</v>
      </c>
      <c r="F3969">
        <v>6527.77</v>
      </c>
      <c r="G3969">
        <v>1595.51</v>
      </c>
      <c r="H3969" t="str">
        <f>VLOOKUP(myynnit[[#This Row],[TuoteID]],ohjaus!$A$4:$B$20,2,FALSE)</f>
        <v>Lepotuoli</v>
      </c>
    </row>
    <row r="3970" spans="1:8" x14ac:dyDescent="0.35">
      <c r="A3970" t="s">
        <v>40</v>
      </c>
      <c r="B3970">
        <v>2016</v>
      </c>
      <c r="C3970">
        <v>11</v>
      </c>
      <c r="D3970">
        <v>18342</v>
      </c>
      <c r="E3970">
        <v>21</v>
      </c>
      <c r="F3970">
        <v>18331.240000000002</v>
      </c>
      <c r="G3970">
        <v>4946.3100000000004</v>
      </c>
      <c r="H3970" t="str">
        <f>VLOOKUP(myynnit[[#This Row],[TuoteID]],ohjaus!$A$4:$B$20,2,FALSE)</f>
        <v>Työtuoli</v>
      </c>
    </row>
    <row r="3971" spans="1:8" x14ac:dyDescent="0.35">
      <c r="A3971" t="s">
        <v>40</v>
      </c>
      <c r="B3971">
        <v>2016</v>
      </c>
      <c r="C3971">
        <v>11</v>
      </c>
      <c r="D3971">
        <v>20177</v>
      </c>
      <c r="E3971">
        <v>33</v>
      </c>
      <c r="F3971">
        <v>3069.94</v>
      </c>
      <c r="G3971">
        <v>1302.18</v>
      </c>
      <c r="H3971" t="str">
        <f>VLOOKUP(myynnit[[#This Row],[TuoteID]],ohjaus!$A$4:$B$20,2,FALSE)</f>
        <v>Säkkituoli</v>
      </c>
    </row>
    <row r="3972" spans="1:8" x14ac:dyDescent="0.35">
      <c r="A3972" t="s">
        <v>40</v>
      </c>
      <c r="B3972">
        <v>2016</v>
      </c>
      <c r="C3972">
        <v>11</v>
      </c>
      <c r="D3972">
        <v>21179</v>
      </c>
      <c r="E3972">
        <v>36</v>
      </c>
      <c r="F3972">
        <v>4064.73</v>
      </c>
      <c r="G3972">
        <v>2239.81</v>
      </c>
      <c r="H3972" t="str">
        <f>VLOOKUP(myynnit[[#This Row],[TuoteID]],ohjaus!$A$4:$B$20,2,FALSE)</f>
        <v>Rahi</v>
      </c>
    </row>
    <row r="3973" spans="1:8" x14ac:dyDescent="0.35">
      <c r="A3973" t="s">
        <v>40</v>
      </c>
      <c r="B3973">
        <v>2016</v>
      </c>
      <c r="C3973">
        <v>11</v>
      </c>
      <c r="D3973">
        <v>21260</v>
      </c>
      <c r="E3973">
        <v>48</v>
      </c>
      <c r="F3973">
        <v>8487.61</v>
      </c>
      <c r="G3973">
        <v>1784.47</v>
      </c>
      <c r="H3973" t="str">
        <f>VLOOKUP(myynnit[[#This Row],[TuoteID]],ohjaus!$A$4:$B$20,2,FALSE)</f>
        <v>Lepotuoli</v>
      </c>
    </row>
    <row r="3974" spans="1:8" x14ac:dyDescent="0.35">
      <c r="A3974" t="s">
        <v>40</v>
      </c>
      <c r="B3974">
        <v>2016</v>
      </c>
      <c r="C3974">
        <v>11</v>
      </c>
      <c r="D3974">
        <v>22317</v>
      </c>
      <c r="E3974">
        <v>17</v>
      </c>
      <c r="F3974">
        <v>1358.49</v>
      </c>
      <c r="G3974">
        <v>618.33000000000004</v>
      </c>
      <c r="H3974" t="str">
        <f>VLOOKUP(myynnit[[#This Row],[TuoteID]],ohjaus!$A$4:$B$20,2,FALSE)</f>
        <v>Säkkituoli</v>
      </c>
    </row>
    <row r="3975" spans="1:8" x14ac:dyDescent="0.35">
      <c r="A3975" t="s">
        <v>40</v>
      </c>
      <c r="B3975">
        <v>2016</v>
      </c>
      <c r="C3975">
        <v>11</v>
      </c>
      <c r="D3975">
        <v>22940</v>
      </c>
      <c r="E3975">
        <v>213</v>
      </c>
      <c r="F3975">
        <v>27827.07</v>
      </c>
      <c r="G3975">
        <v>8186.49</v>
      </c>
      <c r="H3975" t="str">
        <f>VLOOKUP(myynnit[[#This Row],[TuoteID]],ohjaus!$A$4:$B$20,2,FALSE)</f>
        <v>Pinnatuoli</v>
      </c>
    </row>
    <row r="3976" spans="1:8" x14ac:dyDescent="0.35">
      <c r="A3976" t="s">
        <v>40</v>
      </c>
      <c r="B3976">
        <v>2016</v>
      </c>
      <c r="C3976">
        <v>11</v>
      </c>
      <c r="D3976">
        <v>23178</v>
      </c>
      <c r="E3976">
        <v>322</v>
      </c>
      <c r="F3976">
        <v>63240.43</v>
      </c>
      <c r="G3976">
        <v>18219.34</v>
      </c>
      <c r="H3976" t="str">
        <f>VLOOKUP(myynnit[[#This Row],[TuoteID]],ohjaus!$A$4:$B$20,2,FALSE)</f>
        <v>Pinnatuoli</v>
      </c>
    </row>
    <row r="3977" spans="1:8" x14ac:dyDescent="0.35">
      <c r="A3977" t="s">
        <v>40</v>
      </c>
      <c r="B3977">
        <v>2016</v>
      </c>
      <c r="C3977">
        <v>11</v>
      </c>
      <c r="D3977">
        <v>23600</v>
      </c>
      <c r="E3977">
        <v>776</v>
      </c>
      <c r="F3977">
        <v>84067.79</v>
      </c>
      <c r="G3977">
        <v>20503.95</v>
      </c>
      <c r="H3977" t="str">
        <f>VLOOKUP(myynnit[[#This Row],[TuoteID]],ohjaus!$A$4:$B$20,2,FALSE)</f>
        <v>Pinnatuoli</v>
      </c>
    </row>
    <row r="3978" spans="1:8" x14ac:dyDescent="0.35">
      <c r="A3978" t="s">
        <v>40</v>
      </c>
      <c r="B3978">
        <v>2016</v>
      </c>
      <c r="C3978">
        <v>11</v>
      </c>
      <c r="D3978">
        <v>23756</v>
      </c>
      <c r="E3978">
        <v>74</v>
      </c>
      <c r="F3978">
        <v>15030.66</v>
      </c>
      <c r="G3978">
        <v>6215.13</v>
      </c>
      <c r="H3978" t="str">
        <f>VLOOKUP(myynnit[[#This Row],[TuoteID]],ohjaus!$A$4:$B$20,2,FALSE)</f>
        <v>Pianotuoli</v>
      </c>
    </row>
    <row r="3979" spans="1:8" x14ac:dyDescent="0.35">
      <c r="A3979" t="s">
        <v>40</v>
      </c>
      <c r="B3979">
        <v>2016</v>
      </c>
      <c r="C3979">
        <v>11</v>
      </c>
      <c r="D3979">
        <v>24326</v>
      </c>
      <c r="E3979">
        <v>44</v>
      </c>
      <c r="F3979">
        <v>6389.27</v>
      </c>
      <c r="G3979">
        <v>1946.37</v>
      </c>
      <c r="H3979" t="str">
        <f>VLOOKUP(myynnit[[#This Row],[TuoteID]],ohjaus!$A$4:$B$20,2,FALSE)</f>
        <v>Lepotuoli</v>
      </c>
    </row>
    <row r="3980" spans="1:8" x14ac:dyDescent="0.35">
      <c r="A3980" t="s">
        <v>39</v>
      </c>
      <c r="B3980">
        <v>2016</v>
      </c>
      <c r="C3980">
        <v>11</v>
      </c>
      <c r="D3980">
        <v>12184</v>
      </c>
      <c r="E3980">
        <v>92</v>
      </c>
      <c r="F3980">
        <v>13565.35</v>
      </c>
      <c r="G3980">
        <v>10557.99</v>
      </c>
      <c r="H3980" t="str">
        <f>VLOOKUP(myynnit[[#This Row],[TuoteID]],ohjaus!$A$4:$B$20,2,FALSE)</f>
        <v>Rahi</v>
      </c>
    </row>
    <row r="3981" spans="1:8" x14ac:dyDescent="0.35">
      <c r="A3981" t="s">
        <v>39</v>
      </c>
      <c r="B3981">
        <v>2016</v>
      </c>
      <c r="C3981">
        <v>11</v>
      </c>
      <c r="D3981">
        <v>12622</v>
      </c>
      <c r="E3981">
        <v>22</v>
      </c>
      <c r="F3981">
        <v>4908.41</v>
      </c>
      <c r="G3981">
        <v>2634.23</v>
      </c>
      <c r="H3981" t="str">
        <f>VLOOKUP(myynnit[[#This Row],[TuoteID]],ohjaus!$A$4:$B$20,2,FALSE)</f>
        <v>Pianotuoli</v>
      </c>
    </row>
    <row r="3982" spans="1:8" x14ac:dyDescent="0.35">
      <c r="A3982" t="s">
        <v>39</v>
      </c>
      <c r="B3982">
        <v>2016</v>
      </c>
      <c r="C3982">
        <v>11</v>
      </c>
      <c r="D3982">
        <v>13527</v>
      </c>
      <c r="E3982">
        <v>270</v>
      </c>
      <c r="F3982">
        <v>41942.71</v>
      </c>
      <c r="G3982">
        <v>10229.84</v>
      </c>
      <c r="H3982" t="str">
        <f>VLOOKUP(myynnit[[#This Row],[TuoteID]],ohjaus!$A$4:$B$20,2,FALSE)</f>
        <v>Pinnatuoli</v>
      </c>
    </row>
    <row r="3983" spans="1:8" x14ac:dyDescent="0.35">
      <c r="A3983" t="s">
        <v>39</v>
      </c>
      <c r="B3983">
        <v>2016</v>
      </c>
      <c r="C3983">
        <v>11</v>
      </c>
      <c r="D3983">
        <v>13618</v>
      </c>
      <c r="E3983">
        <v>23</v>
      </c>
      <c r="F3983">
        <v>8622.17</v>
      </c>
      <c r="G3983">
        <v>4389.96</v>
      </c>
      <c r="H3983" t="str">
        <f>VLOOKUP(myynnit[[#This Row],[TuoteID]],ohjaus!$A$4:$B$20,2,FALSE)</f>
        <v>Pianotuoli</v>
      </c>
    </row>
    <row r="3984" spans="1:8" x14ac:dyDescent="0.35">
      <c r="A3984" t="s">
        <v>39</v>
      </c>
      <c r="B3984">
        <v>2016</v>
      </c>
      <c r="C3984">
        <v>11</v>
      </c>
      <c r="D3984">
        <v>16024</v>
      </c>
      <c r="E3984">
        <v>317</v>
      </c>
      <c r="F3984">
        <v>152915.72</v>
      </c>
      <c r="G3984">
        <v>40529.980000000003</v>
      </c>
      <c r="H3984" t="str">
        <f>VLOOKUP(myynnit[[#This Row],[TuoteID]],ohjaus!$A$4:$B$20,2,FALSE)</f>
        <v>Työtuoli</v>
      </c>
    </row>
    <row r="3985" spans="1:8" x14ac:dyDescent="0.35">
      <c r="A3985" t="s">
        <v>39</v>
      </c>
      <c r="B3985">
        <v>2016</v>
      </c>
      <c r="C3985">
        <v>11</v>
      </c>
      <c r="D3985">
        <v>16650</v>
      </c>
      <c r="E3985">
        <v>17</v>
      </c>
      <c r="F3985">
        <v>3081.21</v>
      </c>
      <c r="G3985">
        <v>2186.08</v>
      </c>
      <c r="H3985" t="str">
        <f>VLOOKUP(myynnit[[#This Row],[TuoteID]],ohjaus!$A$4:$B$20,2,FALSE)</f>
        <v>Rahi</v>
      </c>
    </row>
    <row r="3986" spans="1:8" x14ac:dyDescent="0.35">
      <c r="A3986" t="s">
        <v>39</v>
      </c>
      <c r="B3986">
        <v>2016</v>
      </c>
      <c r="C3986">
        <v>11</v>
      </c>
      <c r="D3986">
        <v>17892</v>
      </c>
      <c r="E3986">
        <v>104</v>
      </c>
      <c r="F3986">
        <v>15398.24</v>
      </c>
      <c r="G3986">
        <v>4571.63</v>
      </c>
      <c r="H3986" t="str">
        <f>VLOOKUP(myynnit[[#This Row],[TuoteID]],ohjaus!$A$4:$B$20,2,FALSE)</f>
        <v>Lepotuoli</v>
      </c>
    </row>
    <row r="3987" spans="1:8" x14ac:dyDescent="0.35">
      <c r="A3987" t="s">
        <v>39</v>
      </c>
      <c r="B3987">
        <v>2016</v>
      </c>
      <c r="C3987">
        <v>11</v>
      </c>
      <c r="D3987">
        <v>18342</v>
      </c>
      <c r="E3987">
        <v>152</v>
      </c>
      <c r="F3987">
        <v>134365.44</v>
      </c>
      <c r="G3987">
        <v>33618.07</v>
      </c>
      <c r="H3987" t="str">
        <f>VLOOKUP(myynnit[[#This Row],[TuoteID]],ohjaus!$A$4:$B$20,2,FALSE)</f>
        <v>Työtuoli</v>
      </c>
    </row>
    <row r="3988" spans="1:8" x14ac:dyDescent="0.35">
      <c r="A3988" t="s">
        <v>39</v>
      </c>
      <c r="B3988">
        <v>2016</v>
      </c>
      <c r="C3988">
        <v>11</v>
      </c>
      <c r="D3988">
        <v>20177</v>
      </c>
      <c r="E3988">
        <v>80</v>
      </c>
      <c r="F3988">
        <v>7209.74</v>
      </c>
      <c r="G3988">
        <v>3136.05</v>
      </c>
      <c r="H3988" t="str">
        <f>VLOOKUP(myynnit[[#This Row],[TuoteID]],ohjaus!$A$4:$B$20,2,FALSE)</f>
        <v>Säkkituoli</v>
      </c>
    </row>
    <row r="3989" spans="1:8" x14ac:dyDescent="0.35">
      <c r="A3989" t="s">
        <v>39</v>
      </c>
      <c r="B3989">
        <v>2016</v>
      </c>
      <c r="C3989">
        <v>11</v>
      </c>
      <c r="D3989">
        <v>21179</v>
      </c>
      <c r="E3989">
        <v>70</v>
      </c>
      <c r="F3989">
        <v>7679.16</v>
      </c>
      <c r="G3989">
        <v>5086.62</v>
      </c>
      <c r="H3989" t="str">
        <f>VLOOKUP(myynnit[[#This Row],[TuoteID]],ohjaus!$A$4:$B$20,2,FALSE)</f>
        <v>Rahi</v>
      </c>
    </row>
    <row r="3990" spans="1:8" x14ac:dyDescent="0.35">
      <c r="A3990" t="s">
        <v>39</v>
      </c>
      <c r="B3990">
        <v>2016</v>
      </c>
      <c r="C3990">
        <v>11</v>
      </c>
      <c r="D3990">
        <v>21260</v>
      </c>
      <c r="E3990">
        <v>28</v>
      </c>
      <c r="F3990">
        <v>6117.04</v>
      </c>
      <c r="G3990">
        <v>2149.9</v>
      </c>
      <c r="H3990" t="str">
        <f>VLOOKUP(myynnit[[#This Row],[TuoteID]],ohjaus!$A$4:$B$20,2,FALSE)</f>
        <v>Lepotuoli</v>
      </c>
    </row>
    <row r="3991" spans="1:8" x14ac:dyDescent="0.35">
      <c r="A3991" t="s">
        <v>39</v>
      </c>
      <c r="B3991">
        <v>2016</v>
      </c>
      <c r="C3991">
        <v>11</v>
      </c>
      <c r="D3991">
        <v>22317</v>
      </c>
      <c r="E3991">
        <v>28</v>
      </c>
      <c r="F3991">
        <v>2621.39</v>
      </c>
      <c r="G3991">
        <v>1227.93</v>
      </c>
      <c r="H3991" t="str">
        <f>VLOOKUP(myynnit[[#This Row],[TuoteID]],ohjaus!$A$4:$B$20,2,FALSE)</f>
        <v>Säkkituoli</v>
      </c>
    </row>
    <row r="3992" spans="1:8" x14ac:dyDescent="0.35">
      <c r="A3992" t="s">
        <v>39</v>
      </c>
      <c r="B3992">
        <v>2016</v>
      </c>
      <c r="C3992">
        <v>11</v>
      </c>
      <c r="D3992">
        <v>22940</v>
      </c>
      <c r="E3992">
        <v>301</v>
      </c>
      <c r="F3992">
        <v>41117.53</v>
      </c>
      <c r="G3992">
        <v>10298.879999999999</v>
      </c>
      <c r="H3992" t="str">
        <f>VLOOKUP(myynnit[[#This Row],[TuoteID]],ohjaus!$A$4:$B$20,2,FALSE)</f>
        <v>Pinnatuoli</v>
      </c>
    </row>
    <row r="3993" spans="1:8" x14ac:dyDescent="0.35">
      <c r="A3993" t="s">
        <v>39</v>
      </c>
      <c r="B3993">
        <v>2016</v>
      </c>
      <c r="C3993">
        <v>11</v>
      </c>
      <c r="D3993">
        <v>23178</v>
      </c>
      <c r="E3993">
        <v>134</v>
      </c>
      <c r="F3993">
        <v>22608.69</v>
      </c>
      <c r="G3993">
        <v>6059.37</v>
      </c>
      <c r="H3993" t="str">
        <f>VLOOKUP(myynnit[[#This Row],[TuoteID]],ohjaus!$A$4:$B$20,2,FALSE)</f>
        <v>Pinnatuoli</v>
      </c>
    </row>
    <row r="3994" spans="1:8" x14ac:dyDescent="0.35">
      <c r="A3994" t="s">
        <v>39</v>
      </c>
      <c r="B3994">
        <v>2016</v>
      </c>
      <c r="C3994">
        <v>11</v>
      </c>
      <c r="D3994">
        <v>23600</v>
      </c>
      <c r="E3994">
        <v>1013</v>
      </c>
      <c r="F3994">
        <v>102593.81</v>
      </c>
      <c r="G3994">
        <v>27807.63</v>
      </c>
      <c r="H3994" t="str">
        <f>VLOOKUP(myynnit[[#This Row],[TuoteID]],ohjaus!$A$4:$B$20,2,FALSE)</f>
        <v>Pinnatuoli</v>
      </c>
    </row>
    <row r="3995" spans="1:8" x14ac:dyDescent="0.35">
      <c r="A3995" t="s">
        <v>39</v>
      </c>
      <c r="B3995">
        <v>2016</v>
      </c>
      <c r="C3995">
        <v>11</v>
      </c>
      <c r="D3995">
        <v>23756</v>
      </c>
      <c r="E3995">
        <v>47</v>
      </c>
      <c r="F3995">
        <v>8772.17</v>
      </c>
      <c r="G3995">
        <v>4334.7700000000004</v>
      </c>
      <c r="H3995" t="str">
        <f>VLOOKUP(myynnit[[#This Row],[TuoteID]],ohjaus!$A$4:$B$20,2,FALSE)</f>
        <v>Pianotuoli</v>
      </c>
    </row>
    <row r="3996" spans="1:8" x14ac:dyDescent="0.35">
      <c r="A3996" t="s">
        <v>39</v>
      </c>
      <c r="B3996">
        <v>2016</v>
      </c>
      <c r="C3996">
        <v>11</v>
      </c>
      <c r="D3996">
        <v>24326</v>
      </c>
      <c r="E3996">
        <v>128</v>
      </c>
      <c r="F3996">
        <v>17301.099999999999</v>
      </c>
      <c r="G3996">
        <v>5718.53</v>
      </c>
      <c r="H3996" t="str">
        <f>VLOOKUP(myynnit[[#This Row],[TuoteID]],ohjaus!$A$4:$B$20,2,FALSE)</f>
        <v>Lepotuoli</v>
      </c>
    </row>
    <row r="3997" spans="1:8" x14ac:dyDescent="0.35">
      <c r="A3997" t="s">
        <v>38</v>
      </c>
      <c r="B3997">
        <v>2016</v>
      </c>
      <c r="C3997">
        <v>11</v>
      </c>
      <c r="D3997">
        <v>12184</v>
      </c>
      <c r="E3997">
        <v>49</v>
      </c>
      <c r="F3997">
        <v>5124.12</v>
      </c>
      <c r="G3997">
        <v>3048.9</v>
      </c>
      <c r="H3997" t="str">
        <f>VLOOKUP(myynnit[[#This Row],[TuoteID]],ohjaus!$A$4:$B$20,2,FALSE)</f>
        <v>Rahi</v>
      </c>
    </row>
    <row r="3998" spans="1:8" x14ac:dyDescent="0.35">
      <c r="A3998" t="s">
        <v>38</v>
      </c>
      <c r="B3998">
        <v>2016</v>
      </c>
      <c r="C3998">
        <v>11</v>
      </c>
      <c r="D3998">
        <v>12622</v>
      </c>
      <c r="E3998">
        <v>36</v>
      </c>
      <c r="F3998">
        <v>9806.5400000000009</v>
      </c>
      <c r="G3998">
        <v>5153.16</v>
      </c>
      <c r="H3998" t="str">
        <f>VLOOKUP(myynnit[[#This Row],[TuoteID]],ohjaus!$A$4:$B$20,2,FALSE)</f>
        <v>Pianotuoli</v>
      </c>
    </row>
    <row r="3999" spans="1:8" x14ac:dyDescent="0.35">
      <c r="A3999" t="s">
        <v>38</v>
      </c>
      <c r="B3999">
        <v>2016</v>
      </c>
      <c r="C3999">
        <v>11</v>
      </c>
      <c r="D3999">
        <v>13527</v>
      </c>
      <c r="E3999">
        <v>631</v>
      </c>
      <c r="F3999">
        <v>95002.35</v>
      </c>
      <c r="G3999">
        <v>22477.77</v>
      </c>
      <c r="H3999" t="str">
        <f>VLOOKUP(myynnit[[#This Row],[TuoteID]],ohjaus!$A$4:$B$20,2,FALSE)</f>
        <v>Pinnatuoli</v>
      </c>
    </row>
    <row r="4000" spans="1:8" x14ac:dyDescent="0.35">
      <c r="A4000" t="s">
        <v>38</v>
      </c>
      <c r="B4000">
        <v>2016</v>
      </c>
      <c r="C4000">
        <v>11</v>
      </c>
      <c r="D4000">
        <v>13618</v>
      </c>
      <c r="E4000">
        <v>14</v>
      </c>
      <c r="F4000">
        <v>5702.1</v>
      </c>
      <c r="G4000">
        <v>2477.48</v>
      </c>
      <c r="H4000" t="str">
        <f>VLOOKUP(myynnit[[#This Row],[TuoteID]],ohjaus!$A$4:$B$20,2,FALSE)</f>
        <v>Pianotuoli</v>
      </c>
    </row>
    <row r="4001" spans="1:8" x14ac:dyDescent="0.35">
      <c r="A4001" t="s">
        <v>38</v>
      </c>
      <c r="B4001">
        <v>2016</v>
      </c>
      <c r="C4001">
        <v>11</v>
      </c>
      <c r="D4001">
        <v>16024</v>
      </c>
      <c r="E4001">
        <v>126</v>
      </c>
      <c r="F4001">
        <v>55945.440000000002</v>
      </c>
      <c r="G4001">
        <v>13967.55</v>
      </c>
      <c r="H4001" t="str">
        <f>VLOOKUP(myynnit[[#This Row],[TuoteID]],ohjaus!$A$4:$B$20,2,FALSE)</f>
        <v>Työtuoli</v>
      </c>
    </row>
    <row r="4002" spans="1:8" x14ac:dyDescent="0.35">
      <c r="A4002" t="s">
        <v>38</v>
      </c>
      <c r="B4002">
        <v>2016</v>
      </c>
      <c r="C4002">
        <v>11</v>
      </c>
      <c r="D4002">
        <v>16650</v>
      </c>
      <c r="E4002">
        <v>48</v>
      </c>
      <c r="F4002">
        <v>8651.42</v>
      </c>
      <c r="G4002">
        <v>5194.41</v>
      </c>
      <c r="H4002" t="str">
        <f>VLOOKUP(myynnit[[#This Row],[TuoteID]],ohjaus!$A$4:$B$20,2,FALSE)</f>
        <v>Rahi</v>
      </c>
    </row>
    <row r="4003" spans="1:8" x14ac:dyDescent="0.35">
      <c r="A4003" t="s">
        <v>38</v>
      </c>
      <c r="B4003">
        <v>2016</v>
      </c>
      <c r="C4003">
        <v>11</v>
      </c>
      <c r="D4003">
        <v>17892</v>
      </c>
      <c r="E4003">
        <v>50</v>
      </c>
      <c r="F4003">
        <v>7444.62</v>
      </c>
      <c r="G4003">
        <v>2018.42</v>
      </c>
      <c r="H4003" t="str">
        <f>VLOOKUP(myynnit[[#This Row],[TuoteID]],ohjaus!$A$4:$B$20,2,FALSE)</f>
        <v>Lepotuoli</v>
      </c>
    </row>
    <row r="4004" spans="1:8" x14ac:dyDescent="0.35">
      <c r="A4004" t="s">
        <v>38</v>
      </c>
      <c r="B4004">
        <v>2016</v>
      </c>
      <c r="C4004">
        <v>11</v>
      </c>
      <c r="D4004">
        <v>18342</v>
      </c>
      <c r="E4004">
        <v>96</v>
      </c>
      <c r="F4004">
        <v>85675.91</v>
      </c>
      <c r="G4004">
        <v>20895.72</v>
      </c>
      <c r="H4004" t="str">
        <f>VLOOKUP(myynnit[[#This Row],[TuoteID]],ohjaus!$A$4:$B$20,2,FALSE)</f>
        <v>Työtuoli</v>
      </c>
    </row>
    <row r="4005" spans="1:8" x14ac:dyDescent="0.35">
      <c r="A4005" t="s">
        <v>38</v>
      </c>
      <c r="B4005">
        <v>2016</v>
      </c>
      <c r="C4005">
        <v>11</v>
      </c>
      <c r="D4005">
        <v>20177</v>
      </c>
      <c r="E4005">
        <v>58</v>
      </c>
      <c r="F4005">
        <v>5552.84</v>
      </c>
      <c r="G4005">
        <v>2106.92</v>
      </c>
      <c r="H4005" t="str">
        <f>VLOOKUP(myynnit[[#This Row],[TuoteID]],ohjaus!$A$4:$B$20,2,FALSE)</f>
        <v>Säkkituoli</v>
      </c>
    </row>
    <row r="4006" spans="1:8" x14ac:dyDescent="0.35">
      <c r="A4006" t="s">
        <v>38</v>
      </c>
      <c r="B4006">
        <v>2016</v>
      </c>
      <c r="C4006">
        <v>11</v>
      </c>
      <c r="D4006">
        <v>21179</v>
      </c>
      <c r="E4006">
        <v>56</v>
      </c>
      <c r="F4006">
        <v>6904.56</v>
      </c>
      <c r="G4006">
        <v>3978.51</v>
      </c>
      <c r="H4006" t="str">
        <f>VLOOKUP(myynnit[[#This Row],[TuoteID]],ohjaus!$A$4:$B$20,2,FALSE)</f>
        <v>Rahi</v>
      </c>
    </row>
    <row r="4007" spans="1:8" x14ac:dyDescent="0.35">
      <c r="A4007" t="s">
        <v>38</v>
      </c>
      <c r="B4007">
        <v>2016</v>
      </c>
      <c r="C4007">
        <v>11</v>
      </c>
      <c r="D4007">
        <v>21260</v>
      </c>
      <c r="E4007">
        <v>87</v>
      </c>
      <c r="F4007">
        <v>16609.93</v>
      </c>
      <c r="G4007">
        <v>3641.46</v>
      </c>
      <c r="H4007" t="str">
        <f>VLOOKUP(myynnit[[#This Row],[TuoteID]],ohjaus!$A$4:$B$20,2,FALSE)</f>
        <v>Lepotuoli</v>
      </c>
    </row>
    <row r="4008" spans="1:8" x14ac:dyDescent="0.35">
      <c r="A4008" t="s">
        <v>38</v>
      </c>
      <c r="B4008">
        <v>2016</v>
      </c>
      <c r="C4008">
        <v>11</v>
      </c>
      <c r="D4008">
        <v>22317</v>
      </c>
      <c r="E4008">
        <v>67</v>
      </c>
      <c r="F4008">
        <v>6238.35</v>
      </c>
      <c r="G4008">
        <v>2210.0100000000002</v>
      </c>
      <c r="H4008" t="str">
        <f>VLOOKUP(myynnit[[#This Row],[TuoteID]],ohjaus!$A$4:$B$20,2,FALSE)</f>
        <v>Säkkituoli</v>
      </c>
    </row>
    <row r="4009" spans="1:8" x14ac:dyDescent="0.35">
      <c r="A4009" t="s">
        <v>38</v>
      </c>
      <c r="B4009">
        <v>2016</v>
      </c>
      <c r="C4009">
        <v>11</v>
      </c>
      <c r="D4009">
        <v>22940</v>
      </c>
      <c r="E4009">
        <v>435</v>
      </c>
      <c r="F4009">
        <v>56794.67</v>
      </c>
      <c r="G4009">
        <v>12978.8</v>
      </c>
      <c r="H4009" t="str">
        <f>VLOOKUP(myynnit[[#This Row],[TuoteID]],ohjaus!$A$4:$B$20,2,FALSE)</f>
        <v>Pinnatuoli</v>
      </c>
    </row>
    <row r="4010" spans="1:8" x14ac:dyDescent="0.35">
      <c r="A4010" t="s">
        <v>38</v>
      </c>
      <c r="B4010">
        <v>2016</v>
      </c>
      <c r="C4010">
        <v>11</v>
      </c>
      <c r="D4010">
        <v>23178</v>
      </c>
      <c r="E4010">
        <v>149</v>
      </c>
      <c r="F4010">
        <v>25457.19</v>
      </c>
      <c r="G4010">
        <v>5370.33</v>
      </c>
      <c r="H4010" t="str">
        <f>VLOOKUP(myynnit[[#This Row],[TuoteID]],ohjaus!$A$4:$B$20,2,FALSE)</f>
        <v>Pinnatuoli</v>
      </c>
    </row>
    <row r="4011" spans="1:8" x14ac:dyDescent="0.35">
      <c r="A4011" t="s">
        <v>38</v>
      </c>
      <c r="B4011">
        <v>2016</v>
      </c>
      <c r="C4011">
        <v>11</v>
      </c>
      <c r="D4011">
        <v>23600</v>
      </c>
      <c r="E4011">
        <v>920</v>
      </c>
      <c r="F4011">
        <v>95840.639999999999</v>
      </c>
      <c r="G4011">
        <v>21054.5</v>
      </c>
      <c r="H4011" t="str">
        <f>VLOOKUP(myynnit[[#This Row],[TuoteID]],ohjaus!$A$4:$B$20,2,FALSE)</f>
        <v>Pinnatuoli</v>
      </c>
    </row>
    <row r="4012" spans="1:8" x14ac:dyDescent="0.35">
      <c r="A4012" t="s">
        <v>38</v>
      </c>
      <c r="B4012">
        <v>2016</v>
      </c>
      <c r="C4012">
        <v>11</v>
      </c>
      <c r="D4012">
        <v>23756</v>
      </c>
      <c r="E4012">
        <v>90</v>
      </c>
      <c r="F4012">
        <v>17768.05</v>
      </c>
      <c r="G4012">
        <v>8085.84</v>
      </c>
      <c r="H4012" t="str">
        <f>VLOOKUP(myynnit[[#This Row],[TuoteID]],ohjaus!$A$4:$B$20,2,FALSE)</f>
        <v>Pianotuoli</v>
      </c>
    </row>
    <row r="4013" spans="1:8" x14ac:dyDescent="0.35">
      <c r="A4013" t="s">
        <v>38</v>
      </c>
      <c r="B4013">
        <v>2016</v>
      </c>
      <c r="C4013">
        <v>11</v>
      </c>
      <c r="D4013">
        <v>24326</v>
      </c>
      <c r="E4013">
        <v>121</v>
      </c>
      <c r="F4013">
        <v>18522.7</v>
      </c>
      <c r="G4013">
        <v>4745.78</v>
      </c>
      <c r="H4013" t="str">
        <f>VLOOKUP(myynnit[[#This Row],[TuoteID]],ohjaus!$A$4:$B$20,2,FALSE)</f>
        <v>Lepotuoli</v>
      </c>
    </row>
    <row r="4014" spans="1:8" x14ac:dyDescent="0.35">
      <c r="A4014" t="s">
        <v>37</v>
      </c>
      <c r="B4014">
        <v>2016</v>
      </c>
      <c r="C4014">
        <v>12</v>
      </c>
      <c r="D4014">
        <v>12184</v>
      </c>
      <c r="E4014">
        <v>107</v>
      </c>
      <c r="F4014">
        <v>11005.61</v>
      </c>
      <c r="G4014">
        <v>5333.19</v>
      </c>
      <c r="H4014" t="str">
        <f>VLOOKUP(myynnit[[#This Row],[TuoteID]],ohjaus!$A$4:$B$20,2,FALSE)</f>
        <v>Rahi</v>
      </c>
    </row>
    <row r="4015" spans="1:8" x14ac:dyDescent="0.35">
      <c r="A4015" t="s">
        <v>37</v>
      </c>
      <c r="B4015">
        <v>2016</v>
      </c>
      <c r="C4015">
        <v>12</v>
      </c>
      <c r="D4015">
        <v>12622</v>
      </c>
      <c r="E4015">
        <v>35</v>
      </c>
      <c r="F4015">
        <v>9005.48</v>
      </c>
      <c r="G4015">
        <v>3682</v>
      </c>
      <c r="H4015" t="str">
        <f>VLOOKUP(myynnit[[#This Row],[TuoteID]],ohjaus!$A$4:$B$20,2,FALSE)</f>
        <v>Pianotuoli</v>
      </c>
    </row>
    <row r="4016" spans="1:8" x14ac:dyDescent="0.35">
      <c r="A4016" t="s">
        <v>37</v>
      </c>
      <c r="B4016">
        <v>2016</v>
      </c>
      <c r="C4016">
        <v>12</v>
      </c>
      <c r="D4016">
        <v>13527</v>
      </c>
      <c r="E4016">
        <v>700</v>
      </c>
      <c r="F4016">
        <v>113525.65</v>
      </c>
      <c r="G4016">
        <v>19033.830000000002</v>
      </c>
      <c r="H4016" t="str">
        <f>VLOOKUP(myynnit[[#This Row],[TuoteID]],ohjaus!$A$4:$B$20,2,FALSE)</f>
        <v>Pinnatuoli</v>
      </c>
    </row>
    <row r="4017" spans="1:8" x14ac:dyDescent="0.35">
      <c r="A4017" t="s">
        <v>37</v>
      </c>
      <c r="B4017">
        <v>2016</v>
      </c>
      <c r="C4017">
        <v>12</v>
      </c>
      <c r="D4017">
        <v>13618</v>
      </c>
      <c r="E4017">
        <v>21</v>
      </c>
      <c r="F4017">
        <v>8587.2099999999991</v>
      </c>
      <c r="G4017">
        <v>3655.28</v>
      </c>
      <c r="H4017" t="str">
        <f>VLOOKUP(myynnit[[#This Row],[TuoteID]],ohjaus!$A$4:$B$20,2,FALSE)</f>
        <v>Pianotuoli</v>
      </c>
    </row>
    <row r="4018" spans="1:8" x14ac:dyDescent="0.35">
      <c r="A4018" t="s">
        <v>37</v>
      </c>
      <c r="B4018">
        <v>2016</v>
      </c>
      <c r="C4018">
        <v>12</v>
      </c>
      <c r="D4018">
        <v>16024</v>
      </c>
      <c r="E4018">
        <v>121</v>
      </c>
      <c r="F4018">
        <v>52869.45</v>
      </c>
      <c r="G4018">
        <v>16567.87</v>
      </c>
      <c r="H4018" t="str">
        <f>VLOOKUP(myynnit[[#This Row],[TuoteID]],ohjaus!$A$4:$B$20,2,FALSE)</f>
        <v>Työtuoli</v>
      </c>
    </row>
    <row r="4019" spans="1:8" x14ac:dyDescent="0.35">
      <c r="A4019" t="s">
        <v>37</v>
      </c>
      <c r="B4019">
        <v>2016</v>
      </c>
      <c r="C4019">
        <v>12</v>
      </c>
      <c r="D4019">
        <v>16650</v>
      </c>
      <c r="E4019">
        <v>71</v>
      </c>
      <c r="F4019">
        <v>11454.66</v>
      </c>
      <c r="G4019">
        <v>5883.79</v>
      </c>
      <c r="H4019" t="str">
        <f>VLOOKUP(myynnit[[#This Row],[TuoteID]],ohjaus!$A$4:$B$20,2,FALSE)</f>
        <v>Rahi</v>
      </c>
    </row>
    <row r="4020" spans="1:8" x14ac:dyDescent="0.35">
      <c r="A4020" t="s">
        <v>37</v>
      </c>
      <c r="B4020">
        <v>2016</v>
      </c>
      <c r="C4020">
        <v>12</v>
      </c>
      <c r="D4020">
        <v>17892</v>
      </c>
      <c r="E4020">
        <v>114</v>
      </c>
      <c r="F4020">
        <v>16821.77</v>
      </c>
      <c r="G4020">
        <v>4946.79</v>
      </c>
      <c r="H4020" t="str">
        <f>VLOOKUP(myynnit[[#This Row],[TuoteID]],ohjaus!$A$4:$B$20,2,FALSE)</f>
        <v>Lepotuoli</v>
      </c>
    </row>
    <row r="4021" spans="1:8" x14ac:dyDescent="0.35">
      <c r="A4021" t="s">
        <v>37</v>
      </c>
      <c r="B4021">
        <v>2016</v>
      </c>
      <c r="C4021">
        <v>12</v>
      </c>
      <c r="D4021">
        <v>18342</v>
      </c>
      <c r="E4021">
        <v>104</v>
      </c>
      <c r="F4021">
        <v>90865.12</v>
      </c>
      <c r="G4021">
        <v>29384.95</v>
      </c>
      <c r="H4021" t="str">
        <f>VLOOKUP(myynnit[[#This Row],[TuoteID]],ohjaus!$A$4:$B$20,2,FALSE)</f>
        <v>Työtuoli</v>
      </c>
    </row>
    <row r="4022" spans="1:8" x14ac:dyDescent="0.35">
      <c r="A4022" t="s">
        <v>37</v>
      </c>
      <c r="B4022">
        <v>2016</v>
      </c>
      <c r="C4022">
        <v>12</v>
      </c>
      <c r="D4022">
        <v>20177</v>
      </c>
      <c r="E4022">
        <v>61</v>
      </c>
      <c r="F4022">
        <v>5721.72</v>
      </c>
      <c r="G4022">
        <v>2158.88</v>
      </c>
      <c r="H4022" t="str">
        <f>VLOOKUP(myynnit[[#This Row],[TuoteID]],ohjaus!$A$4:$B$20,2,FALSE)</f>
        <v>Säkkituoli</v>
      </c>
    </row>
    <row r="4023" spans="1:8" x14ac:dyDescent="0.35">
      <c r="A4023" t="s">
        <v>37</v>
      </c>
      <c r="B4023">
        <v>2016</v>
      </c>
      <c r="C4023">
        <v>12</v>
      </c>
      <c r="D4023">
        <v>21179</v>
      </c>
      <c r="E4023">
        <v>34</v>
      </c>
      <c r="F4023">
        <v>4030.15</v>
      </c>
      <c r="G4023">
        <v>1848</v>
      </c>
      <c r="H4023" t="str">
        <f>VLOOKUP(myynnit[[#This Row],[TuoteID]],ohjaus!$A$4:$B$20,2,FALSE)</f>
        <v>Rahi</v>
      </c>
    </row>
    <row r="4024" spans="1:8" x14ac:dyDescent="0.35">
      <c r="A4024" t="s">
        <v>37</v>
      </c>
      <c r="B4024">
        <v>2016</v>
      </c>
      <c r="C4024">
        <v>12</v>
      </c>
      <c r="D4024">
        <v>21260</v>
      </c>
      <c r="E4024">
        <v>80</v>
      </c>
      <c r="F4024">
        <v>13647.36</v>
      </c>
      <c r="G4024">
        <v>4124.54</v>
      </c>
      <c r="H4024" t="str">
        <f>VLOOKUP(myynnit[[#This Row],[TuoteID]],ohjaus!$A$4:$B$20,2,FALSE)</f>
        <v>Lepotuoli</v>
      </c>
    </row>
    <row r="4025" spans="1:8" x14ac:dyDescent="0.35">
      <c r="A4025" t="s">
        <v>37</v>
      </c>
      <c r="B4025">
        <v>2016</v>
      </c>
      <c r="C4025">
        <v>12</v>
      </c>
      <c r="D4025">
        <v>22317</v>
      </c>
      <c r="E4025">
        <v>91</v>
      </c>
      <c r="F4025">
        <v>7381.69</v>
      </c>
      <c r="G4025">
        <v>3006.94</v>
      </c>
      <c r="H4025" t="str">
        <f>VLOOKUP(myynnit[[#This Row],[TuoteID]],ohjaus!$A$4:$B$20,2,FALSE)</f>
        <v>Säkkituoli</v>
      </c>
    </row>
    <row r="4026" spans="1:8" x14ac:dyDescent="0.35">
      <c r="A4026" t="s">
        <v>37</v>
      </c>
      <c r="B4026">
        <v>2016</v>
      </c>
      <c r="C4026">
        <v>12</v>
      </c>
      <c r="D4026">
        <v>22940</v>
      </c>
      <c r="E4026">
        <v>1006</v>
      </c>
      <c r="F4026">
        <v>133235.81</v>
      </c>
      <c r="G4026">
        <v>25481.59</v>
      </c>
      <c r="H4026" t="str">
        <f>VLOOKUP(myynnit[[#This Row],[TuoteID]],ohjaus!$A$4:$B$20,2,FALSE)</f>
        <v>Pinnatuoli</v>
      </c>
    </row>
    <row r="4027" spans="1:8" x14ac:dyDescent="0.35">
      <c r="A4027" t="s">
        <v>37</v>
      </c>
      <c r="B4027">
        <v>2016</v>
      </c>
      <c r="C4027">
        <v>12</v>
      </c>
      <c r="D4027">
        <v>23178</v>
      </c>
      <c r="E4027">
        <v>297</v>
      </c>
      <c r="F4027">
        <v>48827.94</v>
      </c>
      <c r="G4027">
        <v>10325.11</v>
      </c>
      <c r="H4027" t="str">
        <f>VLOOKUP(myynnit[[#This Row],[TuoteID]],ohjaus!$A$4:$B$20,2,FALSE)</f>
        <v>Pinnatuoli</v>
      </c>
    </row>
    <row r="4028" spans="1:8" x14ac:dyDescent="0.35">
      <c r="A4028" t="s">
        <v>37</v>
      </c>
      <c r="B4028">
        <v>2016</v>
      </c>
      <c r="C4028">
        <v>12</v>
      </c>
      <c r="D4028">
        <v>23600</v>
      </c>
      <c r="E4028">
        <v>1020</v>
      </c>
      <c r="F4028">
        <v>121077.39</v>
      </c>
      <c r="G4028">
        <v>29359.87</v>
      </c>
      <c r="H4028" t="str">
        <f>VLOOKUP(myynnit[[#This Row],[TuoteID]],ohjaus!$A$4:$B$20,2,FALSE)</f>
        <v>Pinnatuoli</v>
      </c>
    </row>
    <row r="4029" spans="1:8" x14ac:dyDescent="0.35">
      <c r="A4029" t="s">
        <v>37</v>
      </c>
      <c r="B4029">
        <v>2016</v>
      </c>
      <c r="C4029">
        <v>12</v>
      </c>
      <c r="D4029">
        <v>23756</v>
      </c>
      <c r="E4029">
        <v>77</v>
      </c>
      <c r="F4029">
        <v>14295.92</v>
      </c>
      <c r="G4029">
        <v>7151.98</v>
      </c>
      <c r="H4029" t="str">
        <f>VLOOKUP(myynnit[[#This Row],[TuoteID]],ohjaus!$A$4:$B$20,2,FALSE)</f>
        <v>Pianotuoli</v>
      </c>
    </row>
    <row r="4030" spans="1:8" x14ac:dyDescent="0.35">
      <c r="A4030" t="s">
        <v>37</v>
      </c>
      <c r="B4030">
        <v>2016</v>
      </c>
      <c r="C4030">
        <v>12</v>
      </c>
      <c r="D4030">
        <v>24326</v>
      </c>
      <c r="E4030">
        <v>152</v>
      </c>
      <c r="F4030">
        <v>22584.85</v>
      </c>
      <c r="G4030">
        <v>5736.03</v>
      </c>
      <c r="H4030" t="str">
        <f>VLOOKUP(myynnit[[#This Row],[TuoteID]],ohjaus!$A$4:$B$20,2,FALSE)</f>
        <v>Lepotuoli</v>
      </c>
    </row>
    <row r="4031" spans="1:8" x14ac:dyDescent="0.35">
      <c r="A4031" t="s">
        <v>40</v>
      </c>
      <c r="B4031">
        <v>2016</v>
      </c>
      <c r="C4031">
        <v>12</v>
      </c>
      <c r="D4031">
        <v>12184</v>
      </c>
      <c r="E4031">
        <v>17</v>
      </c>
      <c r="F4031">
        <v>2048.4</v>
      </c>
      <c r="G4031">
        <v>902.11</v>
      </c>
      <c r="H4031" t="str">
        <f>VLOOKUP(myynnit[[#This Row],[TuoteID]],ohjaus!$A$4:$B$20,2,FALSE)</f>
        <v>Rahi</v>
      </c>
    </row>
    <row r="4032" spans="1:8" x14ac:dyDescent="0.35">
      <c r="A4032" t="s">
        <v>40</v>
      </c>
      <c r="B4032">
        <v>2016</v>
      </c>
      <c r="C4032">
        <v>12</v>
      </c>
      <c r="D4032">
        <v>12622</v>
      </c>
      <c r="E4032">
        <v>12</v>
      </c>
      <c r="F4032">
        <v>3412.9</v>
      </c>
      <c r="G4032">
        <v>1538.55</v>
      </c>
      <c r="H4032" t="str">
        <f>VLOOKUP(myynnit[[#This Row],[TuoteID]],ohjaus!$A$4:$B$20,2,FALSE)</f>
        <v>Pianotuoli</v>
      </c>
    </row>
    <row r="4033" spans="1:8" x14ac:dyDescent="0.35">
      <c r="A4033" t="s">
        <v>40</v>
      </c>
      <c r="B4033">
        <v>2016</v>
      </c>
      <c r="C4033">
        <v>12</v>
      </c>
      <c r="D4033">
        <v>13527</v>
      </c>
      <c r="E4033">
        <v>296</v>
      </c>
      <c r="F4033">
        <v>49731.41</v>
      </c>
      <c r="G4033">
        <v>7874.75</v>
      </c>
      <c r="H4033" t="str">
        <f>VLOOKUP(myynnit[[#This Row],[TuoteID]],ohjaus!$A$4:$B$20,2,FALSE)</f>
        <v>Pinnatuoli</v>
      </c>
    </row>
    <row r="4034" spans="1:8" x14ac:dyDescent="0.35">
      <c r="A4034" t="s">
        <v>40</v>
      </c>
      <c r="B4034">
        <v>2016</v>
      </c>
      <c r="C4034">
        <v>12</v>
      </c>
      <c r="D4034">
        <v>13618</v>
      </c>
      <c r="E4034">
        <v>10</v>
      </c>
      <c r="F4034">
        <v>3557</v>
      </c>
      <c r="G4034">
        <v>1574.92</v>
      </c>
      <c r="H4034" t="str">
        <f>VLOOKUP(myynnit[[#This Row],[TuoteID]],ohjaus!$A$4:$B$20,2,FALSE)</f>
        <v>Pianotuoli</v>
      </c>
    </row>
    <row r="4035" spans="1:8" x14ac:dyDescent="0.35">
      <c r="A4035" t="s">
        <v>40</v>
      </c>
      <c r="B4035">
        <v>2016</v>
      </c>
      <c r="C4035">
        <v>12</v>
      </c>
      <c r="D4035">
        <v>16024</v>
      </c>
      <c r="E4035">
        <v>116</v>
      </c>
      <c r="F4035">
        <v>44130.44</v>
      </c>
      <c r="G4035">
        <v>14223.72</v>
      </c>
      <c r="H4035" t="str">
        <f>VLOOKUP(myynnit[[#This Row],[TuoteID]],ohjaus!$A$4:$B$20,2,FALSE)</f>
        <v>Työtuoli</v>
      </c>
    </row>
    <row r="4036" spans="1:8" x14ac:dyDescent="0.35">
      <c r="A4036" t="s">
        <v>40</v>
      </c>
      <c r="B4036">
        <v>2016</v>
      </c>
      <c r="C4036">
        <v>12</v>
      </c>
      <c r="D4036">
        <v>16650</v>
      </c>
      <c r="E4036">
        <v>26</v>
      </c>
      <c r="F4036">
        <v>3979</v>
      </c>
      <c r="G4036">
        <v>2088.5</v>
      </c>
      <c r="H4036" t="str">
        <f>VLOOKUP(myynnit[[#This Row],[TuoteID]],ohjaus!$A$4:$B$20,2,FALSE)</f>
        <v>Rahi</v>
      </c>
    </row>
    <row r="4037" spans="1:8" x14ac:dyDescent="0.35">
      <c r="A4037" t="s">
        <v>40</v>
      </c>
      <c r="B4037">
        <v>2016</v>
      </c>
      <c r="C4037">
        <v>12</v>
      </c>
      <c r="D4037">
        <v>17892</v>
      </c>
      <c r="E4037">
        <v>73</v>
      </c>
      <c r="F4037">
        <v>10912.24</v>
      </c>
      <c r="G4037">
        <v>2843.03</v>
      </c>
      <c r="H4037" t="str">
        <f>VLOOKUP(myynnit[[#This Row],[TuoteID]],ohjaus!$A$4:$B$20,2,FALSE)</f>
        <v>Lepotuoli</v>
      </c>
    </row>
    <row r="4038" spans="1:8" x14ac:dyDescent="0.35">
      <c r="A4038" t="s">
        <v>40</v>
      </c>
      <c r="B4038">
        <v>2016</v>
      </c>
      <c r="C4038">
        <v>12</v>
      </c>
      <c r="D4038">
        <v>18342</v>
      </c>
      <c r="E4038">
        <v>19</v>
      </c>
      <c r="F4038">
        <v>17314.150000000001</v>
      </c>
      <c r="G4038">
        <v>6116.35</v>
      </c>
      <c r="H4038" t="str">
        <f>VLOOKUP(myynnit[[#This Row],[TuoteID]],ohjaus!$A$4:$B$20,2,FALSE)</f>
        <v>Työtuoli</v>
      </c>
    </row>
    <row r="4039" spans="1:8" x14ac:dyDescent="0.35">
      <c r="A4039" t="s">
        <v>40</v>
      </c>
      <c r="B4039">
        <v>2016</v>
      </c>
      <c r="C4039">
        <v>12</v>
      </c>
      <c r="D4039">
        <v>20177</v>
      </c>
      <c r="E4039">
        <v>27</v>
      </c>
      <c r="F4039">
        <v>3053.21</v>
      </c>
      <c r="G4039">
        <v>1364.86</v>
      </c>
      <c r="H4039" t="str">
        <f>VLOOKUP(myynnit[[#This Row],[TuoteID]],ohjaus!$A$4:$B$20,2,FALSE)</f>
        <v>Säkkituoli</v>
      </c>
    </row>
    <row r="4040" spans="1:8" x14ac:dyDescent="0.35">
      <c r="A4040" t="s">
        <v>40</v>
      </c>
      <c r="B4040">
        <v>2016</v>
      </c>
      <c r="C4040">
        <v>12</v>
      </c>
      <c r="D4040">
        <v>21179</v>
      </c>
      <c r="E4040">
        <v>39</v>
      </c>
      <c r="F4040">
        <v>5145.0200000000004</v>
      </c>
      <c r="G4040">
        <v>3192.45</v>
      </c>
      <c r="H4040" t="str">
        <f>VLOOKUP(myynnit[[#This Row],[TuoteID]],ohjaus!$A$4:$B$20,2,FALSE)</f>
        <v>Rahi</v>
      </c>
    </row>
    <row r="4041" spans="1:8" x14ac:dyDescent="0.35">
      <c r="A4041" t="s">
        <v>40</v>
      </c>
      <c r="B4041">
        <v>2016</v>
      </c>
      <c r="C4041">
        <v>12</v>
      </c>
      <c r="D4041">
        <v>21260</v>
      </c>
      <c r="E4041">
        <v>42</v>
      </c>
      <c r="F4041">
        <v>7388.61</v>
      </c>
      <c r="G4041">
        <v>2038.8</v>
      </c>
      <c r="H4041" t="str">
        <f>VLOOKUP(myynnit[[#This Row],[TuoteID]],ohjaus!$A$4:$B$20,2,FALSE)</f>
        <v>Lepotuoli</v>
      </c>
    </row>
    <row r="4042" spans="1:8" x14ac:dyDescent="0.35">
      <c r="A4042" t="s">
        <v>40</v>
      </c>
      <c r="B4042">
        <v>2016</v>
      </c>
      <c r="C4042">
        <v>12</v>
      </c>
      <c r="D4042">
        <v>22317</v>
      </c>
      <c r="E4042">
        <v>11</v>
      </c>
      <c r="F4042">
        <v>1111.6500000000001</v>
      </c>
      <c r="G4042">
        <v>490.67</v>
      </c>
      <c r="H4042" t="str">
        <f>VLOOKUP(myynnit[[#This Row],[TuoteID]],ohjaus!$A$4:$B$20,2,FALSE)</f>
        <v>Säkkituoli</v>
      </c>
    </row>
    <row r="4043" spans="1:8" x14ac:dyDescent="0.35">
      <c r="A4043" t="s">
        <v>40</v>
      </c>
      <c r="B4043">
        <v>2016</v>
      </c>
      <c r="C4043">
        <v>12</v>
      </c>
      <c r="D4043">
        <v>22940</v>
      </c>
      <c r="E4043">
        <v>90</v>
      </c>
      <c r="F4043">
        <v>12031.64</v>
      </c>
      <c r="G4043">
        <v>3100.74</v>
      </c>
      <c r="H4043" t="str">
        <f>VLOOKUP(myynnit[[#This Row],[TuoteID]],ohjaus!$A$4:$B$20,2,FALSE)</f>
        <v>Pinnatuoli</v>
      </c>
    </row>
    <row r="4044" spans="1:8" x14ac:dyDescent="0.35">
      <c r="A4044" t="s">
        <v>40</v>
      </c>
      <c r="B4044">
        <v>2016</v>
      </c>
      <c r="C4044">
        <v>12</v>
      </c>
      <c r="D4044">
        <v>23178</v>
      </c>
      <c r="E4044">
        <v>299</v>
      </c>
      <c r="F4044">
        <v>56098.73</v>
      </c>
      <c r="G4044">
        <v>15199.14</v>
      </c>
      <c r="H4044" t="str">
        <f>VLOOKUP(myynnit[[#This Row],[TuoteID]],ohjaus!$A$4:$B$20,2,FALSE)</f>
        <v>Pinnatuoli</v>
      </c>
    </row>
    <row r="4045" spans="1:8" x14ac:dyDescent="0.35">
      <c r="A4045" t="s">
        <v>40</v>
      </c>
      <c r="B4045">
        <v>2016</v>
      </c>
      <c r="C4045">
        <v>12</v>
      </c>
      <c r="D4045">
        <v>23600</v>
      </c>
      <c r="E4045">
        <v>319</v>
      </c>
      <c r="F4045">
        <v>32243.87</v>
      </c>
      <c r="G4045">
        <v>9543.1</v>
      </c>
      <c r="H4045" t="str">
        <f>VLOOKUP(myynnit[[#This Row],[TuoteID]],ohjaus!$A$4:$B$20,2,FALSE)</f>
        <v>Pinnatuoli</v>
      </c>
    </row>
    <row r="4046" spans="1:8" x14ac:dyDescent="0.35">
      <c r="A4046" t="s">
        <v>40</v>
      </c>
      <c r="B4046">
        <v>2016</v>
      </c>
      <c r="C4046">
        <v>12</v>
      </c>
      <c r="D4046">
        <v>23756</v>
      </c>
      <c r="E4046">
        <v>100</v>
      </c>
      <c r="F4046">
        <v>18933.09</v>
      </c>
      <c r="G4046">
        <v>8771.41</v>
      </c>
      <c r="H4046" t="str">
        <f>VLOOKUP(myynnit[[#This Row],[TuoteID]],ohjaus!$A$4:$B$20,2,FALSE)</f>
        <v>Pianotuoli</v>
      </c>
    </row>
    <row r="4047" spans="1:8" x14ac:dyDescent="0.35">
      <c r="A4047" t="s">
        <v>40</v>
      </c>
      <c r="B4047">
        <v>2016</v>
      </c>
      <c r="C4047">
        <v>12</v>
      </c>
      <c r="D4047">
        <v>24326</v>
      </c>
      <c r="E4047">
        <v>29</v>
      </c>
      <c r="F4047">
        <v>4397.96</v>
      </c>
      <c r="G4047">
        <v>1327.96</v>
      </c>
      <c r="H4047" t="str">
        <f>VLOOKUP(myynnit[[#This Row],[TuoteID]],ohjaus!$A$4:$B$20,2,FALSE)</f>
        <v>Lepotuoli</v>
      </c>
    </row>
    <row r="4048" spans="1:8" x14ac:dyDescent="0.35">
      <c r="A4048" t="s">
        <v>39</v>
      </c>
      <c r="B4048">
        <v>2016</v>
      </c>
      <c r="C4048">
        <v>12</v>
      </c>
      <c r="D4048">
        <v>12184</v>
      </c>
      <c r="E4048">
        <v>83</v>
      </c>
      <c r="F4048">
        <v>12882.26</v>
      </c>
      <c r="G4048">
        <v>8402.58</v>
      </c>
      <c r="H4048" t="str">
        <f>VLOOKUP(myynnit[[#This Row],[TuoteID]],ohjaus!$A$4:$B$20,2,FALSE)</f>
        <v>Rahi</v>
      </c>
    </row>
    <row r="4049" spans="1:8" x14ac:dyDescent="0.35">
      <c r="A4049" t="s">
        <v>39</v>
      </c>
      <c r="B4049">
        <v>2016</v>
      </c>
      <c r="C4049">
        <v>12</v>
      </c>
      <c r="D4049">
        <v>12622</v>
      </c>
      <c r="E4049">
        <v>38</v>
      </c>
      <c r="F4049">
        <v>10483.33</v>
      </c>
      <c r="G4049">
        <v>6819.32</v>
      </c>
      <c r="H4049" t="str">
        <f>VLOOKUP(myynnit[[#This Row],[TuoteID]],ohjaus!$A$4:$B$20,2,FALSE)</f>
        <v>Pianotuoli</v>
      </c>
    </row>
    <row r="4050" spans="1:8" x14ac:dyDescent="0.35">
      <c r="A4050" t="s">
        <v>39</v>
      </c>
      <c r="B4050">
        <v>2016</v>
      </c>
      <c r="C4050">
        <v>12</v>
      </c>
      <c r="D4050">
        <v>13527</v>
      </c>
      <c r="E4050">
        <v>190</v>
      </c>
      <c r="F4050">
        <v>31426.79</v>
      </c>
      <c r="G4050">
        <v>7806.94</v>
      </c>
      <c r="H4050" t="str">
        <f>VLOOKUP(myynnit[[#This Row],[TuoteID]],ohjaus!$A$4:$B$20,2,FALSE)</f>
        <v>Pinnatuoli</v>
      </c>
    </row>
    <row r="4051" spans="1:8" x14ac:dyDescent="0.35">
      <c r="A4051" t="s">
        <v>39</v>
      </c>
      <c r="B4051">
        <v>2016</v>
      </c>
      <c r="C4051">
        <v>12</v>
      </c>
      <c r="D4051">
        <v>13618</v>
      </c>
      <c r="E4051">
        <v>29</v>
      </c>
      <c r="F4051">
        <v>12207.87</v>
      </c>
      <c r="G4051">
        <v>6332.18</v>
      </c>
      <c r="H4051" t="str">
        <f>VLOOKUP(myynnit[[#This Row],[TuoteID]],ohjaus!$A$4:$B$20,2,FALSE)</f>
        <v>Pianotuoli</v>
      </c>
    </row>
    <row r="4052" spans="1:8" x14ac:dyDescent="0.35">
      <c r="A4052" t="s">
        <v>39</v>
      </c>
      <c r="B4052">
        <v>2016</v>
      </c>
      <c r="C4052">
        <v>12</v>
      </c>
      <c r="D4052">
        <v>16024</v>
      </c>
      <c r="E4052">
        <v>299</v>
      </c>
      <c r="F4052">
        <v>138371.70000000001</v>
      </c>
      <c r="G4052">
        <v>38485.82</v>
      </c>
      <c r="H4052" t="str">
        <f>VLOOKUP(myynnit[[#This Row],[TuoteID]],ohjaus!$A$4:$B$20,2,FALSE)</f>
        <v>Työtuoli</v>
      </c>
    </row>
    <row r="4053" spans="1:8" x14ac:dyDescent="0.35">
      <c r="A4053" t="s">
        <v>39</v>
      </c>
      <c r="B4053">
        <v>2016</v>
      </c>
      <c r="C4053">
        <v>12</v>
      </c>
      <c r="D4053">
        <v>16650</v>
      </c>
      <c r="E4053">
        <v>18</v>
      </c>
      <c r="F4053">
        <v>3074.09</v>
      </c>
      <c r="G4053">
        <v>2406.63</v>
      </c>
      <c r="H4053" t="str">
        <f>VLOOKUP(myynnit[[#This Row],[TuoteID]],ohjaus!$A$4:$B$20,2,FALSE)</f>
        <v>Rahi</v>
      </c>
    </row>
    <row r="4054" spans="1:8" x14ac:dyDescent="0.35">
      <c r="A4054" t="s">
        <v>39</v>
      </c>
      <c r="B4054">
        <v>2016</v>
      </c>
      <c r="C4054">
        <v>12</v>
      </c>
      <c r="D4054">
        <v>17892</v>
      </c>
      <c r="E4054">
        <v>90</v>
      </c>
      <c r="F4054">
        <v>13981.9</v>
      </c>
      <c r="G4054">
        <v>4903.6899999999996</v>
      </c>
      <c r="H4054" t="str">
        <f>VLOOKUP(myynnit[[#This Row],[TuoteID]],ohjaus!$A$4:$B$20,2,FALSE)</f>
        <v>Lepotuoli</v>
      </c>
    </row>
    <row r="4055" spans="1:8" x14ac:dyDescent="0.35">
      <c r="A4055" t="s">
        <v>39</v>
      </c>
      <c r="B4055">
        <v>2016</v>
      </c>
      <c r="C4055">
        <v>12</v>
      </c>
      <c r="D4055">
        <v>18342</v>
      </c>
      <c r="E4055">
        <v>161</v>
      </c>
      <c r="F4055">
        <v>122964.02</v>
      </c>
      <c r="G4055">
        <v>36720.51</v>
      </c>
      <c r="H4055" t="str">
        <f>VLOOKUP(myynnit[[#This Row],[TuoteID]],ohjaus!$A$4:$B$20,2,FALSE)</f>
        <v>Työtuoli</v>
      </c>
    </row>
    <row r="4056" spans="1:8" x14ac:dyDescent="0.35">
      <c r="A4056" t="s">
        <v>39</v>
      </c>
      <c r="B4056">
        <v>2016</v>
      </c>
      <c r="C4056">
        <v>12</v>
      </c>
      <c r="D4056">
        <v>20177</v>
      </c>
      <c r="E4056">
        <v>80</v>
      </c>
      <c r="F4056">
        <v>9318.92</v>
      </c>
      <c r="G4056">
        <v>3839.97</v>
      </c>
      <c r="H4056" t="str">
        <f>VLOOKUP(myynnit[[#This Row],[TuoteID]],ohjaus!$A$4:$B$20,2,FALSE)</f>
        <v>Säkkituoli</v>
      </c>
    </row>
    <row r="4057" spans="1:8" x14ac:dyDescent="0.35">
      <c r="A4057" t="s">
        <v>39</v>
      </c>
      <c r="B4057">
        <v>2016</v>
      </c>
      <c r="C4057">
        <v>12</v>
      </c>
      <c r="D4057">
        <v>21179</v>
      </c>
      <c r="E4057">
        <v>56</v>
      </c>
      <c r="F4057">
        <v>8129.89</v>
      </c>
      <c r="G4057">
        <v>5900.81</v>
      </c>
      <c r="H4057" t="str">
        <f>VLOOKUP(myynnit[[#This Row],[TuoteID]],ohjaus!$A$4:$B$20,2,FALSE)</f>
        <v>Rahi</v>
      </c>
    </row>
    <row r="4058" spans="1:8" x14ac:dyDescent="0.35">
      <c r="A4058" t="s">
        <v>39</v>
      </c>
      <c r="B4058">
        <v>2016</v>
      </c>
      <c r="C4058">
        <v>12</v>
      </c>
      <c r="D4058">
        <v>21260</v>
      </c>
      <c r="E4058">
        <v>47</v>
      </c>
      <c r="F4058">
        <v>8885.64</v>
      </c>
      <c r="G4058">
        <v>3081.94</v>
      </c>
      <c r="H4058" t="str">
        <f>VLOOKUP(myynnit[[#This Row],[TuoteID]],ohjaus!$A$4:$B$20,2,FALSE)</f>
        <v>Lepotuoli</v>
      </c>
    </row>
    <row r="4059" spans="1:8" x14ac:dyDescent="0.35">
      <c r="A4059" t="s">
        <v>39</v>
      </c>
      <c r="B4059">
        <v>2016</v>
      </c>
      <c r="C4059">
        <v>12</v>
      </c>
      <c r="D4059">
        <v>22317</v>
      </c>
      <c r="E4059">
        <v>54</v>
      </c>
      <c r="F4059">
        <v>5170.46</v>
      </c>
      <c r="G4059">
        <v>2454.77</v>
      </c>
      <c r="H4059" t="str">
        <f>VLOOKUP(myynnit[[#This Row],[TuoteID]],ohjaus!$A$4:$B$20,2,FALSE)</f>
        <v>Säkkituoli</v>
      </c>
    </row>
    <row r="4060" spans="1:8" x14ac:dyDescent="0.35">
      <c r="A4060" t="s">
        <v>39</v>
      </c>
      <c r="B4060">
        <v>2016</v>
      </c>
      <c r="C4060">
        <v>12</v>
      </c>
      <c r="D4060">
        <v>22940</v>
      </c>
      <c r="E4060">
        <v>291</v>
      </c>
      <c r="F4060">
        <v>34029.68</v>
      </c>
      <c r="G4060">
        <v>9560.44</v>
      </c>
      <c r="H4060" t="str">
        <f>VLOOKUP(myynnit[[#This Row],[TuoteID]],ohjaus!$A$4:$B$20,2,FALSE)</f>
        <v>Pinnatuoli</v>
      </c>
    </row>
    <row r="4061" spans="1:8" x14ac:dyDescent="0.35">
      <c r="A4061" t="s">
        <v>39</v>
      </c>
      <c r="B4061">
        <v>2016</v>
      </c>
      <c r="C4061">
        <v>12</v>
      </c>
      <c r="D4061">
        <v>23178</v>
      </c>
      <c r="E4061">
        <v>193</v>
      </c>
      <c r="F4061">
        <v>33772.870000000003</v>
      </c>
      <c r="G4061">
        <v>7205.15</v>
      </c>
      <c r="H4061" t="str">
        <f>VLOOKUP(myynnit[[#This Row],[TuoteID]],ohjaus!$A$4:$B$20,2,FALSE)</f>
        <v>Pinnatuoli</v>
      </c>
    </row>
    <row r="4062" spans="1:8" x14ac:dyDescent="0.35">
      <c r="A4062" t="s">
        <v>39</v>
      </c>
      <c r="B4062">
        <v>2016</v>
      </c>
      <c r="C4062">
        <v>12</v>
      </c>
      <c r="D4062">
        <v>23600</v>
      </c>
      <c r="E4062">
        <v>736</v>
      </c>
      <c r="F4062">
        <v>87186.27</v>
      </c>
      <c r="G4062">
        <v>24750.93</v>
      </c>
      <c r="H4062" t="str">
        <f>VLOOKUP(myynnit[[#This Row],[TuoteID]],ohjaus!$A$4:$B$20,2,FALSE)</f>
        <v>Pinnatuoli</v>
      </c>
    </row>
    <row r="4063" spans="1:8" x14ac:dyDescent="0.35">
      <c r="A4063" t="s">
        <v>39</v>
      </c>
      <c r="B4063">
        <v>2016</v>
      </c>
      <c r="C4063">
        <v>12</v>
      </c>
      <c r="D4063">
        <v>23756</v>
      </c>
      <c r="E4063">
        <v>95</v>
      </c>
      <c r="F4063">
        <v>19637.66</v>
      </c>
      <c r="G4063">
        <v>12852.17</v>
      </c>
      <c r="H4063" t="str">
        <f>VLOOKUP(myynnit[[#This Row],[TuoteID]],ohjaus!$A$4:$B$20,2,FALSE)</f>
        <v>Pianotuoli</v>
      </c>
    </row>
    <row r="4064" spans="1:8" x14ac:dyDescent="0.35">
      <c r="A4064" t="s">
        <v>39</v>
      </c>
      <c r="B4064">
        <v>2016</v>
      </c>
      <c r="C4064">
        <v>12</v>
      </c>
      <c r="D4064">
        <v>24326</v>
      </c>
      <c r="E4064">
        <v>74</v>
      </c>
      <c r="F4064">
        <v>11721.12</v>
      </c>
      <c r="G4064">
        <v>3193.8</v>
      </c>
      <c r="H4064" t="str">
        <f>VLOOKUP(myynnit[[#This Row],[TuoteID]],ohjaus!$A$4:$B$20,2,FALSE)</f>
        <v>Lepotuoli</v>
      </c>
    </row>
    <row r="4065" spans="1:8" x14ac:dyDescent="0.35">
      <c r="A4065" t="s">
        <v>38</v>
      </c>
      <c r="B4065">
        <v>2016</v>
      </c>
      <c r="C4065">
        <v>12</v>
      </c>
      <c r="D4065">
        <v>12184</v>
      </c>
      <c r="E4065">
        <v>70</v>
      </c>
      <c r="F4065">
        <v>7196.06</v>
      </c>
      <c r="G4065">
        <v>4224.24</v>
      </c>
      <c r="H4065" t="str">
        <f>VLOOKUP(myynnit[[#This Row],[TuoteID]],ohjaus!$A$4:$B$20,2,FALSE)</f>
        <v>Rahi</v>
      </c>
    </row>
    <row r="4066" spans="1:8" x14ac:dyDescent="0.35">
      <c r="A4066" t="s">
        <v>38</v>
      </c>
      <c r="B4066">
        <v>2016</v>
      </c>
      <c r="C4066">
        <v>12</v>
      </c>
      <c r="D4066">
        <v>12622</v>
      </c>
      <c r="E4066">
        <v>46</v>
      </c>
      <c r="F4066">
        <v>14178.65</v>
      </c>
      <c r="G4066">
        <v>7669.47</v>
      </c>
      <c r="H4066" t="str">
        <f>VLOOKUP(myynnit[[#This Row],[TuoteID]],ohjaus!$A$4:$B$20,2,FALSE)</f>
        <v>Pianotuoli</v>
      </c>
    </row>
    <row r="4067" spans="1:8" x14ac:dyDescent="0.35">
      <c r="A4067" t="s">
        <v>38</v>
      </c>
      <c r="B4067">
        <v>2016</v>
      </c>
      <c r="C4067">
        <v>12</v>
      </c>
      <c r="D4067">
        <v>13527</v>
      </c>
      <c r="E4067">
        <v>287</v>
      </c>
      <c r="F4067">
        <v>49863.97</v>
      </c>
      <c r="G4067">
        <v>10514.85</v>
      </c>
      <c r="H4067" t="str">
        <f>VLOOKUP(myynnit[[#This Row],[TuoteID]],ohjaus!$A$4:$B$20,2,FALSE)</f>
        <v>Pinnatuoli</v>
      </c>
    </row>
    <row r="4068" spans="1:8" x14ac:dyDescent="0.35">
      <c r="A4068" t="s">
        <v>38</v>
      </c>
      <c r="B4068">
        <v>2016</v>
      </c>
      <c r="C4068">
        <v>12</v>
      </c>
      <c r="D4068">
        <v>13618</v>
      </c>
      <c r="E4068">
        <v>8</v>
      </c>
      <c r="F4068">
        <v>3575.94</v>
      </c>
      <c r="G4068">
        <v>1449.94</v>
      </c>
      <c r="H4068" t="str">
        <f>VLOOKUP(myynnit[[#This Row],[TuoteID]],ohjaus!$A$4:$B$20,2,FALSE)</f>
        <v>Pianotuoli</v>
      </c>
    </row>
    <row r="4069" spans="1:8" x14ac:dyDescent="0.35">
      <c r="A4069" t="s">
        <v>38</v>
      </c>
      <c r="B4069">
        <v>2016</v>
      </c>
      <c r="C4069">
        <v>12</v>
      </c>
      <c r="D4069">
        <v>16024</v>
      </c>
      <c r="E4069">
        <v>126</v>
      </c>
      <c r="F4069">
        <v>56374.44</v>
      </c>
      <c r="G4069">
        <v>11929.47</v>
      </c>
      <c r="H4069" t="str">
        <f>VLOOKUP(myynnit[[#This Row],[TuoteID]],ohjaus!$A$4:$B$20,2,FALSE)</f>
        <v>Työtuoli</v>
      </c>
    </row>
    <row r="4070" spans="1:8" x14ac:dyDescent="0.35">
      <c r="A4070" t="s">
        <v>38</v>
      </c>
      <c r="B4070">
        <v>2016</v>
      </c>
      <c r="C4070">
        <v>12</v>
      </c>
      <c r="D4070">
        <v>16650</v>
      </c>
      <c r="E4070">
        <v>62</v>
      </c>
      <c r="F4070">
        <v>9168.84</v>
      </c>
      <c r="G4070">
        <v>5631.36</v>
      </c>
      <c r="H4070" t="str">
        <f>VLOOKUP(myynnit[[#This Row],[TuoteID]],ohjaus!$A$4:$B$20,2,FALSE)</f>
        <v>Rahi</v>
      </c>
    </row>
    <row r="4071" spans="1:8" x14ac:dyDescent="0.35">
      <c r="A4071" t="s">
        <v>38</v>
      </c>
      <c r="B4071">
        <v>2016</v>
      </c>
      <c r="C4071">
        <v>12</v>
      </c>
      <c r="D4071">
        <v>17892</v>
      </c>
      <c r="E4071">
        <v>85</v>
      </c>
      <c r="F4071">
        <v>12915.56</v>
      </c>
      <c r="G4071">
        <v>3582.47</v>
      </c>
      <c r="H4071" t="str">
        <f>VLOOKUP(myynnit[[#This Row],[TuoteID]],ohjaus!$A$4:$B$20,2,FALSE)</f>
        <v>Lepotuoli</v>
      </c>
    </row>
    <row r="4072" spans="1:8" x14ac:dyDescent="0.35">
      <c r="A4072" t="s">
        <v>38</v>
      </c>
      <c r="B4072">
        <v>2016</v>
      </c>
      <c r="C4072">
        <v>12</v>
      </c>
      <c r="D4072">
        <v>18342</v>
      </c>
      <c r="E4072">
        <v>121</v>
      </c>
      <c r="F4072">
        <v>93641.69</v>
      </c>
      <c r="G4072">
        <v>20646.86</v>
      </c>
      <c r="H4072" t="str">
        <f>VLOOKUP(myynnit[[#This Row],[TuoteID]],ohjaus!$A$4:$B$20,2,FALSE)</f>
        <v>Työtuoli</v>
      </c>
    </row>
    <row r="4073" spans="1:8" x14ac:dyDescent="0.35">
      <c r="A4073" t="s">
        <v>38</v>
      </c>
      <c r="B4073">
        <v>2016</v>
      </c>
      <c r="C4073">
        <v>12</v>
      </c>
      <c r="D4073">
        <v>20177</v>
      </c>
      <c r="E4073">
        <v>95</v>
      </c>
      <c r="F4073">
        <v>9626.0300000000007</v>
      </c>
      <c r="G4073">
        <v>4030.36</v>
      </c>
      <c r="H4073" t="str">
        <f>VLOOKUP(myynnit[[#This Row],[TuoteID]],ohjaus!$A$4:$B$20,2,FALSE)</f>
        <v>Säkkituoli</v>
      </c>
    </row>
    <row r="4074" spans="1:8" x14ac:dyDescent="0.35">
      <c r="A4074" t="s">
        <v>38</v>
      </c>
      <c r="B4074">
        <v>2016</v>
      </c>
      <c r="C4074">
        <v>12</v>
      </c>
      <c r="D4074">
        <v>21179</v>
      </c>
      <c r="E4074">
        <v>57</v>
      </c>
      <c r="F4074">
        <v>7316.95</v>
      </c>
      <c r="G4074">
        <v>3650.28</v>
      </c>
      <c r="H4074" t="str">
        <f>VLOOKUP(myynnit[[#This Row],[TuoteID]],ohjaus!$A$4:$B$20,2,FALSE)</f>
        <v>Rahi</v>
      </c>
    </row>
    <row r="4075" spans="1:8" x14ac:dyDescent="0.35">
      <c r="A4075" t="s">
        <v>38</v>
      </c>
      <c r="B4075">
        <v>2016</v>
      </c>
      <c r="C4075">
        <v>12</v>
      </c>
      <c r="D4075">
        <v>21260</v>
      </c>
      <c r="E4075">
        <v>73</v>
      </c>
      <c r="F4075">
        <v>13961.71</v>
      </c>
      <c r="G4075">
        <v>4080.58</v>
      </c>
      <c r="H4075" t="str">
        <f>VLOOKUP(myynnit[[#This Row],[TuoteID]],ohjaus!$A$4:$B$20,2,FALSE)</f>
        <v>Lepotuoli</v>
      </c>
    </row>
    <row r="4076" spans="1:8" x14ac:dyDescent="0.35">
      <c r="A4076" t="s">
        <v>38</v>
      </c>
      <c r="B4076">
        <v>2016</v>
      </c>
      <c r="C4076">
        <v>12</v>
      </c>
      <c r="D4076">
        <v>22317</v>
      </c>
      <c r="E4076">
        <v>42</v>
      </c>
      <c r="F4076">
        <v>3490.86</v>
      </c>
      <c r="G4076">
        <v>1350.84</v>
      </c>
      <c r="H4076" t="str">
        <f>VLOOKUP(myynnit[[#This Row],[TuoteID]],ohjaus!$A$4:$B$20,2,FALSE)</f>
        <v>Säkkituoli</v>
      </c>
    </row>
    <row r="4077" spans="1:8" x14ac:dyDescent="0.35">
      <c r="A4077" t="s">
        <v>38</v>
      </c>
      <c r="B4077">
        <v>2016</v>
      </c>
      <c r="C4077">
        <v>12</v>
      </c>
      <c r="D4077">
        <v>22940</v>
      </c>
      <c r="E4077">
        <v>593</v>
      </c>
      <c r="F4077">
        <v>72402.570000000007</v>
      </c>
      <c r="G4077">
        <v>15499.56</v>
      </c>
      <c r="H4077" t="str">
        <f>VLOOKUP(myynnit[[#This Row],[TuoteID]],ohjaus!$A$4:$B$20,2,FALSE)</f>
        <v>Pinnatuoli</v>
      </c>
    </row>
    <row r="4078" spans="1:8" x14ac:dyDescent="0.35">
      <c r="A4078" t="s">
        <v>38</v>
      </c>
      <c r="B4078">
        <v>2016</v>
      </c>
      <c r="C4078">
        <v>12</v>
      </c>
      <c r="D4078">
        <v>23178</v>
      </c>
      <c r="E4078">
        <v>193</v>
      </c>
      <c r="F4078">
        <v>36505.93</v>
      </c>
      <c r="G4078">
        <v>7192.25</v>
      </c>
      <c r="H4078" t="str">
        <f>VLOOKUP(myynnit[[#This Row],[TuoteID]],ohjaus!$A$4:$B$20,2,FALSE)</f>
        <v>Pinnatuoli</v>
      </c>
    </row>
    <row r="4079" spans="1:8" x14ac:dyDescent="0.35">
      <c r="A4079" t="s">
        <v>38</v>
      </c>
      <c r="B4079">
        <v>2016</v>
      </c>
      <c r="C4079">
        <v>12</v>
      </c>
      <c r="D4079">
        <v>23600</v>
      </c>
      <c r="E4079">
        <v>940</v>
      </c>
      <c r="F4079">
        <v>113254.11</v>
      </c>
      <c r="G4079">
        <v>24637.84</v>
      </c>
      <c r="H4079" t="str">
        <f>VLOOKUP(myynnit[[#This Row],[TuoteID]],ohjaus!$A$4:$B$20,2,FALSE)</f>
        <v>Pinnatuoli</v>
      </c>
    </row>
    <row r="4080" spans="1:8" x14ac:dyDescent="0.35">
      <c r="A4080" t="s">
        <v>38</v>
      </c>
      <c r="B4080">
        <v>2016</v>
      </c>
      <c r="C4080">
        <v>12</v>
      </c>
      <c r="D4080">
        <v>23756</v>
      </c>
      <c r="E4080">
        <v>84</v>
      </c>
      <c r="F4080">
        <v>12557.96</v>
      </c>
      <c r="G4080">
        <v>6724.73</v>
      </c>
      <c r="H4080" t="str">
        <f>VLOOKUP(myynnit[[#This Row],[TuoteID]],ohjaus!$A$4:$B$20,2,FALSE)</f>
        <v>Pianotuoli</v>
      </c>
    </row>
    <row r="4081" spans="1:8" x14ac:dyDescent="0.35">
      <c r="A4081" t="s">
        <v>38</v>
      </c>
      <c r="B4081">
        <v>2016</v>
      </c>
      <c r="C4081">
        <v>12</v>
      </c>
      <c r="D4081">
        <v>24326</v>
      </c>
      <c r="E4081">
        <v>131</v>
      </c>
      <c r="F4081">
        <v>16594.04</v>
      </c>
      <c r="G4081">
        <v>4065.17</v>
      </c>
      <c r="H4081" t="str">
        <f>VLOOKUP(myynnit[[#This Row],[TuoteID]],ohjaus!$A$4:$B$20,2,FALSE)</f>
        <v>Lepotuoli</v>
      </c>
    </row>
    <row r="4082" spans="1:8" x14ac:dyDescent="0.35">
      <c r="A4082" t="s">
        <v>37</v>
      </c>
      <c r="B4082">
        <v>2017</v>
      </c>
      <c r="C4082">
        <v>1</v>
      </c>
      <c r="D4082">
        <v>12184</v>
      </c>
      <c r="E4082">
        <v>94</v>
      </c>
      <c r="F4082">
        <v>12620.22</v>
      </c>
      <c r="G4082">
        <v>5767.55</v>
      </c>
      <c r="H4082" t="str">
        <f>VLOOKUP(myynnit[[#This Row],[TuoteID]],ohjaus!$A$4:$B$20,2,FALSE)</f>
        <v>Rahi</v>
      </c>
    </row>
    <row r="4083" spans="1:8" x14ac:dyDescent="0.35">
      <c r="A4083" t="s">
        <v>37</v>
      </c>
      <c r="B4083">
        <v>2017</v>
      </c>
      <c r="C4083">
        <v>1</v>
      </c>
      <c r="D4083">
        <v>12622</v>
      </c>
      <c r="E4083">
        <v>80</v>
      </c>
      <c r="F4083">
        <v>17440.03</v>
      </c>
      <c r="G4083">
        <v>7675.17</v>
      </c>
      <c r="H4083" t="str">
        <f>VLOOKUP(myynnit[[#This Row],[TuoteID]],ohjaus!$A$4:$B$20,2,FALSE)</f>
        <v>Pianotuoli</v>
      </c>
    </row>
    <row r="4084" spans="1:8" x14ac:dyDescent="0.35">
      <c r="A4084" t="s">
        <v>37</v>
      </c>
      <c r="B4084">
        <v>2017</v>
      </c>
      <c r="C4084">
        <v>1</v>
      </c>
      <c r="D4084">
        <v>13527</v>
      </c>
      <c r="E4084">
        <v>687</v>
      </c>
      <c r="F4084">
        <v>118189.77</v>
      </c>
      <c r="G4084">
        <v>21950.89</v>
      </c>
      <c r="H4084" t="str">
        <f>VLOOKUP(myynnit[[#This Row],[TuoteID]],ohjaus!$A$4:$B$20,2,FALSE)</f>
        <v>Pinnatuoli</v>
      </c>
    </row>
    <row r="4085" spans="1:8" x14ac:dyDescent="0.35">
      <c r="A4085" t="s">
        <v>37</v>
      </c>
      <c r="B4085">
        <v>2017</v>
      </c>
      <c r="C4085">
        <v>1</v>
      </c>
      <c r="D4085">
        <v>13618</v>
      </c>
      <c r="E4085">
        <v>16</v>
      </c>
      <c r="F4085">
        <v>5140.0200000000004</v>
      </c>
      <c r="G4085">
        <v>2069.4</v>
      </c>
      <c r="H4085" t="str">
        <f>VLOOKUP(myynnit[[#This Row],[TuoteID]],ohjaus!$A$4:$B$20,2,FALSE)</f>
        <v>Pianotuoli</v>
      </c>
    </row>
    <row r="4086" spans="1:8" x14ac:dyDescent="0.35">
      <c r="A4086" t="s">
        <v>37</v>
      </c>
      <c r="B4086">
        <v>2017</v>
      </c>
      <c r="C4086">
        <v>1</v>
      </c>
      <c r="D4086">
        <v>16024</v>
      </c>
      <c r="E4086">
        <v>145</v>
      </c>
      <c r="F4086">
        <v>69135.75</v>
      </c>
      <c r="G4086">
        <v>18968.29</v>
      </c>
      <c r="H4086" t="str">
        <f>VLOOKUP(myynnit[[#This Row],[TuoteID]],ohjaus!$A$4:$B$20,2,FALSE)</f>
        <v>Työtuoli</v>
      </c>
    </row>
    <row r="4087" spans="1:8" x14ac:dyDescent="0.35">
      <c r="A4087" t="s">
        <v>37</v>
      </c>
      <c r="B4087">
        <v>2017</v>
      </c>
      <c r="C4087">
        <v>1</v>
      </c>
      <c r="D4087">
        <v>16650</v>
      </c>
      <c r="E4087">
        <v>82</v>
      </c>
      <c r="F4087">
        <v>13888.67</v>
      </c>
      <c r="G4087">
        <v>7053.46</v>
      </c>
      <c r="H4087" t="str">
        <f>VLOOKUP(myynnit[[#This Row],[TuoteID]],ohjaus!$A$4:$B$20,2,FALSE)</f>
        <v>Rahi</v>
      </c>
    </row>
    <row r="4088" spans="1:8" x14ac:dyDescent="0.35">
      <c r="A4088" t="s">
        <v>37</v>
      </c>
      <c r="B4088">
        <v>2017</v>
      </c>
      <c r="C4088">
        <v>1</v>
      </c>
      <c r="D4088">
        <v>17892</v>
      </c>
      <c r="E4088">
        <v>76</v>
      </c>
      <c r="F4088">
        <v>12001.08</v>
      </c>
      <c r="G4088">
        <v>3049.93</v>
      </c>
      <c r="H4088" t="str">
        <f>VLOOKUP(myynnit[[#This Row],[TuoteID]],ohjaus!$A$4:$B$20,2,FALSE)</f>
        <v>Lepotuoli</v>
      </c>
    </row>
    <row r="4089" spans="1:8" x14ac:dyDescent="0.35">
      <c r="A4089" t="s">
        <v>37</v>
      </c>
      <c r="B4089">
        <v>2017</v>
      </c>
      <c r="C4089">
        <v>1</v>
      </c>
      <c r="D4089">
        <v>18342</v>
      </c>
      <c r="E4089">
        <v>176</v>
      </c>
      <c r="F4089">
        <v>151711.88</v>
      </c>
      <c r="G4089">
        <v>36680.629999999997</v>
      </c>
      <c r="H4089" t="str">
        <f>VLOOKUP(myynnit[[#This Row],[TuoteID]],ohjaus!$A$4:$B$20,2,FALSE)</f>
        <v>Työtuoli</v>
      </c>
    </row>
    <row r="4090" spans="1:8" x14ac:dyDescent="0.35">
      <c r="A4090" t="s">
        <v>37</v>
      </c>
      <c r="B4090">
        <v>2017</v>
      </c>
      <c r="C4090">
        <v>1</v>
      </c>
      <c r="D4090">
        <v>20177</v>
      </c>
      <c r="E4090">
        <v>91</v>
      </c>
      <c r="F4090">
        <v>8662.2000000000007</v>
      </c>
      <c r="G4090">
        <v>2904.82</v>
      </c>
      <c r="H4090" t="str">
        <f>VLOOKUP(myynnit[[#This Row],[TuoteID]],ohjaus!$A$4:$B$20,2,FALSE)</f>
        <v>Säkkituoli</v>
      </c>
    </row>
    <row r="4091" spans="1:8" x14ac:dyDescent="0.35">
      <c r="A4091" t="s">
        <v>37</v>
      </c>
      <c r="B4091">
        <v>2017</v>
      </c>
      <c r="C4091">
        <v>1</v>
      </c>
      <c r="D4091">
        <v>21179</v>
      </c>
      <c r="E4091">
        <v>68</v>
      </c>
      <c r="F4091">
        <v>7589.49</v>
      </c>
      <c r="G4091">
        <v>3809.31</v>
      </c>
      <c r="H4091" t="str">
        <f>VLOOKUP(myynnit[[#This Row],[TuoteID]],ohjaus!$A$4:$B$20,2,FALSE)</f>
        <v>Rahi</v>
      </c>
    </row>
    <row r="4092" spans="1:8" x14ac:dyDescent="0.35">
      <c r="A4092" t="s">
        <v>37</v>
      </c>
      <c r="B4092">
        <v>2017</v>
      </c>
      <c r="C4092">
        <v>1</v>
      </c>
      <c r="D4092">
        <v>21260</v>
      </c>
      <c r="E4092">
        <v>71</v>
      </c>
      <c r="F4092">
        <v>12946.24</v>
      </c>
      <c r="G4092">
        <v>3648.06</v>
      </c>
      <c r="H4092" t="str">
        <f>VLOOKUP(myynnit[[#This Row],[TuoteID]],ohjaus!$A$4:$B$20,2,FALSE)</f>
        <v>Lepotuoli</v>
      </c>
    </row>
    <row r="4093" spans="1:8" x14ac:dyDescent="0.35">
      <c r="A4093" t="s">
        <v>37</v>
      </c>
      <c r="B4093">
        <v>2017</v>
      </c>
      <c r="C4093">
        <v>1</v>
      </c>
      <c r="D4093">
        <v>22317</v>
      </c>
      <c r="E4093">
        <v>51</v>
      </c>
      <c r="F4093">
        <v>5024.97</v>
      </c>
      <c r="G4093">
        <v>2079.79</v>
      </c>
      <c r="H4093" t="str">
        <f>VLOOKUP(myynnit[[#This Row],[TuoteID]],ohjaus!$A$4:$B$20,2,FALSE)</f>
        <v>Säkkituoli</v>
      </c>
    </row>
    <row r="4094" spans="1:8" x14ac:dyDescent="0.35">
      <c r="A4094" t="s">
        <v>37</v>
      </c>
      <c r="B4094">
        <v>2017</v>
      </c>
      <c r="C4094">
        <v>1</v>
      </c>
      <c r="D4094">
        <v>22940</v>
      </c>
      <c r="E4094">
        <v>461</v>
      </c>
      <c r="F4094">
        <v>63179.97</v>
      </c>
      <c r="G4094">
        <v>11123.34</v>
      </c>
      <c r="H4094" t="str">
        <f>VLOOKUP(myynnit[[#This Row],[TuoteID]],ohjaus!$A$4:$B$20,2,FALSE)</f>
        <v>Pinnatuoli</v>
      </c>
    </row>
    <row r="4095" spans="1:8" x14ac:dyDescent="0.35">
      <c r="A4095" t="s">
        <v>37</v>
      </c>
      <c r="B4095">
        <v>2017</v>
      </c>
      <c r="C4095">
        <v>1</v>
      </c>
      <c r="D4095">
        <v>23178</v>
      </c>
      <c r="E4095">
        <v>436</v>
      </c>
      <c r="F4095">
        <v>80287.210000000006</v>
      </c>
      <c r="G4095">
        <v>14350.68</v>
      </c>
      <c r="H4095" t="str">
        <f>VLOOKUP(myynnit[[#This Row],[TuoteID]],ohjaus!$A$4:$B$20,2,FALSE)</f>
        <v>Pinnatuoli</v>
      </c>
    </row>
    <row r="4096" spans="1:8" x14ac:dyDescent="0.35">
      <c r="A4096" t="s">
        <v>37</v>
      </c>
      <c r="B4096">
        <v>2017</v>
      </c>
      <c r="C4096">
        <v>1</v>
      </c>
      <c r="D4096">
        <v>23600</v>
      </c>
      <c r="E4096">
        <v>698</v>
      </c>
      <c r="F4096">
        <v>78521.98</v>
      </c>
      <c r="G4096">
        <v>16899.009999999998</v>
      </c>
      <c r="H4096" t="str">
        <f>VLOOKUP(myynnit[[#This Row],[TuoteID]],ohjaus!$A$4:$B$20,2,FALSE)</f>
        <v>Pinnatuoli</v>
      </c>
    </row>
    <row r="4097" spans="1:8" x14ac:dyDescent="0.35">
      <c r="A4097" t="s">
        <v>37</v>
      </c>
      <c r="B4097">
        <v>2017</v>
      </c>
      <c r="C4097">
        <v>1</v>
      </c>
      <c r="D4097">
        <v>23756</v>
      </c>
      <c r="E4097">
        <v>60</v>
      </c>
      <c r="F4097">
        <v>11736.4</v>
      </c>
      <c r="G4097">
        <v>4726.13</v>
      </c>
      <c r="H4097" t="str">
        <f>VLOOKUP(myynnit[[#This Row],[TuoteID]],ohjaus!$A$4:$B$20,2,FALSE)</f>
        <v>Pianotuoli</v>
      </c>
    </row>
    <row r="4098" spans="1:8" x14ac:dyDescent="0.35">
      <c r="A4098" t="s">
        <v>37</v>
      </c>
      <c r="B4098">
        <v>2017</v>
      </c>
      <c r="C4098">
        <v>1</v>
      </c>
      <c r="D4098">
        <v>24326</v>
      </c>
      <c r="E4098">
        <v>196</v>
      </c>
      <c r="F4098">
        <v>24705.52</v>
      </c>
      <c r="G4098">
        <v>6514.51</v>
      </c>
      <c r="H4098" t="str">
        <f>VLOOKUP(myynnit[[#This Row],[TuoteID]],ohjaus!$A$4:$B$20,2,FALSE)</f>
        <v>Lepotuoli</v>
      </c>
    </row>
    <row r="4099" spans="1:8" x14ac:dyDescent="0.35">
      <c r="A4099" t="s">
        <v>40</v>
      </c>
      <c r="B4099">
        <v>2017</v>
      </c>
      <c r="C4099">
        <v>1</v>
      </c>
      <c r="D4099">
        <v>12184</v>
      </c>
      <c r="E4099">
        <v>23</v>
      </c>
      <c r="F4099">
        <v>2920.11</v>
      </c>
      <c r="G4099">
        <v>1414.16</v>
      </c>
      <c r="H4099" t="str">
        <f>VLOOKUP(myynnit[[#This Row],[TuoteID]],ohjaus!$A$4:$B$20,2,FALSE)</f>
        <v>Rahi</v>
      </c>
    </row>
    <row r="4100" spans="1:8" x14ac:dyDescent="0.35">
      <c r="A4100" t="s">
        <v>40</v>
      </c>
      <c r="B4100">
        <v>2017</v>
      </c>
      <c r="C4100">
        <v>1</v>
      </c>
      <c r="D4100">
        <v>12622</v>
      </c>
      <c r="E4100">
        <v>17</v>
      </c>
      <c r="F4100">
        <v>4174.46</v>
      </c>
      <c r="G4100">
        <v>1765.4</v>
      </c>
      <c r="H4100" t="str">
        <f>VLOOKUP(myynnit[[#This Row],[TuoteID]],ohjaus!$A$4:$B$20,2,FALSE)</f>
        <v>Pianotuoli</v>
      </c>
    </row>
    <row r="4101" spans="1:8" x14ac:dyDescent="0.35">
      <c r="A4101" t="s">
        <v>40</v>
      </c>
      <c r="B4101">
        <v>2017</v>
      </c>
      <c r="C4101">
        <v>1</v>
      </c>
      <c r="D4101">
        <v>13527</v>
      </c>
      <c r="E4101">
        <v>357</v>
      </c>
      <c r="F4101">
        <v>54166.04</v>
      </c>
      <c r="G4101">
        <v>10991.95</v>
      </c>
      <c r="H4101" t="str">
        <f>VLOOKUP(myynnit[[#This Row],[TuoteID]],ohjaus!$A$4:$B$20,2,FALSE)</f>
        <v>Pinnatuoli</v>
      </c>
    </row>
    <row r="4102" spans="1:8" x14ac:dyDescent="0.35">
      <c r="A4102" t="s">
        <v>40</v>
      </c>
      <c r="B4102">
        <v>2017</v>
      </c>
      <c r="C4102">
        <v>1</v>
      </c>
      <c r="D4102">
        <v>13618</v>
      </c>
      <c r="E4102">
        <v>8</v>
      </c>
      <c r="F4102">
        <v>2733.2</v>
      </c>
      <c r="G4102">
        <v>1248.55</v>
      </c>
      <c r="H4102" t="str">
        <f>VLOOKUP(myynnit[[#This Row],[TuoteID]],ohjaus!$A$4:$B$20,2,FALSE)</f>
        <v>Pianotuoli</v>
      </c>
    </row>
    <row r="4103" spans="1:8" x14ac:dyDescent="0.35">
      <c r="A4103" t="s">
        <v>40</v>
      </c>
      <c r="B4103">
        <v>2017</v>
      </c>
      <c r="C4103">
        <v>1</v>
      </c>
      <c r="D4103">
        <v>16024</v>
      </c>
      <c r="E4103">
        <v>133</v>
      </c>
      <c r="F4103">
        <v>52494.6</v>
      </c>
      <c r="G4103">
        <v>14004.97</v>
      </c>
      <c r="H4103" t="str">
        <f>VLOOKUP(myynnit[[#This Row],[TuoteID]],ohjaus!$A$4:$B$20,2,FALSE)</f>
        <v>Työtuoli</v>
      </c>
    </row>
    <row r="4104" spans="1:8" x14ac:dyDescent="0.35">
      <c r="A4104" t="s">
        <v>40</v>
      </c>
      <c r="B4104">
        <v>2017</v>
      </c>
      <c r="C4104">
        <v>1</v>
      </c>
      <c r="D4104">
        <v>16650</v>
      </c>
      <c r="E4104">
        <v>19</v>
      </c>
      <c r="F4104">
        <v>3554.64</v>
      </c>
      <c r="G4104">
        <v>1868.42</v>
      </c>
      <c r="H4104" t="str">
        <f>VLOOKUP(myynnit[[#This Row],[TuoteID]],ohjaus!$A$4:$B$20,2,FALSE)</f>
        <v>Rahi</v>
      </c>
    </row>
    <row r="4105" spans="1:8" x14ac:dyDescent="0.35">
      <c r="A4105" t="s">
        <v>40</v>
      </c>
      <c r="B4105">
        <v>2017</v>
      </c>
      <c r="C4105">
        <v>1</v>
      </c>
      <c r="D4105">
        <v>17892</v>
      </c>
      <c r="E4105">
        <v>59</v>
      </c>
      <c r="F4105">
        <v>7873.87</v>
      </c>
      <c r="G4105">
        <v>2168.4899999999998</v>
      </c>
      <c r="H4105" t="str">
        <f>VLOOKUP(myynnit[[#This Row],[TuoteID]],ohjaus!$A$4:$B$20,2,FALSE)</f>
        <v>Lepotuoli</v>
      </c>
    </row>
    <row r="4106" spans="1:8" x14ac:dyDescent="0.35">
      <c r="A4106" t="s">
        <v>40</v>
      </c>
      <c r="B4106">
        <v>2017</v>
      </c>
      <c r="C4106">
        <v>1</v>
      </c>
      <c r="D4106">
        <v>18342</v>
      </c>
      <c r="E4106">
        <v>22</v>
      </c>
      <c r="F4106">
        <v>16893.04</v>
      </c>
      <c r="G4106">
        <v>5668.49</v>
      </c>
      <c r="H4106" t="str">
        <f>VLOOKUP(myynnit[[#This Row],[TuoteID]],ohjaus!$A$4:$B$20,2,FALSE)</f>
        <v>Työtuoli</v>
      </c>
    </row>
    <row r="4107" spans="1:8" x14ac:dyDescent="0.35">
      <c r="A4107" t="s">
        <v>40</v>
      </c>
      <c r="B4107">
        <v>2017</v>
      </c>
      <c r="C4107">
        <v>1</v>
      </c>
      <c r="D4107">
        <v>20177</v>
      </c>
      <c r="E4107">
        <v>22</v>
      </c>
      <c r="F4107">
        <v>1965.49</v>
      </c>
      <c r="G4107">
        <v>678.87</v>
      </c>
      <c r="H4107" t="str">
        <f>VLOOKUP(myynnit[[#This Row],[TuoteID]],ohjaus!$A$4:$B$20,2,FALSE)</f>
        <v>Säkkituoli</v>
      </c>
    </row>
    <row r="4108" spans="1:8" x14ac:dyDescent="0.35">
      <c r="A4108" t="s">
        <v>40</v>
      </c>
      <c r="B4108">
        <v>2017</v>
      </c>
      <c r="C4108">
        <v>1</v>
      </c>
      <c r="D4108">
        <v>21179</v>
      </c>
      <c r="E4108">
        <v>47</v>
      </c>
      <c r="F4108">
        <v>5014.87</v>
      </c>
      <c r="G4108">
        <v>2736.79</v>
      </c>
      <c r="H4108" t="str">
        <f>VLOOKUP(myynnit[[#This Row],[TuoteID]],ohjaus!$A$4:$B$20,2,FALSE)</f>
        <v>Rahi</v>
      </c>
    </row>
    <row r="4109" spans="1:8" x14ac:dyDescent="0.35">
      <c r="A4109" t="s">
        <v>40</v>
      </c>
      <c r="B4109">
        <v>2017</v>
      </c>
      <c r="C4109">
        <v>1</v>
      </c>
      <c r="D4109">
        <v>21260</v>
      </c>
      <c r="E4109">
        <v>21</v>
      </c>
      <c r="F4109">
        <v>4221.25</v>
      </c>
      <c r="G4109">
        <v>1009.92</v>
      </c>
      <c r="H4109" t="str">
        <f>VLOOKUP(myynnit[[#This Row],[TuoteID]],ohjaus!$A$4:$B$20,2,FALSE)</f>
        <v>Lepotuoli</v>
      </c>
    </row>
    <row r="4110" spans="1:8" x14ac:dyDescent="0.35">
      <c r="A4110" t="s">
        <v>40</v>
      </c>
      <c r="B4110">
        <v>2017</v>
      </c>
      <c r="C4110">
        <v>1</v>
      </c>
      <c r="D4110">
        <v>22317</v>
      </c>
      <c r="E4110">
        <v>16</v>
      </c>
      <c r="F4110">
        <v>1348.99</v>
      </c>
      <c r="G4110">
        <v>591.54</v>
      </c>
      <c r="H4110" t="str">
        <f>VLOOKUP(myynnit[[#This Row],[TuoteID]],ohjaus!$A$4:$B$20,2,FALSE)</f>
        <v>Säkkituoli</v>
      </c>
    </row>
    <row r="4111" spans="1:8" x14ac:dyDescent="0.35">
      <c r="A4111" t="s">
        <v>40</v>
      </c>
      <c r="B4111">
        <v>2017</v>
      </c>
      <c r="C4111">
        <v>1</v>
      </c>
      <c r="D4111">
        <v>22940</v>
      </c>
      <c r="E4111">
        <v>156</v>
      </c>
      <c r="F4111">
        <v>21404.73</v>
      </c>
      <c r="G4111">
        <v>5121.4799999999996</v>
      </c>
      <c r="H4111" t="str">
        <f>VLOOKUP(myynnit[[#This Row],[TuoteID]],ohjaus!$A$4:$B$20,2,FALSE)</f>
        <v>Pinnatuoli</v>
      </c>
    </row>
    <row r="4112" spans="1:8" x14ac:dyDescent="0.35">
      <c r="A4112" t="s">
        <v>40</v>
      </c>
      <c r="B4112">
        <v>2017</v>
      </c>
      <c r="C4112">
        <v>1</v>
      </c>
      <c r="D4112">
        <v>23178</v>
      </c>
      <c r="E4112">
        <v>172</v>
      </c>
      <c r="F4112">
        <v>31230.09</v>
      </c>
      <c r="G4112">
        <v>6926.81</v>
      </c>
      <c r="H4112" t="str">
        <f>VLOOKUP(myynnit[[#This Row],[TuoteID]],ohjaus!$A$4:$B$20,2,FALSE)</f>
        <v>Pinnatuoli</v>
      </c>
    </row>
    <row r="4113" spans="1:8" x14ac:dyDescent="0.35">
      <c r="A4113" t="s">
        <v>40</v>
      </c>
      <c r="B4113">
        <v>2017</v>
      </c>
      <c r="C4113">
        <v>1</v>
      </c>
      <c r="D4113">
        <v>23600</v>
      </c>
      <c r="E4113">
        <v>616</v>
      </c>
      <c r="F4113">
        <v>75818.63</v>
      </c>
      <c r="G4113">
        <v>18759.689999999999</v>
      </c>
      <c r="H4113" t="str">
        <f>VLOOKUP(myynnit[[#This Row],[TuoteID]],ohjaus!$A$4:$B$20,2,FALSE)</f>
        <v>Pinnatuoli</v>
      </c>
    </row>
    <row r="4114" spans="1:8" x14ac:dyDescent="0.35">
      <c r="A4114" t="s">
        <v>40</v>
      </c>
      <c r="B4114">
        <v>2017</v>
      </c>
      <c r="C4114">
        <v>1</v>
      </c>
      <c r="D4114">
        <v>23756</v>
      </c>
      <c r="E4114">
        <v>67</v>
      </c>
      <c r="F4114">
        <v>10092.84</v>
      </c>
      <c r="G4114">
        <v>4990.58</v>
      </c>
      <c r="H4114" t="str">
        <f>VLOOKUP(myynnit[[#This Row],[TuoteID]],ohjaus!$A$4:$B$20,2,FALSE)</f>
        <v>Pianotuoli</v>
      </c>
    </row>
    <row r="4115" spans="1:8" x14ac:dyDescent="0.35">
      <c r="A4115" t="s">
        <v>40</v>
      </c>
      <c r="B4115">
        <v>2017</v>
      </c>
      <c r="C4115">
        <v>1</v>
      </c>
      <c r="D4115">
        <v>24326</v>
      </c>
      <c r="E4115">
        <v>24</v>
      </c>
      <c r="F4115">
        <v>3212.6</v>
      </c>
      <c r="G4115">
        <v>832.83</v>
      </c>
      <c r="H4115" t="str">
        <f>VLOOKUP(myynnit[[#This Row],[TuoteID]],ohjaus!$A$4:$B$20,2,FALSE)</f>
        <v>Lepotuoli</v>
      </c>
    </row>
    <row r="4116" spans="1:8" x14ac:dyDescent="0.35">
      <c r="A4116" t="s">
        <v>39</v>
      </c>
      <c r="B4116">
        <v>2017</v>
      </c>
      <c r="C4116">
        <v>1</v>
      </c>
      <c r="D4116">
        <v>12184</v>
      </c>
      <c r="E4116">
        <v>105</v>
      </c>
      <c r="F4116">
        <v>12809.56</v>
      </c>
      <c r="G4116">
        <v>7588.08</v>
      </c>
      <c r="H4116" t="str">
        <f>VLOOKUP(myynnit[[#This Row],[TuoteID]],ohjaus!$A$4:$B$20,2,FALSE)</f>
        <v>Rahi</v>
      </c>
    </row>
    <row r="4117" spans="1:8" x14ac:dyDescent="0.35">
      <c r="A4117" t="s">
        <v>39</v>
      </c>
      <c r="B4117">
        <v>2017</v>
      </c>
      <c r="C4117">
        <v>1</v>
      </c>
      <c r="D4117">
        <v>12622</v>
      </c>
      <c r="E4117">
        <v>34</v>
      </c>
      <c r="F4117">
        <v>11071.74</v>
      </c>
      <c r="G4117">
        <v>6806.19</v>
      </c>
      <c r="H4117" t="str">
        <f>VLOOKUP(myynnit[[#This Row],[TuoteID]],ohjaus!$A$4:$B$20,2,FALSE)</f>
        <v>Pianotuoli</v>
      </c>
    </row>
    <row r="4118" spans="1:8" x14ac:dyDescent="0.35">
      <c r="A4118" t="s">
        <v>39</v>
      </c>
      <c r="B4118">
        <v>2017</v>
      </c>
      <c r="C4118">
        <v>1</v>
      </c>
      <c r="D4118">
        <v>13527</v>
      </c>
      <c r="E4118">
        <v>362</v>
      </c>
      <c r="F4118">
        <v>58462.16</v>
      </c>
      <c r="G4118">
        <v>16004.65</v>
      </c>
      <c r="H4118" t="str">
        <f>VLOOKUP(myynnit[[#This Row],[TuoteID]],ohjaus!$A$4:$B$20,2,FALSE)</f>
        <v>Pinnatuoli</v>
      </c>
    </row>
    <row r="4119" spans="1:8" x14ac:dyDescent="0.35">
      <c r="A4119" t="s">
        <v>39</v>
      </c>
      <c r="B4119">
        <v>2017</v>
      </c>
      <c r="C4119">
        <v>1</v>
      </c>
      <c r="D4119">
        <v>13618</v>
      </c>
      <c r="E4119">
        <v>28</v>
      </c>
      <c r="F4119">
        <v>11245.16</v>
      </c>
      <c r="G4119">
        <v>6255.64</v>
      </c>
      <c r="H4119" t="str">
        <f>VLOOKUP(myynnit[[#This Row],[TuoteID]],ohjaus!$A$4:$B$20,2,FALSE)</f>
        <v>Pianotuoli</v>
      </c>
    </row>
    <row r="4120" spans="1:8" x14ac:dyDescent="0.35">
      <c r="A4120" t="s">
        <v>39</v>
      </c>
      <c r="B4120">
        <v>2017</v>
      </c>
      <c r="C4120">
        <v>1</v>
      </c>
      <c r="D4120">
        <v>16024</v>
      </c>
      <c r="E4120">
        <v>264</v>
      </c>
      <c r="F4120">
        <v>110601.47</v>
      </c>
      <c r="G4120">
        <v>37187.75</v>
      </c>
      <c r="H4120" t="str">
        <f>VLOOKUP(myynnit[[#This Row],[TuoteID]],ohjaus!$A$4:$B$20,2,FALSE)</f>
        <v>Työtuoli</v>
      </c>
    </row>
    <row r="4121" spans="1:8" x14ac:dyDescent="0.35">
      <c r="A4121" t="s">
        <v>39</v>
      </c>
      <c r="B4121">
        <v>2017</v>
      </c>
      <c r="C4121">
        <v>1</v>
      </c>
      <c r="D4121">
        <v>16650</v>
      </c>
      <c r="E4121">
        <v>39</v>
      </c>
      <c r="F4121">
        <v>6698.33</v>
      </c>
      <c r="G4121">
        <v>4714.04</v>
      </c>
      <c r="H4121" t="str">
        <f>VLOOKUP(myynnit[[#This Row],[TuoteID]],ohjaus!$A$4:$B$20,2,FALSE)</f>
        <v>Rahi</v>
      </c>
    </row>
    <row r="4122" spans="1:8" x14ac:dyDescent="0.35">
      <c r="A4122" t="s">
        <v>39</v>
      </c>
      <c r="B4122">
        <v>2017</v>
      </c>
      <c r="C4122">
        <v>1</v>
      </c>
      <c r="D4122">
        <v>17892</v>
      </c>
      <c r="E4122">
        <v>89</v>
      </c>
      <c r="F4122">
        <v>11633.02</v>
      </c>
      <c r="G4122">
        <v>3745.9</v>
      </c>
      <c r="H4122" t="str">
        <f>VLOOKUP(myynnit[[#This Row],[TuoteID]],ohjaus!$A$4:$B$20,2,FALSE)</f>
        <v>Lepotuoli</v>
      </c>
    </row>
    <row r="4123" spans="1:8" x14ac:dyDescent="0.35">
      <c r="A4123" t="s">
        <v>39</v>
      </c>
      <c r="B4123">
        <v>2017</v>
      </c>
      <c r="C4123">
        <v>1</v>
      </c>
      <c r="D4123">
        <v>18342</v>
      </c>
      <c r="E4123">
        <v>92</v>
      </c>
      <c r="F4123">
        <v>71747.399999999994</v>
      </c>
      <c r="G4123">
        <v>23926.83</v>
      </c>
      <c r="H4123" t="str">
        <f>VLOOKUP(myynnit[[#This Row],[TuoteID]],ohjaus!$A$4:$B$20,2,FALSE)</f>
        <v>Työtuoli</v>
      </c>
    </row>
    <row r="4124" spans="1:8" x14ac:dyDescent="0.35">
      <c r="A4124" t="s">
        <v>39</v>
      </c>
      <c r="B4124">
        <v>2017</v>
      </c>
      <c r="C4124">
        <v>1</v>
      </c>
      <c r="D4124">
        <v>20177</v>
      </c>
      <c r="E4124">
        <v>50</v>
      </c>
      <c r="F4124">
        <v>5120.18</v>
      </c>
      <c r="G4124">
        <v>2426.46</v>
      </c>
      <c r="H4124" t="str">
        <f>VLOOKUP(myynnit[[#This Row],[TuoteID]],ohjaus!$A$4:$B$20,2,FALSE)</f>
        <v>Säkkituoli</v>
      </c>
    </row>
    <row r="4125" spans="1:8" x14ac:dyDescent="0.35">
      <c r="A4125" t="s">
        <v>39</v>
      </c>
      <c r="B4125">
        <v>2017</v>
      </c>
      <c r="C4125">
        <v>1</v>
      </c>
      <c r="D4125">
        <v>21179</v>
      </c>
      <c r="E4125">
        <v>69</v>
      </c>
      <c r="F4125">
        <v>7569.68</v>
      </c>
      <c r="G4125">
        <v>4412.34</v>
      </c>
      <c r="H4125" t="str">
        <f>VLOOKUP(myynnit[[#This Row],[TuoteID]],ohjaus!$A$4:$B$20,2,FALSE)</f>
        <v>Rahi</v>
      </c>
    </row>
    <row r="4126" spans="1:8" x14ac:dyDescent="0.35">
      <c r="A4126" t="s">
        <v>39</v>
      </c>
      <c r="B4126">
        <v>2017</v>
      </c>
      <c r="C4126">
        <v>1</v>
      </c>
      <c r="D4126">
        <v>21260</v>
      </c>
      <c r="E4126">
        <v>25</v>
      </c>
      <c r="F4126">
        <v>5257.99</v>
      </c>
      <c r="G4126">
        <v>1400.11</v>
      </c>
      <c r="H4126" t="str">
        <f>VLOOKUP(myynnit[[#This Row],[TuoteID]],ohjaus!$A$4:$B$20,2,FALSE)</f>
        <v>Lepotuoli</v>
      </c>
    </row>
    <row r="4127" spans="1:8" x14ac:dyDescent="0.35">
      <c r="A4127" t="s">
        <v>39</v>
      </c>
      <c r="B4127">
        <v>2017</v>
      </c>
      <c r="C4127">
        <v>1</v>
      </c>
      <c r="D4127">
        <v>22317</v>
      </c>
      <c r="E4127">
        <v>42</v>
      </c>
      <c r="F4127">
        <v>3926.04</v>
      </c>
      <c r="G4127">
        <v>1847.62</v>
      </c>
      <c r="H4127" t="str">
        <f>VLOOKUP(myynnit[[#This Row],[TuoteID]],ohjaus!$A$4:$B$20,2,FALSE)</f>
        <v>Säkkituoli</v>
      </c>
    </row>
    <row r="4128" spans="1:8" x14ac:dyDescent="0.35">
      <c r="A4128" t="s">
        <v>39</v>
      </c>
      <c r="B4128">
        <v>2017</v>
      </c>
      <c r="C4128">
        <v>1</v>
      </c>
      <c r="D4128">
        <v>22940</v>
      </c>
      <c r="E4128">
        <v>430</v>
      </c>
      <c r="F4128">
        <v>54777.89</v>
      </c>
      <c r="G4128">
        <v>15740.43</v>
      </c>
      <c r="H4128" t="str">
        <f>VLOOKUP(myynnit[[#This Row],[TuoteID]],ohjaus!$A$4:$B$20,2,FALSE)</f>
        <v>Pinnatuoli</v>
      </c>
    </row>
    <row r="4129" spans="1:8" x14ac:dyDescent="0.35">
      <c r="A4129" t="s">
        <v>39</v>
      </c>
      <c r="B4129">
        <v>2017</v>
      </c>
      <c r="C4129">
        <v>1</v>
      </c>
      <c r="D4129">
        <v>23178</v>
      </c>
      <c r="E4129">
        <v>167</v>
      </c>
      <c r="F4129">
        <v>30030.74</v>
      </c>
      <c r="G4129">
        <v>6367.8</v>
      </c>
      <c r="H4129" t="str">
        <f>VLOOKUP(myynnit[[#This Row],[TuoteID]],ohjaus!$A$4:$B$20,2,FALSE)</f>
        <v>Pinnatuoli</v>
      </c>
    </row>
    <row r="4130" spans="1:8" x14ac:dyDescent="0.35">
      <c r="A4130" t="s">
        <v>39</v>
      </c>
      <c r="B4130">
        <v>2017</v>
      </c>
      <c r="C4130">
        <v>1</v>
      </c>
      <c r="D4130">
        <v>23600</v>
      </c>
      <c r="E4130">
        <v>1012</v>
      </c>
      <c r="F4130">
        <v>101102.05</v>
      </c>
      <c r="G4130">
        <v>25900</v>
      </c>
      <c r="H4130" t="str">
        <f>VLOOKUP(myynnit[[#This Row],[TuoteID]],ohjaus!$A$4:$B$20,2,FALSE)</f>
        <v>Pinnatuoli</v>
      </c>
    </row>
    <row r="4131" spans="1:8" x14ac:dyDescent="0.35">
      <c r="A4131" t="s">
        <v>39</v>
      </c>
      <c r="B4131">
        <v>2017</v>
      </c>
      <c r="C4131">
        <v>1</v>
      </c>
      <c r="D4131">
        <v>23756</v>
      </c>
      <c r="E4131">
        <v>91</v>
      </c>
      <c r="F4131">
        <v>14345.26</v>
      </c>
      <c r="G4131">
        <v>7557.18</v>
      </c>
      <c r="H4131" t="str">
        <f>VLOOKUP(myynnit[[#This Row],[TuoteID]],ohjaus!$A$4:$B$20,2,FALSE)</f>
        <v>Pianotuoli</v>
      </c>
    </row>
    <row r="4132" spans="1:8" x14ac:dyDescent="0.35">
      <c r="A4132" t="s">
        <v>39</v>
      </c>
      <c r="B4132">
        <v>2017</v>
      </c>
      <c r="C4132">
        <v>1</v>
      </c>
      <c r="D4132">
        <v>24326</v>
      </c>
      <c r="E4132">
        <v>57</v>
      </c>
      <c r="F4132">
        <v>7669.57</v>
      </c>
      <c r="G4132">
        <v>2363.19</v>
      </c>
      <c r="H4132" t="str">
        <f>VLOOKUP(myynnit[[#This Row],[TuoteID]],ohjaus!$A$4:$B$20,2,FALSE)</f>
        <v>Lepotuoli</v>
      </c>
    </row>
    <row r="4133" spans="1:8" x14ac:dyDescent="0.35">
      <c r="A4133" t="s">
        <v>38</v>
      </c>
      <c r="B4133">
        <v>2017</v>
      </c>
      <c r="C4133">
        <v>1</v>
      </c>
      <c r="D4133">
        <v>12184</v>
      </c>
      <c r="E4133">
        <v>40</v>
      </c>
      <c r="F4133">
        <v>5808.52</v>
      </c>
      <c r="G4133">
        <v>3558.44</v>
      </c>
      <c r="H4133" t="str">
        <f>VLOOKUP(myynnit[[#This Row],[TuoteID]],ohjaus!$A$4:$B$20,2,FALSE)</f>
        <v>Rahi</v>
      </c>
    </row>
    <row r="4134" spans="1:8" x14ac:dyDescent="0.35">
      <c r="A4134" t="s">
        <v>38</v>
      </c>
      <c r="B4134">
        <v>2017</v>
      </c>
      <c r="C4134">
        <v>1</v>
      </c>
      <c r="D4134">
        <v>12622</v>
      </c>
      <c r="E4134">
        <v>28</v>
      </c>
      <c r="F4134">
        <v>6772.66</v>
      </c>
      <c r="G4134">
        <v>2962.7</v>
      </c>
      <c r="H4134" t="str">
        <f>VLOOKUP(myynnit[[#This Row],[TuoteID]],ohjaus!$A$4:$B$20,2,FALSE)</f>
        <v>Pianotuoli</v>
      </c>
    </row>
    <row r="4135" spans="1:8" x14ac:dyDescent="0.35">
      <c r="A4135" t="s">
        <v>38</v>
      </c>
      <c r="B4135">
        <v>2017</v>
      </c>
      <c r="C4135">
        <v>1</v>
      </c>
      <c r="D4135">
        <v>13527</v>
      </c>
      <c r="E4135">
        <v>492</v>
      </c>
      <c r="F4135">
        <v>73982.34</v>
      </c>
      <c r="G4135">
        <v>16857.080000000002</v>
      </c>
      <c r="H4135" t="str">
        <f>VLOOKUP(myynnit[[#This Row],[TuoteID]],ohjaus!$A$4:$B$20,2,FALSE)</f>
        <v>Pinnatuoli</v>
      </c>
    </row>
    <row r="4136" spans="1:8" x14ac:dyDescent="0.35">
      <c r="A4136" t="s">
        <v>38</v>
      </c>
      <c r="B4136">
        <v>2017</v>
      </c>
      <c r="C4136">
        <v>1</v>
      </c>
      <c r="D4136">
        <v>13618</v>
      </c>
      <c r="E4136">
        <v>14</v>
      </c>
      <c r="F4136">
        <v>6346.61</v>
      </c>
      <c r="G4136">
        <v>3252.13</v>
      </c>
      <c r="H4136" t="str">
        <f>VLOOKUP(myynnit[[#This Row],[TuoteID]],ohjaus!$A$4:$B$20,2,FALSE)</f>
        <v>Pianotuoli</v>
      </c>
    </row>
    <row r="4137" spans="1:8" x14ac:dyDescent="0.35">
      <c r="A4137" t="s">
        <v>38</v>
      </c>
      <c r="B4137">
        <v>2017</v>
      </c>
      <c r="C4137">
        <v>1</v>
      </c>
      <c r="D4137">
        <v>16024</v>
      </c>
      <c r="E4137">
        <v>188</v>
      </c>
      <c r="F4137">
        <v>82644.429999999993</v>
      </c>
      <c r="G4137">
        <v>19697.02</v>
      </c>
      <c r="H4137" t="str">
        <f>VLOOKUP(myynnit[[#This Row],[TuoteID]],ohjaus!$A$4:$B$20,2,FALSE)</f>
        <v>Työtuoli</v>
      </c>
    </row>
    <row r="4138" spans="1:8" x14ac:dyDescent="0.35">
      <c r="A4138" t="s">
        <v>38</v>
      </c>
      <c r="B4138">
        <v>2017</v>
      </c>
      <c r="C4138">
        <v>1</v>
      </c>
      <c r="D4138">
        <v>16650</v>
      </c>
      <c r="E4138">
        <v>25</v>
      </c>
      <c r="F4138">
        <v>3869.09</v>
      </c>
      <c r="G4138">
        <v>2130.39</v>
      </c>
      <c r="H4138" t="str">
        <f>VLOOKUP(myynnit[[#This Row],[TuoteID]],ohjaus!$A$4:$B$20,2,FALSE)</f>
        <v>Rahi</v>
      </c>
    </row>
    <row r="4139" spans="1:8" x14ac:dyDescent="0.35">
      <c r="A4139" t="s">
        <v>38</v>
      </c>
      <c r="B4139">
        <v>2017</v>
      </c>
      <c r="C4139">
        <v>1</v>
      </c>
      <c r="D4139">
        <v>17892</v>
      </c>
      <c r="E4139">
        <v>102</v>
      </c>
      <c r="F4139">
        <v>12694.35</v>
      </c>
      <c r="G4139">
        <v>3076.05</v>
      </c>
      <c r="H4139" t="str">
        <f>VLOOKUP(myynnit[[#This Row],[TuoteID]],ohjaus!$A$4:$B$20,2,FALSE)</f>
        <v>Lepotuoli</v>
      </c>
    </row>
    <row r="4140" spans="1:8" x14ac:dyDescent="0.35">
      <c r="A4140" t="s">
        <v>38</v>
      </c>
      <c r="B4140">
        <v>2017</v>
      </c>
      <c r="C4140">
        <v>1</v>
      </c>
      <c r="D4140">
        <v>18342</v>
      </c>
      <c r="E4140">
        <v>157</v>
      </c>
      <c r="F4140">
        <v>126141.16</v>
      </c>
      <c r="G4140">
        <v>31902.53</v>
      </c>
      <c r="H4140" t="str">
        <f>VLOOKUP(myynnit[[#This Row],[TuoteID]],ohjaus!$A$4:$B$20,2,FALSE)</f>
        <v>Työtuoli</v>
      </c>
    </row>
    <row r="4141" spans="1:8" x14ac:dyDescent="0.35">
      <c r="A4141" t="s">
        <v>38</v>
      </c>
      <c r="B4141">
        <v>2017</v>
      </c>
      <c r="C4141">
        <v>1</v>
      </c>
      <c r="D4141">
        <v>20177</v>
      </c>
      <c r="E4141">
        <v>77</v>
      </c>
      <c r="F4141">
        <v>8420</v>
      </c>
      <c r="G4141">
        <v>3251.63</v>
      </c>
      <c r="H4141" t="str">
        <f>VLOOKUP(myynnit[[#This Row],[TuoteID]],ohjaus!$A$4:$B$20,2,FALSE)</f>
        <v>Säkkituoli</v>
      </c>
    </row>
    <row r="4142" spans="1:8" x14ac:dyDescent="0.35">
      <c r="A4142" t="s">
        <v>38</v>
      </c>
      <c r="B4142">
        <v>2017</v>
      </c>
      <c r="C4142">
        <v>1</v>
      </c>
      <c r="D4142">
        <v>21179</v>
      </c>
      <c r="E4142">
        <v>53</v>
      </c>
      <c r="F4142">
        <v>7967.43</v>
      </c>
      <c r="G4142">
        <v>4588.57</v>
      </c>
      <c r="H4142" t="str">
        <f>VLOOKUP(myynnit[[#This Row],[TuoteID]],ohjaus!$A$4:$B$20,2,FALSE)</f>
        <v>Rahi</v>
      </c>
    </row>
    <row r="4143" spans="1:8" x14ac:dyDescent="0.35">
      <c r="A4143" t="s">
        <v>38</v>
      </c>
      <c r="B4143">
        <v>2017</v>
      </c>
      <c r="C4143">
        <v>1</v>
      </c>
      <c r="D4143">
        <v>21260</v>
      </c>
      <c r="E4143">
        <v>37</v>
      </c>
      <c r="F4143">
        <v>6756.36</v>
      </c>
      <c r="G4143">
        <v>1673.77</v>
      </c>
      <c r="H4143" t="str">
        <f>VLOOKUP(myynnit[[#This Row],[TuoteID]],ohjaus!$A$4:$B$20,2,FALSE)</f>
        <v>Lepotuoli</v>
      </c>
    </row>
    <row r="4144" spans="1:8" x14ac:dyDescent="0.35">
      <c r="A4144" t="s">
        <v>38</v>
      </c>
      <c r="B4144">
        <v>2017</v>
      </c>
      <c r="C4144">
        <v>1</v>
      </c>
      <c r="D4144">
        <v>22317</v>
      </c>
      <c r="E4144">
        <v>42</v>
      </c>
      <c r="F4144">
        <v>3503.55</v>
      </c>
      <c r="G4144">
        <v>1252.32</v>
      </c>
      <c r="H4144" t="str">
        <f>VLOOKUP(myynnit[[#This Row],[TuoteID]],ohjaus!$A$4:$B$20,2,FALSE)</f>
        <v>Säkkituoli</v>
      </c>
    </row>
    <row r="4145" spans="1:8" x14ac:dyDescent="0.35">
      <c r="A4145" t="s">
        <v>38</v>
      </c>
      <c r="B4145">
        <v>2017</v>
      </c>
      <c r="C4145">
        <v>1</v>
      </c>
      <c r="D4145">
        <v>22940</v>
      </c>
      <c r="E4145">
        <v>698</v>
      </c>
      <c r="F4145">
        <v>93390.35</v>
      </c>
      <c r="G4145">
        <v>20802.349999999999</v>
      </c>
      <c r="H4145" t="str">
        <f>VLOOKUP(myynnit[[#This Row],[TuoteID]],ohjaus!$A$4:$B$20,2,FALSE)</f>
        <v>Pinnatuoli</v>
      </c>
    </row>
    <row r="4146" spans="1:8" x14ac:dyDescent="0.35">
      <c r="A4146" t="s">
        <v>38</v>
      </c>
      <c r="B4146">
        <v>2017</v>
      </c>
      <c r="C4146">
        <v>1</v>
      </c>
      <c r="D4146">
        <v>23178</v>
      </c>
      <c r="E4146">
        <v>191</v>
      </c>
      <c r="F4146">
        <v>35775.519999999997</v>
      </c>
      <c r="G4146">
        <v>6840.22</v>
      </c>
      <c r="H4146" t="str">
        <f>VLOOKUP(myynnit[[#This Row],[TuoteID]],ohjaus!$A$4:$B$20,2,FALSE)</f>
        <v>Pinnatuoli</v>
      </c>
    </row>
    <row r="4147" spans="1:8" x14ac:dyDescent="0.35">
      <c r="A4147" t="s">
        <v>38</v>
      </c>
      <c r="B4147">
        <v>2017</v>
      </c>
      <c r="C4147">
        <v>1</v>
      </c>
      <c r="D4147">
        <v>23600</v>
      </c>
      <c r="E4147">
        <v>890</v>
      </c>
      <c r="F4147">
        <v>91688.95</v>
      </c>
      <c r="G4147">
        <v>23181.119999999999</v>
      </c>
      <c r="H4147" t="str">
        <f>VLOOKUP(myynnit[[#This Row],[TuoteID]],ohjaus!$A$4:$B$20,2,FALSE)</f>
        <v>Pinnatuoli</v>
      </c>
    </row>
    <row r="4148" spans="1:8" x14ac:dyDescent="0.35">
      <c r="A4148" t="s">
        <v>38</v>
      </c>
      <c r="B4148">
        <v>2017</v>
      </c>
      <c r="C4148">
        <v>1</v>
      </c>
      <c r="D4148">
        <v>23756</v>
      </c>
      <c r="E4148">
        <v>51</v>
      </c>
      <c r="F4148">
        <v>9566</v>
      </c>
      <c r="G4148">
        <v>3994.69</v>
      </c>
      <c r="H4148" t="str">
        <f>VLOOKUP(myynnit[[#This Row],[TuoteID]],ohjaus!$A$4:$B$20,2,FALSE)</f>
        <v>Pianotuoli</v>
      </c>
    </row>
    <row r="4149" spans="1:8" x14ac:dyDescent="0.35">
      <c r="A4149" t="s">
        <v>38</v>
      </c>
      <c r="B4149">
        <v>2017</v>
      </c>
      <c r="C4149">
        <v>1</v>
      </c>
      <c r="D4149">
        <v>24326</v>
      </c>
      <c r="E4149">
        <v>60</v>
      </c>
      <c r="F4149">
        <v>7703.08</v>
      </c>
      <c r="G4149">
        <v>2116.59</v>
      </c>
      <c r="H4149" t="str">
        <f>VLOOKUP(myynnit[[#This Row],[TuoteID]],ohjaus!$A$4:$B$20,2,FALSE)</f>
        <v>Lepotuoli</v>
      </c>
    </row>
    <row r="4150" spans="1:8" x14ac:dyDescent="0.35">
      <c r="A4150" t="s">
        <v>37</v>
      </c>
      <c r="B4150">
        <v>2017</v>
      </c>
      <c r="C4150">
        <v>2</v>
      </c>
      <c r="D4150">
        <v>12184</v>
      </c>
      <c r="E4150">
        <v>101</v>
      </c>
      <c r="F4150">
        <v>10013.280000000001</v>
      </c>
      <c r="G4150">
        <v>5011.38</v>
      </c>
      <c r="H4150" t="str">
        <f>VLOOKUP(myynnit[[#This Row],[TuoteID]],ohjaus!$A$4:$B$20,2,FALSE)</f>
        <v>Rahi</v>
      </c>
    </row>
    <row r="4151" spans="1:8" x14ac:dyDescent="0.35">
      <c r="A4151" t="s">
        <v>37</v>
      </c>
      <c r="B4151">
        <v>2017</v>
      </c>
      <c r="C4151">
        <v>2</v>
      </c>
      <c r="D4151">
        <v>12622</v>
      </c>
      <c r="E4151">
        <v>66</v>
      </c>
      <c r="F4151">
        <v>19734.05</v>
      </c>
      <c r="G4151">
        <v>8642.64</v>
      </c>
      <c r="H4151" t="str">
        <f>VLOOKUP(myynnit[[#This Row],[TuoteID]],ohjaus!$A$4:$B$20,2,FALSE)</f>
        <v>Pianotuoli</v>
      </c>
    </row>
    <row r="4152" spans="1:8" x14ac:dyDescent="0.35">
      <c r="A4152" t="s">
        <v>37</v>
      </c>
      <c r="B4152">
        <v>2017</v>
      </c>
      <c r="C4152">
        <v>2</v>
      </c>
      <c r="D4152">
        <v>13527</v>
      </c>
      <c r="E4152">
        <v>291</v>
      </c>
      <c r="F4152">
        <v>49229.11</v>
      </c>
      <c r="G4152">
        <v>10046.219999999999</v>
      </c>
      <c r="H4152" t="str">
        <f>VLOOKUP(myynnit[[#This Row],[TuoteID]],ohjaus!$A$4:$B$20,2,FALSE)</f>
        <v>Pinnatuoli</v>
      </c>
    </row>
    <row r="4153" spans="1:8" x14ac:dyDescent="0.35">
      <c r="A4153" t="s">
        <v>37</v>
      </c>
      <c r="B4153">
        <v>2017</v>
      </c>
      <c r="C4153">
        <v>2</v>
      </c>
      <c r="D4153">
        <v>13618</v>
      </c>
      <c r="E4153">
        <v>15</v>
      </c>
      <c r="F4153">
        <v>5891.46</v>
      </c>
      <c r="G4153">
        <v>2616.83</v>
      </c>
      <c r="H4153" t="str">
        <f>VLOOKUP(myynnit[[#This Row],[TuoteID]],ohjaus!$A$4:$B$20,2,FALSE)</f>
        <v>Pianotuoli</v>
      </c>
    </row>
    <row r="4154" spans="1:8" x14ac:dyDescent="0.35">
      <c r="A4154" t="s">
        <v>37</v>
      </c>
      <c r="B4154">
        <v>2017</v>
      </c>
      <c r="C4154">
        <v>2</v>
      </c>
      <c r="D4154">
        <v>16024</v>
      </c>
      <c r="E4154">
        <v>253</v>
      </c>
      <c r="F4154">
        <v>103645.58</v>
      </c>
      <c r="G4154">
        <v>28755.07</v>
      </c>
      <c r="H4154" t="str">
        <f>VLOOKUP(myynnit[[#This Row],[TuoteID]],ohjaus!$A$4:$B$20,2,FALSE)</f>
        <v>Työtuoli</v>
      </c>
    </row>
    <row r="4155" spans="1:8" x14ac:dyDescent="0.35">
      <c r="A4155" t="s">
        <v>37</v>
      </c>
      <c r="B4155">
        <v>2017</v>
      </c>
      <c r="C4155">
        <v>2</v>
      </c>
      <c r="D4155">
        <v>16650</v>
      </c>
      <c r="E4155">
        <v>72</v>
      </c>
      <c r="F4155">
        <v>10333.34</v>
      </c>
      <c r="G4155">
        <v>4411.8999999999996</v>
      </c>
      <c r="H4155" t="str">
        <f>VLOOKUP(myynnit[[#This Row],[TuoteID]],ohjaus!$A$4:$B$20,2,FALSE)</f>
        <v>Rahi</v>
      </c>
    </row>
    <row r="4156" spans="1:8" x14ac:dyDescent="0.35">
      <c r="A4156" t="s">
        <v>37</v>
      </c>
      <c r="B4156">
        <v>2017</v>
      </c>
      <c r="C4156">
        <v>2</v>
      </c>
      <c r="D4156">
        <v>17892</v>
      </c>
      <c r="E4156">
        <v>189</v>
      </c>
      <c r="F4156">
        <v>29120.2</v>
      </c>
      <c r="G4156">
        <v>7228.75</v>
      </c>
      <c r="H4156" t="str">
        <f>VLOOKUP(myynnit[[#This Row],[TuoteID]],ohjaus!$A$4:$B$20,2,FALSE)</f>
        <v>Lepotuoli</v>
      </c>
    </row>
    <row r="4157" spans="1:8" x14ac:dyDescent="0.35">
      <c r="A4157" t="s">
        <v>37</v>
      </c>
      <c r="B4157">
        <v>2017</v>
      </c>
      <c r="C4157">
        <v>2</v>
      </c>
      <c r="D4157">
        <v>18342</v>
      </c>
      <c r="E4157">
        <v>243</v>
      </c>
      <c r="F4157">
        <v>179307.81</v>
      </c>
      <c r="G4157">
        <v>52834.33</v>
      </c>
      <c r="H4157" t="str">
        <f>VLOOKUP(myynnit[[#This Row],[TuoteID]],ohjaus!$A$4:$B$20,2,FALSE)</f>
        <v>Työtuoli</v>
      </c>
    </row>
    <row r="4158" spans="1:8" x14ac:dyDescent="0.35">
      <c r="A4158" t="s">
        <v>37</v>
      </c>
      <c r="B4158">
        <v>2017</v>
      </c>
      <c r="C4158">
        <v>2</v>
      </c>
      <c r="D4158">
        <v>20177</v>
      </c>
      <c r="E4158">
        <v>73</v>
      </c>
      <c r="F4158">
        <v>8015.42</v>
      </c>
      <c r="G4158">
        <v>3162.64</v>
      </c>
      <c r="H4158" t="str">
        <f>VLOOKUP(myynnit[[#This Row],[TuoteID]],ohjaus!$A$4:$B$20,2,FALSE)</f>
        <v>Säkkituoli</v>
      </c>
    </row>
    <row r="4159" spans="1:8" x14ac:dyDescent="0.35">
      <c r="A4159" t="s">
        <v>37</v>
      </c>
      <c r="B4159">
        <v>2017</v>
      </c>
      <c r="C4159">
        <v>2</v>
      </c>
      <c r="D4159">
        <v>21179</v>
      </c>
      <c r="E4159">
        <v>53</v>
      </c>
      <c r="F4159">
        <v>6761.87</v>
      </c>
      <c r="G4159">
        <v>3440.09</v>
      </c>
      <c r="H4159" t="str">
        <f>VLOOKUP(myynnit[[#This Row],[TuoteID]],ohjaus!$A$4:$B$20,2,FALSE)</f>
        <v>Rahi</v>
      </c>
    </row>
    <row r="4160" spans="1:8" x14ac:dyDescent="0.35">
      <c r="A4160" t="s">
        <v>37</v>
      </c>
      <c r="B4160">
        <v>2017</v>
      </c>
      <c r="C4160">
        <v>2</v>
      </c>
      <c r="D4160">
        <v>21260</v>
      </c>
      <c r="E4160">
        <v>100</v>
      </c>
      <c r="F4160">
        <v>17310.080000000002</v>
      </c>
      <c r="G4160">
        <v>4563.2700000000004</v>
      </c>
      <c r="H4160" t="str">
        <f>VLOOKUP(myynnit[[#This Row],[TuoteID]],ohjaus!$A$4:$B$20,2,FALSE)</f>
        <v>Lepotuoli</v>
      </c>
    </row>
    <row r="4161" spans="1:8" x14ac:dyDescent="0.35">
      <c r="A4161" t="s">
        <v>37</v>
      </c>
      <c r="B4161">
        <v>2017</v>
      </c>
      <c r="C4161">
        <v>2</v>
      </c>
      <c r="D4161">
        <v>22317</v>
      </c>
      <c r="E4161">
        <v>71</v>
      </c>
      <c r="F4161">
        <v>6320.57</v>
      </c>
      <c r="G4161">
        <v>2316.94</v>
      </c>
      <c r="H4161" t="str">
        <f>VLOOKUP(myynnit[[#This Row],[TuoteID]],ohjaus!$A$4:$B$20,2,FALSE)</f>
        <v>Säkkituoli</v>
      </c>
    </row>
    <row r="4162" spans="1:8" x14ac:dyDescent="0.35">
      <c r="A4162" t="s">
        <v>37</v>
      </c>
      <c r="B4162">
        <v>2017</v>
      </c>
      <c r="C4162">
        <v>2</v>
      </c>
      <c r="D4162">
        <v>22940</v>
      </c>
      <c r="E4162">
        <v>518</v>
      </c>
      <c r="F4162">
        <v>63699.7</v>
      </c>
      <c r="G4162">
        <v>12160.57</v>
      </c>
      <c r="H4162" t="str">
        <f>VLOOKUP(myynnit[[#This Row],[TuoteID]],ohjaus!$A$4:$B$20,2,FALSE)</f>
        <v>Pinnatuoli</v>
      </c>
    </row>
    <row r="4163" spans="1:8" x14ac:dyDescent="0.35">
      <c r="A4163" t="s">
        <v>37</v>
      </c>
      <c r="B4163">
        <v>2017</v>
      </c>
      <c r="C4163">
        <v>2</v>
      </c>
      <c r="D4163">
        <v>23178</v>
      </c>
      <c r="E4163">
        <v>397</v>
      </c>
      <c r="F4163">
        <v>71448.800000000003</v>
      </c>
      <c r="G4163">
        <v>14534.43</v>
      </c>
      <c r="H4163" t="str">
        <f>VLOOKUP(myynnit[[#This Row],[TuoteID]],ohjaus!$A$4:$B$20,2,FALSE)</f>
        <v>Pinnatuoli</v>
      </c>
    </row>
    <row r="4164" spans="1:8" x14ac:dyDescent="0.35">
      <c r="A4164" t="s">
        <v>37</v>
      </c>
      <c r="B4164">
        <v>2017</v>
      </c>
      <c r="C4164">
        <v>2</v>
      </c>
      <c r="D4164">
        <v>23600</v>
      </c>
      <c r="E4164">
        <v>625</v>
      </c>
      <c r="F4164">
        <v>63676.98</v>
      </c>
      <c r="G4164">
        <v>17015.02</v>
      </c>
      <c r="H4164" t="str">
        <f>VLOOKUP(myynnit[[#This Row],[TuoteID]],ohjaus!$A$4:$B$20,2,FALSE)</f>
        <v>Pinnatuoli</v>
      </c>
    </row>
    <row r="4165" spans="1:8" x14ac:dyDescent="0.35">
      <c r="A4165" t="s">
        <v>37</v>
      </c>
      <c r="B4165">
        <v>2017</v>
      </c>
      <c r="C4165">
        <v>2</v>
      </c>
      <c r="D4165">
        <v>23756</v>
      </c>
      <c r="E4165">
        <v>94</v>
      </c>
      <c r="F4165">
        <v>15893.3</v>
      </c>
      <c r="G4165">
        <v>6598.36</v>
      </c>
      <c r="H4165" t="str">
        <f>VLOOKUP(myynnit[[#This Row],[TuoteID]],ohjaus!$A$4:$B$20,2,FALSE)</f>
        <v>Pianotuoli</v>
      </c>
    </row>
    <row r="4166" spans="1:8" x14ac:dyDescent="0.35">
      <c r="A4166" t="s">
        <v>37</v>
      </c>
      <c r="B4166">
        <v>2017</v>
      </c>
      <c r="C4166">
        <v>2</v>
      </c>
      <c r="D4166">
        <v>24326</v>
      </c>
      <c r="E4166">
        <v>182</v>
      </c>
      <c r="F4166">
        <v>23587.17</v>
      </c>
      <c r="G4166">
        <v>7082.78</v>
      </c>
      <c r="H4166" t="str">
        <f>VLOOKUP(myynnit[[#This Row],[TuoteID]],ohjaus!$A$4:$B$20,2,FALSE)</f>
        <v>Lepotuoli</v>
      </c>
    </row>
    <row r="4167" spans="1:8" x14ac:dyDescent="0.35">
      <c r="A4167" t="s">
        <v>40</v>
      </c>
      <c r="B4167">
        <v>2017</v>
      </c>
      <c r="C4167">
        <v>2</v>
      </c>
      <c r="D4167">
        <v>12184</v>
      </c>
      <c r="E4167">
        <v>14</v>
      </c>
      <c r="F4167">
        <v>1778.17</v>
      </c>
      <c r="G4167">
        <v>751.6</v>
      </c>
      <c r="H4167" t="str">
        <f>VLOOKUP(myynnit[[#This Row],[TuoteID]],ohjaus!$A$4:$B$20,2,FALSE)</f>
        <v>Rahi</v>
      </c>
    </row>
    <row r="4168" spans="1:8" x14ac:dyDescent="0.35">
      <c r="A4168" t="s">
        <v>40</v>
      </c>
      <c r="B4168">
        <v>2017</v>
      </c>
      <c r="C4168">
        <v>2</v>
      </c>
      <c r="D4168">
        <v>12622</v>
      </c>
      <c r="E4168">
        <v>12</v>
      </c>
      <c r="F4168">
        <v>2869.12</v>
      </c>
      <c r="G4168">
        <v>1156.5899999999999</v>
      </c>
      <c r="H4168" t="str">
        <f>VLOOKUP(myynnit[[#This Row],[TuoteID]],ohjaus!$A$4:$B$20,2,FALSE)</f>
        <v>Pianotuoli</v>
      </c>
    </row>
    <row r="4169" spans="1:8" x14ac:dyDescent="0.35">
      <c r="A4169" t="s">
        <v>40</v>
      </c>
      <c r="B4169">
        <v>2017</v>
      </c>
      <c r="C4169">
        <v>2</v>
      </c>
      <c r="D4169">
        <v>13527</v>
      </c>
      <c r="E4169">
        <v>370</v>
      </c>
      <c r="F4169">
        <v>60457.83</v>
      </c>
      <c r="G4169">
        <v>11596.01</v>
      </c>
      <c r="H4169" t="str">
        <f>VLOOKUP(myynnit[[#This Row],[TuoteID]],ohjaus!$A$4:$B$20,2,FALSE)</f>
        <v>Pinnatuoli</v>
      </c>
    </row>
    <row r="4170" spans="1:8" x14ac:dyDescent="0.35">
      <c r="A4170" t="s">
        <v>40</v>
      </c>
      <c r="B4170">
        <v>2017</v>
      </c>
      <c r="C4170">
        <v>2</v>
      </c>
      <c r="D4170">
        <v>13618</v>
      </c>
      <c r="E4170">
        <v>5</v>
      </c>
      <c r="F4170">
        <v>1609.83</v>
      </c>
      <c r="G4170">
        <v>595.54999999999995</v>
      </c>
      <c r="H4170" t="str">
        <f>VLOOKUP(myynnit[[#This Row],[TuoteID]],ohjaus!$A$4:$B$20,2,FALSE)</f>
        <v>Pianotuoli</v>
      </c>
    </row>
    <row r="4171" spans="1:8" x14ac:dyDescent="0.35">
      <c r="A4171" t="s">
        <v>40</v>
      </c>
      <c r="B4171">
        <v>2017</v>
      </c>
      <c r="C4171">
        <v>2</v>
      </c>
      <c r="D4171">
        <v>16024</v>
      </c>
      <c r="E4171">
        <v>158</v>
      </c>
      <c r="F4171">
        <v>60366.65</v>
      </c>
      <c r="G4171">
        <v>19761.439999999999</v>
      </c>
      <c r="H4171" t="str">
        <f>VLOOKUP(myynnit[[#This Row],[TuoteID]],ohjaus!$A$4:$B$20,2,FALSE)</f>
        <v>Työtuoli</v>
      </c>
    </row>
    <row r="4172" spans="1:8" x14ac:dyDescent="0.35">
      <c r="A4172" t="s">
        <v>40</v>
      </c>
      <c r="B4172">
        <v>2017</v>
      </c>
      <c r="C4172">
        <v>2</v>
      </c>
      <c r="D4172">
        <v>16650</v>
      </c>
      <c r="E4172">
        <v>32</v>
      </c>
      <c r="F4172">
        <v>4728.16</v>
      </c>
      <c r="G4172">
        <v>3250.89</v>
      </c>
      <c r="H4172" t="str">
        <f>VLOOKUP(myynnit[[#This Row],[TuoteID]],ohjaus!$A$4:$B$20,2,FALSE)</f>
        <v>Rahi</v>
      </c>
    </row>
    <row r="4173" spans="1:8" x14ac:dyDescent="0.35">
      <c r="A4173" t="s">
        <v>40</v>
      </c>
      <c r="B4173">
        <v>2017</v>
      </c>
      <c r="C4173">
        <v>2</v>
      </c>
      <c r="D4173">
        <v>17892</v>
      </c>
      <c r="E4173">
        <v>82</v>
      </c>
      <c r="F4173">
        <v>10919.09</v>
      </c>
      <c r="G4173">
        <v>2493.1999999999998</v>
      </c>
      <c r="H4173" t="str">
        <f>VLOOKUP(myynnit[[#This Row],[TuoteID]],ohjaus!$A$4:$B$20,2,FALSE)</f>
        <v>Lepotuoli</v>
      </c>
    </row>
    <row r="4174" spans="1:8" x14ac:dyDescent="0.35">
      <c r="A4174" t="s">
        <v>40</v>
      </c>
      <c r="B4174">
        <v>2017</v>
      </c>
      <c r="C4174">
        <v>2</v>
      </c>
      <c r="D4174">
        <v>18342</v>
      </c>
      <c r="E4174">
        <v>26</v>
      </c>
      <c r="F4174">
        <v>20698.52</v>
      </c>
      <c r="G4174">
        <v>5982.59</v>
      </c>
      <c r="H4174" t="str">
        <f>VLOOKUP(myynnit[[#This Row],[TuoteID]],ohjaus!$A$4:$B$20,2,FALSE)</f>
        <v>Työtuoli</v>
      </c>
    </row>
    <row r="4175" spans="1:8" x14ac:dyDescent="0.35">
      <c r="A4175" t="s">
        <v>40</v>
      </c>
      <c r="B4175">
        <v>2017</v>
      </c>
      <c r="C4175">
        <v>2</v>
      </c>
      <c r="D4175">
        <v>20177</v>
      </c>
      <c r="E4175">
        <v>33</v>
      </c>
      <c r="F4175">
        <v>3486.24</v>
      </c>
      <c r="G4175">
        <v>1487.74</v>
      </c>
      <c r="H4175" t="str">
        <f>VLOOKUP(myynnit[[#This Row],[TuoteID]],ohjaus!$A$4:$B$20,2,FALSE)</f>
        <v>Säkkituoli</v>
      </c>
    </row>
    <row r="4176" spans="1:8" x14ac:dyDescent="0.35">
      <c r="A4176" t="s">
        <v>40</v>
      </c>
      <c r="B4176">
        <v>2017</v>
      </c>
      <c r="C4176">
        <v>2</v>
      </c>
      <c r="D4176">
        <v>21179</v>
      </c>
      <c r="E4176">
        <v>21</v>
      </c>
      <c r="F4176">
        <v>2148.4</v>
      </c>
      <c r="G4176">
        <v>1312.55</v>
      </c>
      <c r="H4176" t="str">
        <f>VLOOKUP(myynnit[[#This Row],[TuoteID]],ohjaus!$A$4:$B$20,2,FALSE)</f>
        <v>Rahi</v>
      </c>
    </row>
    <row r="4177" spans="1:8" x14ac:dyDescent="0.35">
      <c r="A4177" t="s">
        <v>40</v>
      </c>
      <c r="B4177">
        <v>2017</v>
      </c>
      <c r="C4177">
        <v>2</v>
      </c>
      <c r="D4177">
        <v>21260</v>
      </c>
      <c r="E4177">
        <v>47</v>
      </c>
      <c r="F4177">
        <v>8260.91</v>
      </c>
      <c r="G4177">
        <v>2194.5700000000002</v>
      </c>
      <c r="H4177" t="str">
        <f>VLOOKUP(myynnit[[#This Row],[TuoteID]],ohjaus!$A$4:$B$20,2,FALSE)</f>
        <v>Lepotuoli</v>
      </c>
    </row>
    <row r="4178" spans="1:8" x14ac:dyDescent="0.35">
      <c r="A4178" t="s">
        <v>40</v>
      </c>
      <c r="B4178">
        <v>2017</v>
      </c>
      <c r="C4178">
        <v>2</v>
      </c>
      <c r="D4178">
        <v>22317</v>
      </c>
      <c r="E4178">
        <v>12</v>
      </c>
      <c r="F4178">
        <v>949.9</v>
      </c>
      <c r="G4178">
        <v>412.73</v>
      </c>
      <c r="H4178" t="str">
        <f>VLOOKUP(myynnit[[#This Row],[TuoteID]],ohjaus!$A$4:$B$20,2,FALSE)</f>
        <v>Säkkituoli</v>
      </c>
    </row>
    <row r="4179" spans="1:8" x14ac:dyDescent="0.35">
      <c r="A4179" t="s">
        <v>40</v>
      </c>
      <c r="B4179">
        <v>2017</v>
      </c>
      <c r="C4179">
        <v>2</v>
      </c>
      <c r="D4179">
        <v>22940</v>
      </c>
      <c r="E4179">
        <v>200</v>
      </c>
      <c r="F4179">
        <v>27616.799999999999</v>
      </c>
      <c r="G4179">
        <v>8079.8</v>
      </c>
      <c r="H4179" t="str">
        <f>VLOOKUP(myynnit[[#This Row],[TuoteID]],ohjaus!$A$4:$B$20,2,FALSE)</f>
        <v>Pinnatuoli</v>
      </c>
    </row>
    <row r="4180" spans="1:8" x14ac:dyDescent="0.35">
      <c r="A4180" t="s">
        <v>40</v>
      </c>
      <c r="B4180">
        <v>2017</v>
      </c>
      <c r="C4180">
        <v>2</v>
      </c>
      <c r="D4180">
        <v>23178</v>
      </c>
      <c r="E4180">
        <v>282</v>
      </c>
      <c r="F4180">
        <v>51784.08</v>
      </c>
      <c r="G4180">
        <v>12041.36</v>
      </c>
      <c r="H4180" t="str">
        <f>VLOOKUP(myynnit[[#This Row],[TuoteID]],ohjaus!$A$4:$B$20,2,FALSE)</f>
        <v>Pinnatuoli</v>
      </c>
    </row>
    <row r="4181" spans="1:8" x14ac:dyDescent="0.35">
      <c r="A4181" t="s">
        <v>40</v>
      </c>
      <c r="B4181">
        <v>2017</v>
      </c>
      <c r="C4181">
        <v>2</v>
      </c>
      <c r="D4181">
        <v>23600</v>
      </c>
      <c r="E4181">
        <v>295</v>
      </c>
      <c r="F4181">
        <v>30423.59</v>
      </c>
      <c r="G4181">
        <v>7245.35</v>
      </c>
      <c r="H4181" t="str">
        <f>VLOOKUP(myynnit[[#This Row],[TuoteID]],ohjaus!$A$4:$B$20,2,FALSE)</f>
        <v>Pinnatuoli</v>
      </c>
    </row>
    <row r="4182" spans="1:8" x14ac:dyDescent="0.35">
      <c r="A4182" t="s">
        <v>40</v>
      </c>
      <c r="B4182">
        <v>2017</v>
      </c>
      <c r="C4182">
        <v>2</v>
      </c>
      <c r="D4182">
        <v>23756</v>
      </c>
      <c r="E4182">
        <v>96</v>
      </c>
      <c r="F4182">
        <v>17267.75</v>
      </c>
      <c r="G4182">
        <v>7519.91</v>
      </c>
      <c r="H4182" t="str">
        <f>VLOOKUP(myynnit[[#This Row],[TuoteID]],ohjaus!$A$4:$B$20,2,FALSE)</f>
        <v>Pianotuoli</v>
      </c>
    </row>
    <row r="4183" spans="1:8" x14ac:dyDescent="0.35">
      <c r="A4183" t="s">
        <v>40</v>
      </c>
      <c r="B4183">
        <v>2017</v>
      </c>
      <c r="C4183">
        <v>2</v>
      </c>
      <c r="D4183">
        <v>24326</v>
      </c>
      <c r="E4183">
        <v>43</v>
      </c>
      <c r="F4183">
        <v>5814.77</v>
      </c>
      <c r="G4183">
        <v>1609.53</v>
      </c>
      <c r="H4183" t="str">
        <f>VLOOKUP(myynnit[[#This Row],[TuoteID]],ohjaus!$A$4:$B$20,2,FALSE)</f>
        <v>Lepotuoli</v>
      </c>
    </row>
    <row r="4184" spans="1:8" x14ac:dyDescent="0.35">
      <c r="A4184" t="s">
        <v>39</v>
      </c>
      <c r="B4184">
        <v>2017</v>
      </c>
      <c r="C4184">
        <v>2</v>
      </c>
      <c r="D4184">
        <v>12184</v>
      </c>
      <c r="E4184">
        <v>86</v>
      </c>
      <c r="F4184">
        <v>10762.16</v>
      </c>
      <c r="G4184">
        <v>8254.5300000000007</v>
      </c>
      <c r="H4184" t="str">
        <f>VLOOKUP(myynnit[[#This Row],[TuoteID]],ohjaus!$A$4:$B$20,2,FALSE)</f>
        <v>Rahi</v>
      </c>
    </row>
    <row r="4185" spans="1:8" x14ac:dyDescent="0.35">
      <c r="A4185" t="s">
        <v>39</v>
      </c>
      <c r="B4185">
        <v>2017</v>
      </c>
      <c r="C4185">
        <v>2</v>
      </c>
      <c r="D4185">
        <v>12622</v>
      </c>
      <c r="E4185">
        <v>57</v>
      </c>
      <c r="F4185">
        <v>18162.5</v>
      </c>
      <c r="G4185">
        <v>11152.09</v>
      </c>
      <c r="H4185" t="str">
        <f>VLOOKUP(myynnit[[#This Row],[TuoteID]],ohjaus!$A$4:$B$20,2,FALSE)</f>
        <v>Pianotuoli</v>
      </c>
    </row>
    <row r="4186" spans="1:8" x14ac:dyDescent="0.35">
      <c r="A4186" t="s">
        <v>39</v>
      </c>
      <c r="B4186">
        <v>2017</v>
      </c>
      <c r="C4186">
        <v>2</v>
      </c>
      <c r="D4186">
        <v>13527</v>
      </c>
      <c r="E4186">
        <v>313</v>
      </c>
      <c r="F4186">
        <v>53526.16</v>
      </c>
      <c r="G4186">
        <v>13114.73</v>
      </c>
      <c r="H4186" t="str">
        <f>VLOOKUP(myynnit[[#This Row],[TuoteID]],ohjaus!$A$4:$B$20,2,FALSE)</f>
        <v>Pinnatuoli</v>
      </c>
    </row>
    <row r="4187" spans="1:8" x14ac:dyDescent="0.35">
      <c r="A4187" t="s">
        <v>39</v>
      </c>
      <c r="B4187">
        <v>2017</v>
      </c>
      <c r="C4187">
        <v>2</v>
      </c>
      <c r="D4187">
        <v>13618</v>
      </c>
      <c r="E4187">
        <v>20</v>
      </c>
      <c r="F4187">
        <v>7213.96</v>
      </c>
      <c r="G4187">
        <v>4169.74</v>
      </c>
      <c r="H4187" t="str">
        <f>VLOOKUP(myynnit[[#This Row],[TuoteID]],ohjaus!$A$4:$B$20,2,FALSE)</f>
        <v>Pianotuoli</v>
      </c>
    </row>
    <row r="4188" spans="1:8" x14ac:dyDescent="0.35">
      <c r="A4188" t="s">
        <v>39</v>
      </c>
      <c r="B4188">
        <v>2017</v>
      </c>
      <c r="C4188">
        <v>2</v>
      </c>
      <c r="D4188">
        <v>16024</v>
      </c>
      <c r="E4188">
        <v>314</v>
      </c>
      <c r="F4188">
        <v>150080.87</v>
      </c>
      <c r="G4188">
        <v>47443.57</v>
      </c>
      <c r="H4188" t="str">
        <f>VLOOKUP(myynnit[[#This Row],[TuoteID]],ohjaus!$A$4:$B$20,2,FALSE)</f>
        <v>Työtuoli</v>
      </c>
    </row>
    <row r="4189" spans="1:8" x14ac:dyDescent="0.35">
      <c r="A4189" t="s">
        <v>39</v>
      </c>
      <c r="B4189">
        <v>2017</v>
      </c>
      <c r="C4189">
        <v>2</v>
      </c>
      <c r="D4189">
        <v>16650</v>
      </c>
      <c r="E4189">
        <v>43</v>
      </c>
      <c r="F4189">
        <v>8486.86</v>
      </c>
      <c r="G4189">
        <v>5227.5</v>
      </c>
      <c r="H4189" t="str">
        <f>VLOOKUP(myynnit[[#This Row],[TuoteID]],ohjaus!$A$4:$B$20,2,FALSE)</f>
        <v>Rahi</v>
      </c>
    </row>
    <row r="4190" spans="1:8" x14ac:dyDescent="0.35">
      <c r="A4190" t="s">
        <v>39</v>
      </c>
      <c r="B4190">
        <v>2017</v>
      </c>
      <c r="C4190">
        <v>2</v>
      </c>
      <c r="D4190">
        <v>17892</v>
      </c>
      <c r="E4190">
        <v>51</v>
      </c>
      <c r="F4190">
        <v>7587.92</v>
      </c>
      <c r="G4190">
        <v>1973.94</v>
      </c>
      <c r="H4190" t="str">
        <f>VLOOKUP(myynnit[[#This Row],[TuoteID]],ohjaus!$A$4:$B$20,2,FALSE)</f>
        <v>Lepotuoli</v>
      </c>
    </row>
    <row r="4191" spans="1:8" x14ac:dyDescent="0.35">
      <c r="A4191" t="s">
        <v>39</v>
      </c>
      <c r="B4191">
        <v>2017</v>
      </c>
      <c r="C4191">
        <v>2</v>
      </c>
      <c r="D4191">
        <v>18342</v>
      </c>
      <c r="E4191">
        <v>179</v>
      </c>
      <c r="F4191">
        <v>165810.12</v>
      </c>
      <c r="G4191">
        <v>42995.93</v>
      </c>
      <c r="H4191" t="str">
        <f>VLOOKUP(myynnit[[#This Row],[TuoteID]],ohjaus!$A$4:$B$20,2,FALSE)</f>
        <v>Työtuoli</v>
      </c>
    </row>
    <row r="4192" spans="1:8" x14ac:dyDescent="0.35">
      <c r="A4192" t="s">
        <v>39</v>
      </c>
      <c r="B4192">
        <v>2017</v>
      </c>
      <c r="C4192">
        <v>2</v>
      </c>
      <c r="D4192">
        <v>20177</v>
      </c>
      <c r="E4192">
        <v>69</v>
      </c>
      <c r="F4192">
        <v>8085.23</v>
      </c>
      <c r="G4192">
        <v>4108.88</v>
      </c>
      <c r="H4192" t="str">
        <f>VLOOKUP(myynnit[[#This Row],[TuoteID]],ohjaus!$A$4:$B$20,2,FALSE)</f>
        <v>Säkkituoli</v>
      </c>
    </row>
    <row r="4193" spans="1:8" x14ac:dyDescent="0.35">
      <c r="A4193" t="s">
        <v>39</v>
      </c>
      <c r="B4193">
        <v>2017</v>
      </c>
      <c r="C4193">
        <v>2</v>
      </c>
      <c r="D4193">
        <v>21179</v>
      </c>
      <c r="E4193">
        <v>38</v>
      </c>
      <c r="F4193">
        <v>4392.4799999999996</v>
      </c>
      <c r="G4193">
        <v>2766.86</v>
      </c>
      <c r="H4193" t="str">
        <f>VLOOKUP(myynnit[[#This Row],[TuoteID]],ohjaus!$A$4:$B$20,2,FALSE)</f>
        <v>Rahi</v>
      </c>
    </row>
    <row r="4194" spans="1:8" x14ac:dyDescent="0.35">
      <c r="A4194" t="s">
        <v>39</v>
      </c>
      <c r="B4194">
        <v>2017</v>
      </c>
      <c r="C4194">
        <v>2</v>
      </c>
      <c r="D4194">
        <v>21260</v>
      </c>
      <c r="E4194">
        <v>48</v>
      </c>
      <c r="F4194">
        <v>10441.51</v>
      </c>
      <c r="G4194">
        <v>2798.82</v>
      </c>
      <c r="H4194" t="str">
        <f>VLOOKUP(myynnit[[#This Row],[TuoteID]],ohjaus!$A$4:$B$20,2,FALSE)</f>
        <v>Lepotuoli</v>
      </c>
    </row>
    <row r="4195" spans="1:8" x14ac:dyDescent="0.35">
      <c r="A4195" t="s">
        <v>39</v>
      </c>
      <c r="B4195">
        <v>2017</v>
      </c>
      <c r="C4195">
        <v>2</v>
      </c>
      <c r="D4195">
        <v>22317</v>
      </c>
      <c r="E4195">
        <v>26</v>
      </c>
      <c r="F4195">
        <v>2680.41</v>
      </c>
      <c r="G4195">
        <v>1051.97</v>
      </c>
      <c r="H4195" t="str">
        <f>VLOOKUP(myynnit[[#This Row],[TuoteID]],ohjaus!$A$4:$B$20,2,FALSE)</f>
        <v>Säkkituoli</v>
      </c>
    </row>
    <row r="4196" spans="1:8" x14ac:dyDescent="0.35">
      <c r="A4196" t="s">
        <v>39</v>
      </c>
      <c r="B4196">
        <v>2017</v>
      </c>
      <c r="C4196">
        <v>2</v>
      </c>
      <c r="D4196">
        <v>22940</v>
      </c>
      <c r="E4196">
        <v>551</v>
      </c>
      <c r="F4196">
        <v>70177.539999999994</v>
      </c>
      <c r="G4196">
        <v>18843.830000000002</v>
      </c>
      <c r="H4196" t="str">
        <f>VLOOKUP(myynnit[[#This Row],[TuoteID]],ohjaus!$A$4:$B$20,2,FALSE)</f>
        <v>Pinnatuoli</v>
      </c>
    </row>
    <row r="4197" spans="1:8" x14ac:dyDescent="0.35">
      <c r="A4197" t="s">
        <v>39</v>
      </c>
      <c r="B4197">
        <v>2017</v>
      </c>
      <c r="C4197">
        <v>2</v>
      </c>
      <c r="D4197">
        <v>23178</v>
      </c>
      <c r="E4197">
        <v>193</v>
      </c>
      <c r="F4197">
        <v>31705.21</v>
      </c>
      <c r="G4197">
        <v>8677.5</v>
      </c>
      <c r="H4197" t="str">
        <f>VLOOKUP(myynnit[[#This Row],[TuoteID]],ohjaus!$A$4:$B$20,2,FALSE)</f>
        <v>Pinnatuoli</v>
      </c>
    </row>
    <row r="4198" spans="1:8" x14ac:dyDescent="0.35">
      <c r="A4198" t="s">
        <v>39</v>
      </c>
      <c r="B4198">
        <v>2017</v>
      </c>
      <c r="C4198">
        <v>2</v>
      </c>
      <c r="D4198">
        <v>23600</v>
      </c>
      <c r="E4198">
        <v>551</v>
      </c>
      <c r="F4198">
        <v>61529.77</v>
      </c>
      <c r="G4198">
        <v>18579.34</v>
      </c>
      <c r="H4198" t="str">
        <f>VLOOKUP(myynnit[[#This Row],[TuoteID]],ohjaus!$A$4:$B$20,2,FALSE)</f>
        <v>Pinnatuoli</v>
      </c>
    </row>
    <row r="4199" spans="1:8" x14ac:dyDescent="0.35">
      <c r="A4199" t="s">
        <v>39</v>
      </c>
      <c r="B4199">
        <v>2017</v>
      </c>
      <c r="C4199">
        <v>2</v>
      </c>
      <c r="D4199">
        <v>23756</v>
      </c>
      <c r="E4199">
        <v>66</v>
      </c>
      <c r="F4199">
        <v>13336.69</v>
      </c>
      <c r="G4199">
        <v>7690.62</v>
      </c>
      <c r="H4199" t="str">
        <f>VLOOKUP(myynnit[[#This Row],[TuoteID]],ohjaus!$A$4:$B$20,2,FALSE)</f>
        <v>Pianotuoli</v>
      </c>
    </row>
    <row r="4200" spans="1:8" x14ac:dyDescent="0.35">
      <c r="A4200" t="s">
        <v>39</v>
      </c>
      <c r="B4200">
        <v>2017</v>
      </c>
      <c r="C4200">
        <v>2</v>
      </c>
      <c r="D4200">
        <v>24326</v>
      </c>
      <c r="E4200">
        <v>137</v>
      </c>
      <c r="F4200">
        <v>21348.71</v>
      </c>
      <c r="G4200">
        <v>5884.51</v>
      </c>
      <c r="H4200" t="str">
        <f>VLOOKUP(myynnit[[#This Row],[TuoteID]],ohjaus!$A$4:$B$20,2,FALSE)</f>
        <v>Lepotuoli</v>
      </c>
    </row>
    <row r="4201" spans="1:8" x14ac:dyDescent="0.35">
      <c r="A4201" t="s">
        <v>38</v>
      </c>
      <c r="B4201">
        <v>2017</v>
      </c>
      <c r="C4201">
        <v>2</v>
      </c>
      <c r="D4201">
        <v>12184</v>
      </c>
      <c r="E4201">
        <v>99</v>
      </c>
      <c r="F4201">
        <v>10909.11</v>
      </c>
      <c r="G4201">
        <v>6038.36</v>
      </c>
      <c r="H4201" t="str">
        <f>VLOOKUP(myynnit[[#This Row],[TuoteID]],ohjaus!$A$4:$B$20,2,FALSE)</f>
        <v>Rahi</v>
      </c>
    </row>
    <row r="4202" spans="1:8" x14ac:dyDescent="0.35">
      <c r="A4202" t="s">
        <v>38</v>
      </c>
      <c r="B4202">
        <v>2017</v>
      </c>
      <c r="C4202">
        <v>2</v>
      </c>
      <c r="D4202">
        <v>12622</v>
      </c>
      <c r="E4202">
        <v>49</v>
      </c>
      <c r="F4202">
        <v>11479.13</v>
      </c>
      <c r="G4202">
        <v>5102.0200000000004</v>
      </c>
      <c r="H4202" t="str">
        <f>VLOOKUP(myynnit[[#This Row],[TuoteID]],ohjaus!$A$4:$B$20,2,FALSE)</f>
        <v>Pianotuoli</v>
      </c>
    </row>
    <row r="4203" spans="1:8" x14ac:dyDescent="0.35">
      <c r="A4203" t="s">
        <v>38</v>
      </c>
      <c r="B4203">
        <v>2017</v>
      </c>
      <c r="C4203">
        <v>2</v>
      </c>
      <c r="D4203">
        <v>13527</v>
      </c>
      <c r="E4203">
        <v>564</v>
      </c>
      <c r="F4203">
        <v>93028.52</v>
      </c>
      <c r="G4203">
        <v>17718.29</v>
      </c>
      <c r="H4203" t="str">
        <f>VLOOKUP(myynnit[[#This Row],[TuoteID]],ohjaus!$A$4:$B$20,2,FALSE)</f>
        <v>Pinnatuoli</v>
      </c>
    </row>
    <row r="4204" spans="1:8" x14ac:dyDescent="0.35">
      <c r="A4204" t="s">
        <v>38</v>
      </c>
      <c r="B4204">
        <v>2017</v>
      </c>
      <c r="C4204">
        <v>2</v>
      </c>
      <c r="D4204">
        <v>13618</v>
      </c>
      <c r="E4204">
        <v>11</v>
      </c>
      <c r="F4204">
        <v>4938.8100000000004</v>
      </c>
      <c r="G4204">
        <v>2159.86</v>
      </c>
      <c r="H4204" t="str">
        <f>VLOOKUP(myynnit[[#This Row],[TuoteID]],ohjaus!$A$4:$B$20,2,FALSE)</f>
        <v>Pianotuoli</v>
      </c>
    </row>
    <row r="4205" spans="1:8" x14ac:dyDescent="0.35">
      <c r="A4205" t="s">
        <v>38</v>
      </c>
      <c r="B4205">
        <v>2017</v>
      </c>
      <c r="C4205">
        <v>2</v>
      </c>
      <c r="D4205">
        <v>16024</v>
      </c>
      <c r="E4205">
        <v>91</v>
      </c>
      <c r="F4205">
        <v>37940.68</v>
      </c>
      <c r="G4205">
        <v>7945.97</v>
      </c>
      <c r="H4205" t="str">
        <f>VLOOKUP(myynnit[[#This Row],[TuoteID]],ohjaus!$A$4:$B$20,2,FALSE)</f>
        <v>Työtuoli</v>
      </c>
    </row>
    <row r="4206" spans="1:8" x14ac:dyDescent="0.35">
      <c r="A4206" t="s">
        <v>38</v>
      </c>
      <c r="B4206">
        <v>2017</v>
      </c>
      <c r="C4206">
        <v>2</v>
      </c>
      <c r="D4206">
        <v>16650</v>
      </c>
      <c r="E4206">
        <v>61</v>
      </c>
      <c r="F4206">
        <v>8044.55</v>
      </c>
      <c r="G4206">
        <v>4585.12</v>
      </c>
      <c r="H4206" t="str">
        <f>VLOOKUP(myynnit[[#This Row],[TuoteID]],ohjaus!$A$4:$B$20,2,FALSE)</f>
        <v>Rahi</v>
      </c>
    </row>
    <row r="4207" spans="1:8" x14ac:dyDescent="0.35">
      <c r="A4207" t="s">
        <v>38</v>
      </c>
      <c r="B4207">
        <v>2017</v>
      </c>
      <c r="C4207">
        <v>2</v>
      </c>
      <c r="D4207">
        <v>17892</v>
      </c>
      <c r="E4207">
        <v>57</v>
      </c>
      <c r="F4207">
        <v>7294.47</v>
      </c>
      <c r="G4207">
        <v>1648.43</v>
      </c>
      <c r="H4207" t="str">
        <f>VLOOKUP(myynnit[[#This Row],[TuoteID]],ohjaus!$A$4:$B$20,2,FALSE)</f>
        <v>Lepotuoli</v>
      </c>
    </row>
    <row r="4208" spans="1:8" x14ac:dyDescent="0.35">
      <c r="A4208" t="s">
        <v>38</v>
      </c>
      <c r="B4208">
        <v>2017</v>
      </c>
      <c r="C4208">
        <v>2</v>
      </c>
      <c r="D4208">
        <v>18342</v>
      </c>
      <c r="E4208">
        <v>116</v>
      </c>
      <c r="F4208">
        <v>93541.2</v>
      </c>
      <c r="G4208">
        <v>21682.68</v>
      </c>
      <c r="H4208" t="str">
        <f>VLOOKUP(myynnit[[#This Row],[TuoteID]],ohjaus!$A$4:$B$20,2,FALSE)</f>
        <v>Työtuoli</v>
      </c>
    </row>
    <row r="4209" spans="1:8" x14ac:dyDescent="0.35">
      <c r="A4209" t="s">
        <v>38</v>
      </c>
      <c r="B4209">
        <v>2017</v>
      </c>
      <c r="C4209">
        <v>2</v>
      </c>
      <c r="D4209">
        <v>20177</v>
      </c>
      <c r="E4209">
        <v>65</v>
      </c>
      <c r="F4209">
        <v>7319.36</v>
      </c>
      <c r="G4209">
        <v>2718.75</v>
      </c>
      <c r="H4209" t="str">
        <f>VLOOKUP(myynnit[[#This Row],[TuoteID]],ohjaus!$A$4:$B$20,2,FALSE)</f>
        <v>Säkkituoli</v>
      </c>
    </row>
    <row r="4210" spans="1:8" x14ac:dyDescent="0.35">
      <c r="A4210" t="s">
        <v>38</v>
      </c>
      <c r="B4210">
        <v>2017</v>
      </c>
      <c r="C4210">
        <v>2</v>
      </c>
      <c r="D4210">
        <v>21179</v>
      </c>
      <c r="E4210">
        <v>26</v>
      </c>
      <c r="F4210">
        <v>2932.31</v>
      </c>
      <c r="G4210">
        <v>1657.79</v>
      </c>
      <c r="H4210" t="str">
        <f>VLOOKUP(myynnit[[#This Row],[TuoteID]],ohjaus!$A$4:$B$20,2,FALSE)</f>
        <v>Rahi</v>
      </c>
    </row>
    <row r="4211" spans="1:8" x14ac:dyDescent="0.35">
      <c r="A4211" t="s">
        <v>38</v>
      </c>
      <c r="B4211">
        <v>2017</v>
      </c>
      <c r="C4211">
        <v>2</v>
      </c>
      <c r="D4211">
        <v>21260</v>
      </c>
      <c r="E4211">
        <v>30</v>
      </c>
      <c r="F4211">
        <v>6220.59</v>
      </c>
      <c r="G4211">
        <v>1768.91</v>
      </c>
      <c r="H4211" t="str">
        <f>VLOOKUP(myynnit[[#This Row],[TuoteID]],ohjaus!$A$4:$B$20,2,FALSE)</f>
        <v>Lepotuoli</v>
      </c>
    </row>
    <row r="4212" spans="1:8" x14ac:dyDescent="0.35">
      <c r="A4212" t="s">
        <v>38</v>
      </c>
      <c r="B4212">
        <v>2017</v>
      </c>
      <c r="C4212">
        <v>2</v>
      </c>
      <c r="D4212">
        <v>22317</v>
      </c>
      <c r="E4212">
        <v>67</v>
      </c>
      <c r="F4212">
        <v>5007.8599999999997</v>
      </c>
      <c r="G4212">
        <v>1757.32</v>
      </c>
      <c r="H4212" t="str">
        <f>VLOOKUP(myynnit[[#This Row],[TuoteID]],ohjaus!$A$4:$B$20,2,FALSE)</f>
        <v>Säkkituoli</v>
      </c>
    </row>
    <row r="4213" spans="1:8" x14ac:dyDescent="0.35">
      <c r="A4213" t="s">
        <v>38</v>
      </c>
      <c r="B4213">
        <v>2017</v>
      </c>
      <c r="C4213">
        <v>2</v>
      </c>
      <c r="D4213">
        <v>22940</v>
      </c>
      <c r="E4213">
        <v>380</v>
      </c>
      <c r="F4213">
        <v>52850.68</v>
      </c>
      <c r="G4213">
        <v>12135.33</v>
      </c>
      <c r="H4213" t="str">
        <f>VLOOKUP(myynnit[[#This Row],[TuoteID]],ohjaus!$A$4:$B$20,2,FALSE)</f>
        <v>Pinnatuoli</v>
      </c>
    </row>
    <row r="4214" spans="1:8" x14ac:dyDescent="0.35">
      <c r="A4214" t="s">
        <v>38</v>
      </c>
      <c r="B4214">
        <v>2017</v>
      </c>
      <c r="C4214">
        <v>2</v>
      </c>
      <c r="D4214">
        <v>23178</v>
      </c>
      <c r="E4214">
        <v>115</v>
      </c>
      <c r="F4214">
        <v>19915.52</v>
      </c>
      <c r="G4214">
        <v>3702.56</v>
      </c>
      <c r="H4214" t="str">
        <f>VLOOKUP(myynnit[[#This Row],[TuoteID]],ohjaus!$A$4:$B$20,2,FALSE)</f>
        <v>Pinnatuoli</v>
      </c>
    </row>
    <row r="4215" spans="1:8" x14ac:dyDescent="0.35">
      <c r="A4215" t="s">
        <v>38</v>
      </c>
      <c r="B4215">
        <v>2017</v>
      </c>
      <c r="C4215">
        <v>2</v>
      </c>
      <c r="D4215">
        <v>23600</v>
      </c>
      <c r="E4215">
        <v>1331</v>
      </c>
      <c r="F4215">
        <v>157038.42000000001</v>
      </c>
      <c r="G4215">
        <v>35047.65</v>
      </c>
      <c r="H4215" t="str">
        <f>VLOOKUP(myynnit[[#This Row],[TuoteID]],ohjaus!$A$4:$B$20,2,FALSE)</f>
        <v>Pinnatuoli</v>
      </c>
    </row>
    <row r="4216" spans="1:8" x14ac:dyDescent="0.35">
      <c r="A4216" t="s">
        <v>38</v>
      </c>
      <c r="B4216">
        <v>2017</v>
      </c>
      <c r="C4216">
        <v>2</v>
      </c>
      <c r="D4216">
        <v>23756</v>
      </c>
      <c r="E4216">
        <v>52</v>
      </c>
      <c r="F4216">
        <v>10680.47</v>
      </c>
      <c r="G4216">
        <v>5353.61</v>
      </c>
      <c r="H4216" t="str">
        <f>VLOOKUP(myynnit[[#This Row],[TuoteID]],ohjaus!$A$4:$B$20,2,FALSE)</f>
        <v>Pianotuoli</v>
      </c>
    </row>
    <row r="4217" spans="1:8" x14ac:dyDescent="0.35">
      <c r="A4217" t="s">
        <v>38</v>
      </c>
      <c r="B4217">
        <v>2017</v>
      </c>
      <c r="C4217">
        <v>2</v>
      </c>
      <c r="D4217">
        <v>24326</v>
      </c>
      <c r="E4217">
        <v>90</v>
      </c>
      <c r="F4217">
        <v>11188.07</v>
      </c>
      <c r="G4217">
        <v>2587.2199999999998</v>
      </c>
      <c r="H4217" t="str">
        <f>VLOOKUP(myynnit[[#This Row],[TuoteID]],ohjaus!$A$4:$B$20,2,FALSE)</f>
        <v>Lepotuoli</v>
      </c>
    </row>
    <row r="4218" spans="1:8" x14ac:dyDescent="0.35">
      <c r="A4218" t="s">
        <v>37</v>
      </c>
      <c r="B4218">
        <v>2017</v>
      </c>
      <c r="C4218">
        <v>3</v>
      </c>
      <c r="D4218">
        <v>12184</v>
      </c>
      <c r="E4218">
        <v>53</v>
      </c>
      <c r="F4218">
        <v>7630.03</v>
      </c>
      <c r="G4218">
        <v>3836.07</v>
      </c>
      <c r="H4218" t="str">
        <f>VLOOKUP(myynnit[[#This Row],[TuoteID]],ohjaus!$A$4:$B$20,2,FALSE)</f>
        <v>Rahi</v>
      </c>
    </row>
    <row r="4219" spans="1:8" x14ac:dyDescent="0.35">
      <c r="A4219" t="s">
        <v>37</v>
      </c>
      <c r="B4219">
        <v>2017</v>
      </c>
      <c r="C4219">
        <v>3</v>
      </c>
      <c r="D4219">
        <v>12622</v>
      </c>
      <c r="E4219">
        <v>70</v>
      </c>
      <c r="F4219">
        <v>16101.94</v>
      </c>
      <c r="G4219">
        <v>8648.44</v>
      </c>
      <c r="H4219" t="str">
        <f>VLOOKUP(myynnit[[#This Row],[TuoteID]],ohjaus!$A$4:$B$20,2,FALSE)</f>
        <v>Pianotuoli</v>
      </c>
    </row>
    <row r="4220" spans="1:8" x14ac:dyDescent="0.35">
      <c r="A4220" t="s">
        <v>37</v>
      </c>
      <c r="B4220">
        <v>2017</v>
      </c>
      <c r="C4220">
        <v>3</v>
      </c>
      <c r="D4220">
        <v>13527</v>
      </c>
      <c r="E4220">
        <v>626</v>
      </c>
      <c r="F4220">
        <v>96893.8</v>
      </c>
      <c r="G4220">
        <v>19320.599999999999</v>
      </c>
      <c r="H4220" t="str">
        <f>VLOOKUP(myynnit[[#This Row],[TuoteID]],ohjaus!$A$4:$B$20,2,FALSE)</f>
        <v>Pinnatuoli</v>
      </c>
    </row>
    <row r="4221" spans="1:8" x14ac:dyDescent="0.35">
      <c r="A4221" t="s">
        <v>37</v>
      </c>
      <c r="B4221">
        <v>2017</v>
      </c>
      <c r="C4221">
        <v>3</v>
      </c>
      <c r="D4221">
        <v>13618</v>
      </c>
      <c r="E4221">
        <v>22</v>
      </c>
      <c r="F4221">
        <v>8806.1200000000008</v>
      </c>
      <c r="G4221">
        <v>3553.72</v>
      </c>
      <c r="H4221" t="str">
        <f>VLOOKUP(myynnit[[#This Row],[TuoteID]],ohjaus!$A$4:$B$20,2,FALSE)</f>
        <v>Pianotuoli</v>
      </c>
    </row>
    <row r="4222" spans="1:8" x14ac:dyDescent="0.35">
      <c r="A4222" t="s">
        <v>37</v>
      </c>
      <c r="B4222">
        <v>2017</v>
      </c>
      <c r="C4222">
        <v>3</v>
      </c>
      <c r="D4222">
        <v>16024</v>
      </c>
      <c r="E4222">
        <v>324</v>
      </c>
      <c r="F4222">
        <v>134036.4</v>
      </c>
      <c r="G4222">
        <v>32798.58</v>
      </c>
      <c r="H4222" t="str">
        <f>VLOOKUP(myynnit[[#This Row],[TuoteID]],ohjaus!$A$4:$B$20,2,FALSE)</f>
        <v>Työtuoli</v>
      </c>
    </row>
    <row r="4223" spans="1:8" x14ac:dyDescent="0.35">
      <c r="A4223" t="s">
        <v>37</v>
      </c>
      <c r="B4223">
        <v>2017</v>
      </c>
      <c r="C4223">
        <v>3</v>
      </c>
      <c r="D4223">
        <v>16650</v>
      </c>
      <c r="E4223">
        <v>51</v>
      </c>
      <c r="F4223">
        <v>7383.91</v>
      </c>
      <c r="G4223">
        <v>3985.48</v>
      </c>
      <c r="H4223" t="str">
        <f>VLOOKUP(myynnit[[#This Row],[TuoteID]],ohjaus!$A$4:$B$20,2,FALSE)</f>
        <v>Rahi</v>
      </c>
    </row>
    <row r="4224" spans="1:8" x14ac:dyDescent="0.35">
      <c r="A4224" t="s">
        <v>37</v>
      </c>
      <c r="B4224">
        <v>2017</v>
      </c>
      <c r="C4224">
        <v>3</v>
      </c>
      <c r="D4224">
        <v>17892</v>
      </c>
      <c r="E4224">
        <v>141</v>
      </c>
      <c r="F4224">
        <v>20145.46</v>
      </c>
      <c r="G4224">
        <v>5804.32</v>
      </c>
      <c r="H4224" t="str">
        <f>VLOOKUP(myynnit[[#This Row],[TuoteID]],ohjaus!$A$4:$B$20,2,FALSE)</f>
        <v>Lepotuoli</v>
      </c>
    </row>
    <row r="4225" spans="1:8" x14ac:dyDescent="0.35">
      <c r="A4225" t="s">
        <v>37</v>
      </c>
      <c r="B4225">
        <v>2017</v>
      </c>
      <c r="C4225">
        <v>3</v>
      </c>
      <c r="D4225">
        <v>18342</v>
      </c>
      <c r="E4225">
        <v>159</v>
      </c>
      <c r="F4225">
        <v>135166.64000000001</v>
      </c>
      <c r="G4225">
        <v>35576.26</v>
      </c>
      <c r="H4225" t="str">
        <f>VLOOKUP(myynnit[[#This Row],[TuoteID]],ohjaus!$A$4:$B$20,2,FALSE)</f>
        <v>Työtuoli</v>
      </c>
    </row>
    <row r="4226" spans="1:8" x14ac:dyDescent="0.35">
      <c r="A4226" t="s">
        <v>37</v>
      </c>
      <c r="B4226">
        <v>2017</v>
      </c>
      <c r="C4226">
        <v>3</v>
      </c>
      <c r="D4226">
        <v>20177</v>
      </c>
      <c r="E4226">
        <v>142</v>
      </c>
      <c r="F4226">
        <v>14267.37</v>
      </c>
      <c r="G4226">
        <v>5512.59</v>
      </c>
      <c r="H4226" t="str">
        <f>VLOOKUP(myynnit[[#This Row],[TuoteID]],ohjaus!$A$4:$B$20,2,FALSE)</f>
        <v>Säkkituoli</v>
      </c>
    </row>
    <row r="4227" spans="1:8" x14ac:dyDescent="0.35">
      <c r="A4227" t="s">
        <v>37</v>
      </c>
      <c r="B4227">
        <v>2017</v>
      </c>
      <c r="C4227">
        <v>3</v>
      </c>
      <c r="D4227">
        <v>21179</v>
      </c>
      <c r="E4227">
        <v>52</v>
      </c>
      <c r="F4227">
        <v>6183.23</v>
      </c>
      <c r="G4227">
        <v>2505.11</v>
      </c>
      <c r="H4227" t="str">
        <f>VLOOKUP(myynnit[[#This Row],[TuoteID]],ohjaus!$A$4:$B$20,2,FALSE)</f>
        <v>Rahi</v>
      </c>
    </row>
    <row r="4228" spans="1:8" x14ac:dyDescent="0.35">
      <c r="A4228" t="s">
        <v>37</v>
      </c>
      <c r="B4228">
        <v>2017</v>
      </c>
      <c r="C4228">
        <v>3</v>
      </c>
      <c r="D4228">
        <v>21260</v>
      </c>
      <c r="E4228">
        <v>110</v>
      </c>
      <c r="F4228">
        <v>21436.33</v>
      </c>
      <c r="G4228">
        <v>6294.51</v>
      </c>
      <c r="H4228" t="str">
        <f>VLOOKUP(myynnit[[#This Row],[TuoteID]],ohjaus!$A$4:$B$20,2,FALSE)</f>
        <v>Lepotuoli</v>
      </c>
    </row>
    <row r="4229" spans="1:8" x14ac:dyDescent="0.35">
      <c r="A4229" t="s">
        <v>37</v>
      </c>
      <c r="B4229">
        <v>2017</v>
      </c>
      <c r="C4229">
        <v>3</v>
      </c>
      <c r="D4229">
        <v>22317</v>
      </c>
      <c r="E4229">
        <v>113</v>
      </c>
      <c r="F4229">
        <v>9494.43</v>
      </c>
      <c r="G4229">
        <v>4072.93</v>
      </c>
      <c r="H4229" t="str">
        <f>VLOOKUP(myynnit[[#This Row],[TuoteID]],ohjaus!$A$4:$B$20,2,FALSE)</f>
        <v>Säkkituoli</v>
      </c>
    </row>
    <row r="4230" spans="1:8" x14ac:dyDescent="0.35">
      <c r="A4230" t="s">
        <v>37</v>
      </c>
      <c r="B4230">
        <v>2017</v>
      </c>
      <c r="C4230">
        <v>3</v>
      </c>
      <c r="D4230">
        <v>22940</v>
      </c>
      <c r="E4230">
        <v>568</v>
      </c>
      <c r="F4230">
        <v>72313.990000000005</v>
      </c>
      <c r="G4230">
        <v>15060.98</v>
      </c>
      <c r="H4230" t="str">
        <f>VLOOKUP(myynnit[[#This Row],[TuoteID]],ohjaus!$A$4:$B$20,2,FALSE)</f>
        <v>Pinnatuoli</v>
      </c>
    </row>
    <row r="4231" spans="1:8" x14ac:dyDescent="0.35">
      <c r="A4231" t="s">
        <v>37</v>
      </c>
      <c r="B4231">
        <v>2017</v>
      </c>
      <c r="C4231">
        <v>3</v>
      </c>
      <c r="D4231">
        <v>23178</v>
      </c>
      <c r="E4231">
        <v>212</v>
      </c>
      <c r="F4231">
        <v>35609.550000000003</v>
      </c>
      <c r="G4231">
        <v>7012.19</v>
      </c>
      <c r="H4231" t="str">
        <f>VLOOKUP(myynnit[[#This Row],[TuoteID]],ohjaus!$A$4:$B$20,2,FALSE)</f>
        <v>Pinnatuoli</v>
      </c>
    </row>
    <row r="4232" spans="1:8" x14ac:dyDescent="0.35">
      <c r="A4232" t="s">
        <v>37</v>
      </c>
      <c r="B4232">
        <v>2017</v>
      </c>
      <c r="C4232">
        <v>3</v>
      </c>
      <c r="D4232">
        <v>23600</v>
      </c>
      <c r="E4232">
        <v>894</v>
      </c>
      <c r="F4232">
        <v>101314.95</v>
      </c>
      <c r="G4232">
        <v>20922.95</v>
      </c>
      <c r="H4232" t="str">
        <f>VLOOKUP(myynnit[[#This Row],[TuoteID]],ohjaus!$A$4:$B$20,2,FALSE)</f>
        <v>Pinnatuoli</v>
      </c>
    </row>
    <row r="4233" spans="1:8" x14ac:dyDescent="0.35">
      <c r="A4233" t="s">
        <v>37</v>
      </c>
      <c r="B4233">
        <v>2017</v>
      </c>
      <c r="C4233">
        <v>3</v>
      </c>
      <c r="D4233">
        <v>23756</v>
      </c>
      <c r="E4233">
        <v>67</v>
      </c>
      <c r="F4233">
        <v>13410.41</v>
      </c>
      <c r="G4233">
        <v>5801.08</v>
      </c>
      <c r="H4233" t="str">
        <f>VLOOKUP(myynnit[[#This Row],[TuoteID]],ohjaus!$A$4:$B$20,2,FALSE)</f>
        <v>Pianotuoli</v>
      </c>
    </row>
    <row r="4234" spans="1:8" x14ac:dyDescent="0.35">
      <c r="A4234" t="s">
        <v>37</v>
      </c>
      <c r="B4234">
        <v>2017</v>
      </c>
      <c r="C4234">
        <v>3</v>
      </c>
      <c r="D4234">
        <v>24326</v>
      </c>
      <c r="E4234">
        <v>99</v>
      </c>
      <c r="F4234">
        <v>13273.27</v>
      </c>
      <c r="G4234">
        <v>3218</v>
      </c>
      <c r="H4234" t="str">
        <f>VLOOKUP(myynnit[[#This Row],[TuoteID]],ohjaus!$A$4:$B$20,2,FALSE)</f>
        <v>Lepotuoli</v>
      </c>
    </row>
    <row r="4235" spans="1:8" x14ac:dyDescent="0.35">
      <c r="A4235" t="s">
        <v>40</v>
      </c>
      <c r="B4235">
        <v>2017</v>
      </c>
      <c r="C4235">
        <v>3</v>
      </c>
      <c r="D4235">
        <v>12184</v>
      </c>
      <c r="E4235">
        <v>28</v>
      </c>
      <c r="F4235">
        <v>3819.89</v>
      </c>
      <c r="G4235">
        <v>2015.14</v>
      </c>
      <c r="H4235" t="str">
        <f>VLOOKUP(myynnit[[#This Row],[TuoteID]],ohjaus!$A$4:$B$20,2,FALSE)</f>
        <v>Rahi</v>
      </c>
    </row>
    <row r="4236" spans="1:8" x14ac:dyDescent="0.35">
      <c r="A4236" t="s">
        <v>40</v>
      </c>
      <c r="B4236">
        <v>2017</v>
      </c>
      <c r="C4236">
        <v>3</v>
      </c>
      <c r="D4236">
        <v>12622</v>
      </c>
      <c r="E4236">
        <v>16</v>
      </c>
      <c r="F4236">
        <v>4408.75</v>
      </c>
      <c r="G4236">
        <v>2010.39</v>
      </c>
      <c r="H4236" t="str">
        <f>VLOOKUP(myynnit[[#This Row],[TuoteID]],ohjaus!$A$4:$B$20,2,FALSE)</f>
        <v>Pianotuoli</v>
      </c>
    </row>
    <row r="4237" spans="1:8" x14ac:dyDescent="0.35">
      <c r="A4237" t="s">
        <v>40</v>
      </c>
      <c r="B4237">
        <v>2017</v>
      </c>
      <c r="C4237">
        <v>3</v>
      </c>
      <c r="D4237">
        <v>13527</v>
      </c>
      <c r="E4237">
        <v>176</v>
      </c>
      <c r="F4237">
        <v>28758.5</v>
      </c>
      <c r="G4237">
        <v>5004.24</v>
      </c>
      <c r="H4237" t="str">
        <f>VLOOKUP(myynnit[[#This Row],[TuoteID]],ohjaus!$A$4:$B$20,2,FALSE)</f>
        <v>Pinnatuoli</v>
      </c>
    </row>
    <row r="4238" spans="1:8" x14ac:dyDescent="0.35">
      <c r="A4238" t="s">
        <v>40</v>
      </c>
      <c r="B4238">
        <v>2017</v>
      </c>
      <c r="C4238">
        <v>3</v>
      </c>
      <c r="D4238">
        <v>13618</v>
      </c>
      <c r="E4238">
        <v>8</v>
      </c>
      <c r="F4238">
        <v>3099.38</v>
      </c>
      <c r="G4238">
        <v>1531.08</v>
      </c>
      <c r="H4238" t="str">
        <f>VLOOKUP(myynnit[[#This Row],[TuoteID]],ohjaus!$A$4:$B$20,2,FALSE)</f>
        <v>Pianotuoli</v>
      </c>
    </row>
    <row r="4239" spans="1:8" x14ac:dyDescent="0.35">
      <c r="A4239" t="s">
        <v>40</v>
      </c>
      <c r="B4239">
        <v>2017</v>
      </c>
      <c r="C4239">
        <v>3</v>
      </c>
      <c r="D4239">
        <v>16024</v>
      </c>
      <c r="E4239">
        <v>81</v>
      </c>
      <c r="F4239">
        <v>36531.25</v>
      </c>
      <c r="G4239">
        <v>12426.21</v>
      </c>
      <c r="H4239" t="str">
        <f>VLOOKUP(myynnit[[#This Row],[TuoteID]],ohjaus!$A$4:$B$20,2,FALSE)</f>
        <v>Työtuoli</v>
      </c>
    </row>
    <row r="4240" spans="1:8" x14ac:dyDescent="0.35">
      <c r="A4240" t="s">
        <v>40</v>
      </c>
      <c r="B4240">
        <v>2017</v>
      </c>
      <c r="C4240">
        <v>3</v>
      </c>
      <c r="D4240">
        <v>16650</v>
      </c>
      <c r="E4240">
        <v>33</v>
      </c>
      <c r="F4240">
        <v>4466.96</v>
      </c>
      <c r="G4240">
        <v>2823.41</v>
      </c>
      <c r="H4240" t="str">
        <f>VLOOKUP(myynnit[[#This Row],[TuoteID]],ohjaus!$A$4:$B$20,2,FALSE)</f>
        <v>Rahi</v>
      </c>
    </row>
    <row r="4241" spans="1:8" x14ac:dyDescent="0.35">
      <c r="A4241" t="s">
        <v>40</v>
      </c>
      <c r="B4241">
        <v>2017</v>
      </c>
      <c r="C4241">
        <v>3</v>
      </c>
      <c r="D4241">
        <v>17892</v>
      </c>
      <c r="E4241">
        <v>102</v>
      </c>
      <c r="F4241">
        <v>14801.94</v>
      </c>
      <c r="G4241">
        <v>3571.98</v>
      </c>
      <c r="H4241" t="str">
        <f>VLOOKUP(myynnit[[#This Row],[TuoteID]],ohjaus!$A$4:$B$20,2,FALSE)</f>
        <v>Lepotuoli</v>
      </c>
    </row>
    <row r="4242" spans="1:8" x14ac:dyDescent="0.35">
      <c r="A4242" t="s">
        <v>40</v>
      </c>
      <c r="B4242">
        <v>2017</v>
      </c>
      <c r="C4242">
        <v>3</v>
      </c>
      <c r="D4242">
        <v>18342</v>
      </c>
      <c r="E4242">
        <v>19</v>
      </c>
      <c r="F4242">
        <v>15940</v>
      </c>
      <c r="G4242">
        <v>4508.26</v>
      </c>
      <c r="H4242" t="str">
        <f>VLOOKUP(myynnit[[#This Row],[TuoteID]],ohjaus!$A$4:$B$20,2,FALSE)</f>
        <v>Työtuoli</v>
      </c>
    </row>
    <row r="4243" spans="1:8" x14ac:dyDescent="0.35">
      <c r="A4243" t="s">
        <v>40</v>
      </c>
      <c r="B4243">
        <v>2017</v>
      </c>
      <c r="C4243">
        <v>3</v>
      </c>
      <c r="D4243">
        <v>20177</v>
      </c>
      <c r="E4243">
        <v>11</v>
      </c>
      <c r="F4243">
        <v>1222.1199999999999</v>
      </c>
      <c r="G4243">
        <v>539.1</v>
      </c>
      <c r="H4243" t="str">
        <f>VLOOKUP(myynnit[[#This Row],[TuoteID]],ohjaus!$A$4:$B$20,2,FALSE)</f>
        <v>Säkkituoli</v>
      </c>
    </row>
    <row r="4244" spans="1:8" x14ac:dyDescent="0.35">
      <c r="A4244" t="s">
        <v>40</v>
      </c>
      <c r="B4244">
        <v>2017</v>
      </c>
      <c r="C4244">
        <v>3</v>
      </c>
      <c r="D4244">
        <v>21179</v>
      </c>
      <c r="E4244">
        <v>21</v>
      </c>
      <c r="F4244">
        <v>2244.64</v>
      </c>
      <c r="G4244">
        <v>1302.76</v>
      </c>
      <c r="H4244" t="str">
        <f>VLOOKUP(myynnit[[#This Row],[TuoteID]],ohjaus!$A$4:$B$20,2,FALSE)</f>
        <v>Rahi</v>
      </c>
    </row>
    <row r="4245" spans="1:8" x14ac:dyDescent="0.35">
      <c r="A4245" t="s">
        <v>40</v>
      </c>
      <c r="B4245">
        <v>2017</v>
      </c>
      <c r="C4245">
        <v>3</v>
      </c>
      <c r="D4245">
        <v>21260</v>
      </c>
      <c r="E4245">
        <v>53</v>
      </c>
      <c r="F4245">
        <v>10853.65</v>
      </c>
      <c r="G4245">
        <v>2886.44</v>
      </c>
      <c r="H4245" t="str">
        <f>VLOOKUP(myynnit[[#This Row],[TuoteID]],ohjaus!$A$4:$B$20,2,FALSE)</f>
        <v>Lepotuoli</v>
      </c>
    </row>
    <row r="4246" spans="1:8" x14ac:dyDescent="0.35">
      <c r="A4246" t="s">
        <v>40</v>
      </c>
      <c r="B4246">
        <v>2017</v>
      </c>
      <c r="C4246">
        <v>3</v>
      </c>
      <c r="D4246">
        <v>22317</v>
      </c>
      <c r="E4246">
        <v>18</v>
      </c>
      <c r="F4246">
        <v>1440.78</v>
      </c>
      <c r="G4246">
        <v>724.34</v>
      </c>
      <c r="H4246" t="str">
        <f>VLOOKUP(myynnit[[#This Row],[TuoteID]],ohjaus!$A$4:$B$20,2,FALSE)</f>
        <v>Säkkituoli</v>
      </c>
    </row>
    <row r="4247" spans="1:8" x14ac:dyDescent="0.35">
      <c r="A4247" t="s">
        <v>40</v>
      </c>
      <c r="B4247">
        <v>2017</v>
      </c>
      <c r="C4247">
        <v>3</v>
      </c>
      <c r="D4247">
        <v>22940</v>
      </c>
      <c r="E4247">
        <v>170</v>
      </c>
      <c r="F4247">
        <v>23295.69</v>
      </c>
      <c r="G4247">
        <v>6076.16</v>
      </c>
      <c r="H4247" t="str">
        <f>VLOOKUP(myynnit[[#This Row],[TuoteID]],ohjaus!$A$4:$B$20,2,FALSE)</f>
        <v>Pinnatuoli</v>
      </c>
    </row>
    <row r="4248" spans="1:8" x14ac:dyDescent="0.35">
      <c r="A4248" t="s">
        <v>40</v>
      </c>
      <c r="B4248">
        <v>2017</v>
      </c>
      <c r="C4248">
        <v>3</v>
      </c>
      <c r="D4248">
        <v>23178</v>
      </c>
      <c r="E4248">
        <v>222</v>
      </c>
      <c r="F4248">
        <v>39790.15</v>
      </c>
      <c r="G4248">
        <v>10062.75</v>
      </c>
      <c r="H4248" t="str">
        <f>VLOOKUP(myynnit[[#This Row],[TuoteID]],ohjaus!$A$4:$B$20,2,FALSE)</f>
        <v>Pinnatuoli</v>
      </c>
    </row>
    <row r="4249" spans="1:8" x14ac:dyDescent="0.35">
      <c r="A4249" t="s">
        <v>40</v>
      </c>
      <c r="B4249">
        <v>2017</v>
      </c>
      <c r="C4249">
        <v>3</v>
      </c>
      <c r="D4249">
        <v>23600</v>
      </c>
      <c r="E4249">
        <v>440</v>
      </c>
      <c r="F4249">
        <v>47513.49</v>
      </c>
      <c r="G4249">
        <v>13765.24</v>
      </c>
      <c r="H4249" t="str">
        <f>VLOOKUP(myynnit[[#This Row],[TuoteID]],ohjaus!$A$4:$B$20,2,FALSE)</f>
        <v>Pinnatuoli</v>
      </c>
    </row>
    <row r="4250" spans="1:8" x14ac:dyDescent="0.35">
      <c r="A4250" t="s">
        <v>40</v>
      </c>
      <c r="B4250">
        <v>2017</v>
      </c>
      <c r="C4250">
        <v>3</v>
      </c>
      <c r="D4250">
        <v>23756</v>
      </c>
      <c r="E4250">
        <v>39</v>
      </c>
      <c r="F4250">
        <v>8014.63</v>
      </c>
      <c r="G4250">
        <v>3296.28</v>
      </c>
      <c r="H4250" t="str">
        <f>VLOOKUP(myynnit[[#This Row],[TuoteID]],ohjaus!$A$4:$B$20,2,FALSE)</f>
        <v>Pianotuoli</v>
      </c>
    </row>
    <row r="4251" spans="1:8" x14ac:dyDescent="0.35">
      <c r="A4251" t="s">
        <v>40</v>
      </c>
      <c r="B4251">
        <v>2017</v>
      </c>
      <c r="C4251">
        <v>3</v>
      </c>
      <c r="D4251">
        <v>24326</v>
      </c>
      <c r="E4251">
        <v>27</v>
      </c>
      <c r="F4251">
        <v>3471.2</v>
      </c>
      <c r="G4251">
        <v>885.92</v>
      </c>
      <c r="H4251" t="str">
        <f>VLOOKUP(myynnit[[#This Row],[TuoteID]],ohjaus!$A$4:$B$20,2,FALSE)</f>
        <v>Lepotuoli</v>
      </c>
    </row>
    <row r="4252" spans="1:8" x14ac:dyDescent="0.35">
      <c r="A4252" t="s">
        <v>39</v>
      </c>
      <c r="B4252">
        <v>2017</v>
      </c>
      <c r="C4252">
        <v>3</v>
      </c>
      <c r="D4252">
        <v>12184</v>
      </c>
      <c r="E4252">
        <v>90</v>
      </c>
      <c r="F4252">
        <v>11693.34</v>
      </c>
      <c r="G4252">
        <v>7861.77</v>
      </c>
      <c r="H4252" t="str">
        <f>VLOOKUP(myynnit[[#This Row],[TuoteID]],ohjaus!$A$4:$B$20,2,FALSE)</f>
        <v>Rahi</v>
      </c>
    </row>
    <row r="4253" spans="1:8" x14ac:dyDescent="0.35">
      <c r="A4253" t="s">
        <v>39</v>
      </c>
      <c r="B4253">
        <v>2017</v>
      </c>
      <c r="C4253">
        <v>3</v>
      </c>
      <c r="D4253">
        <v>12622</v>
      </c>
      <c r="E4253">
        <v>44</v>
      </c>
      <c r="F4253">
        <v>10184.790000000001</v>
      </c>
      <c r="G4253">
        <v>5140.45</v>
      </c>
      <c r="H4253" t="str">
        <f>VLOOKUP(myynnit[[#This Row],[TuoteID]],ohjaus!$A$4:$B$20,2,FALSE)</f>
        <v>Pianotuoli</v>
      </c>
    </row>
    <row r="4254" spans="1:8" x14ac:dyDescent="0.35">
      <c r="A4254" t="s">
        <v>39</v>
      </c>
      <c r="B4254">
        <v>2017</v>
      </c>
      <c r="C4254">
        <v>3</v>
      </c>
      <c r="D4254">
        <v>13527</v>
      </c>
      <c r="E4254">
        <v>429</v>
      </c>
      <c r="F4254">
        <v>71585.009999999995</v>
      </c>
      <c r="G4254">
        <v>16722.12</v>
      </c>
      <c r="H4254" t="str">
        <f>VLOOKUP(myynnit[[#This Row],[TuoteID]],ohjaus!$A$4:$B$20,2,FALSE)</f>
        <v>Pinnatuoli</v>
      </c>
    </row>
    <row r="4255" spans="1:8" x14ac:dyDescent="0.35">
      <c r="A4255" t="s">
        <v>39</v>
      </c>
      <c r="B4255">
        <v>2017</v>
      </c>
      <c r="C4255">
        <v>3</v>
      </c>
      <c r="D4255">
        <v>13618</v>
      </c>
      <c r="E4255">
        <v>25</v>
      </c>
      <c r="F4255">
        <v>11221.74</v>
      </c>
      <c r="G4255">
        <v>6043.22</v>
      </c>
      <c r="H4255" t="str">
        <f>VLOOKUP(myynnit[[#This Row],[TuoteID]],ohjaus!$A$4:$B$20,2,FALSE)</f>
        <v>Pianotuoli</v>
      </c>
    </row>
    <row r="4256" spans="1:8" x14ac:dyDescent="0.35">
      <c r="A4256" t="s">
        <v>39</v>
      </c>
      <c r="B4256">
        <v>2017</v>
      </c>
      <c r="C4256">
        <v>3</v>
      </c>
      <c r="D4256">
        <v>16024</v>
      </c>
      <c r="E4256">
        <v>281</v>
      </c>
      <c r="F4256">
        <v>131329.79999999999</v>
      </c>
      <c r="G4256">
        <v>43418.76</v>
      </c>
      <c r="H4256" t="str">
        <f>VLOOKUP(myynnit[[#This Row],[TuoteID]],ohjaus!$A$4:$B$20,2,FALSE)</f>
        <v>Työtuoli</v>
      </c>
    </row>
    <row r="4257" spans="1:8" x14ac:dyDescent="0.35">
      <c r="A4257" t="s">
        <v>39</v>
      </c>
      <c r="B4257">
        <v>2017</v>
      </c>
      <c r="C4257">
        <v>3</v>
      </c>
      <c r="D4257">
        <v>16650</v>
      </c>
      <c r="E4257">
        <v>37</v>
      </c>
      <c r="F4257">
        <v>7291.01</v>
      </c>
      <c r="G4257">
        <v>4990.18</v>
      </c>
      <c r="H4257" t="str">
        <f>VLOOKUP(myynnit[[#This Row],[TuoteID]],ohjaus!$A$4:$B$20,2,FALSE)</f>
        <v>Rahi</v>
      </c>
    </row>
    <row r="4258" spans="1:8" x14ac:dyDescent="0.35">
      <c r="A4258" t="s">
        <v>39</v>
      </c>
      <c r="B4258">
        <v>2017</v>
      </c>
      <c r="C4258">
        <v>3</v>
      </c>
      <c r="D4258">
        <v>17892</v>
      </c>
      <c r="E4258">
        <v>103</v>
      </c>
      <c r="F4258">
        <v>14119.66</v>
      </c>
      <c r="G4258">
        <v>4151.03</v>
      </c>
      <c r="H4258" t="str">
        <f>VLOOKUP(myynnit[[#This Row],[TuoteID]],ohjaus!$A$4:$B$20,2,FALSE)</f>
        <v>Lepotuoli</v>
      </c>
    </row>
    <row r="4259" spans="1:8" x14ac:dyDescent="0.35">
      <c r="A4259" t="s">
        <v>39</v>
      </c>
      <c r="B4259">
        <v>2017</v>
      </c>
      <c r="C4259">
        <v>3</v>
      </c>
      <c r="D4259">
        <v>18342</v>
      </c>
      <c r="E4259">
        <v>65</v>
      </c>
      <c r="F4259">
        <v>54480.3</v>
      </c>
      <c r="G4259">
        <v>16375.09</v>
      </c>
      <c r="H4259" t="str">
        <f>VLOOKUP(myynnit[[#This Row],[TuoteID]],ohjaus!$A$4:$B$20,2,FALSE)</f>
        <v>Työtuoli</v>
      </c>
    </row>
    <row r="4260" spans="1:8" x14ac:dyDescent="0.35">
      <c r="A4260" t="s">
        <v>39</v>
      </c>
      <c r="B4260">
        <v>2017</v>
      </c>
      <c r="C4260">
        <v>3</v>
      </c>
      <c r="D4260">
        <v>20177</v>
      </c>
      <c r="E4260">
        <v>44</v>
      </c>
      <c r="F4260">
        <v>3892.05</v>
      </c>
      <c r="G4260">
        <v>1825.04</v>
      </c>
      <c r="H4260" t="str">
        <f>VLOOKUP(myynnit[[#This Row],[TuoteID]],ohjaus!$A$4:$B$20,2,FALSE)</f>
        <v>Säkkituoli</v>
      </c>
    </row>
    <row r="4261" spans="1:8" x14ac:dyDescent="0.35">
      <c r="A4261" t="s">
        <v>39</v>
      </c>
      <c r="B4261">
        <v>2017</v>
      </c>
      <c r="C4261">
        <v>3</v>
      </c>
      <c r="D4261">
        <v>21179</v>
      </c>
      <c r="E4261">
        <v>31</v>
      </c>
      <c r="F4261">
        <v>4635.75</v>
      </c>
      <c r="G4261">
        <v>3645.28</v>
      </c>
      <c r="H4261" t="str">
        <f>VLOOKUP(myynnit[[#This Row],[TuoteID]],ohjaus!$A$4:$B$20,2,FALSE)</f>
        <v>Rahi</v>
      </c>
    </row>
    <row r="4262" spans="1:8" x14ac:dyDescent="0.35">
      <c r="A4262" t="s">
        <v>39</v>
      </c>
      <c r="B4262">
        <v>2017</v>
      </c>
      <c r="C4262">
        <v>3</v>
      </c>
      <c r="D4262">
        <v>21260</v>
      </c>
      <c r="E4262">
        <v>36</v>
      </c>
      <c r="F4262">
        <v>6439</v>
      </c>
      <c r="G4262">
        <v>2248.5100000000002</v>
      </c>
      <c r="H4262" t="str">
        <f>VLOOKUP(myynnit[[#This Row],[TuoteID]],ohjaus!$A$4:$B$20,2,FALSE)</f>
        <v>Lepotuoli</v>
      </c>
    </row>
    <row r="4263" spans="1:8" x14ac:dyDescent="0.35">
      <c r="A4263" t="s">
        <v>39</v>
      </c>
      <c r="B4263">
        <v>2017</v>
      </c>
      <c r="C4263">
        <v>3</v>
      </c>
      <c r="D4263">
        <v>22317</v>
      </c>
      <c r="E4263">
        <v>23</v>
      </c>
      <c r="F4263">
        <v>2377.2600000000002</v>
      </c>
      <c r="G4263">
        <v>943.35</v>
      </c>
      <c r="H4263" t="str">
        <f>VLOOKUP(myynnit[[#This Row],[TuoteID]],ohjaus!$A$4:$B$20,2,FALSE)</f>
        <v>Säkkituoli</v>
      </c>
    </row>
    <row r="4264" spans="1:8" x14ac:dyDescent="0.35">
      <c r="A4264" t="s">
        <v>39</v>
      </c>
      <c r="B4264">
        <v>2017</v>
      </c>
      <c r="C4264">
        <v>3</v>
      </c>
      <c r="D4264">
        <v>22940</v>
      </c>
      <c r="E4264">
        <v>586</v>
      </c>
      <c r="F4264">
        <v>76254.37</v>
      </c>
      <c r="G4264">
        <v>17506.29</v>
      </c>
      <c r="H4264" t="str">
        <f>VLOOKUP(myynnit[[#This Row],[TuoteID]],ohjaus!$A$4:$B$20,2,FALSE)</f>
        <v>Pinnatuoli</v>
      </c>
    </row>
    <row r="4265" spans="1:8" x14ac:dyDescent="0.35">
      <c r="A4265" t="s">
        <v>39</v>
      </c>
      <c r="B4265">
        <v>2017</v>
      </c>
      <c r="C4265">
        <v>3</v>
      </c>
      <c r="D4265">
        <v>23178</v>
      </c>
      <c r="E4265">
        <v>119</v>
      </c>
      <c r="F4265">
        <v>20467.29</v>
      </c>
      <c r="G4265">
        <v>5434.76</v>
      </c>
      <c r="H4265" t="str">
        <f>VLOOKUP(myynnit[[#This Row],[TuoteID]],ohjaus!$A$4:$B$20,2,FALSE)</f>
        <v>Pinnatuoli</v>
      </c>
    </row>
    <row r="4266" spans="1:8" x14ac:dyDescent="0.35">
      <c r="A4266" t="s">
        <v>39</v>
      </c>
      <c r="B4266">
        <v>2017</v>
      </c>
      <c r="C4266">
        <v>3</v>
      </c>
      <c r="D4266">
        <v>23600</v>
      </c>
      <c r="E4266">
        <v>542</v>
      </c>
      <c r="F4266">
        <v>53949.77</v>
      </c>
      <c r="G4266">
        <v>14992.12</v>
      </c>
      <c r="H4266" t="str">
        <f>VLOOKUP(myynnit[[#This Row],[TuoteID]],ohjaus!$A$4:$B$20,2,FALSE)</f>
        <v>Pinnatuoli</v>
      </c>
    </row>
    <row r="4267" spans="1:8" x14ac:dyDescent="0.35">
      <c r="A4267" t="s">
        <v>39</v>
      </c>
      <c r="B4267">
        <v>2017</v>
      </c>
      <c r="C4267">
        <v>3</v>
      </c>
      <c r="D4267">
        <v>23756</v>
      </c>
      <c r="E4267">
        <v>112</v>
      </c>
      <c r="F4267">
        <v>19933.02</v>
      </c>
      <c r="G4267">
        <v>12052.55</v>
      </c>
      <c r="H4267" t="str">
        <f>VLOOKUP(myynnit[[#This Row],[TuoteID]],ohjaus!$A$4:$B$20,2,FALSE)</f>
        <v>Pianotuoli</v>
      </c>
    </row>
    <row r="4268" spans="1:8" x14ac:dyDescent="0.35">
      <c r="A4268" t="s">
        <v>39</v>
      </c>
      <c r="B4268">
        <v>2017</v>
      </c>
      <c r="C4268">
        <v>3</v>
      </c>
      <c r="D4268">
        <v>24326</v>
      </c>
      <c r="E4268">
        <v>122</v>
      </c>
      <c r="F4268">
        <v>17014.900000000001</v>
      </c>
      <c r="G4268">
        <v>4792.58</v>
      </c>
      <c r="H4268" t="str">
        <f>VLOOKUP(myynnit[[#This Row],[TuoteID]],ohjaus!$A$4:$B$20,2,FALSE)</f>
        <v>Lepotuoli</v>
      </c>
    </row>
    <row r="4269" spans="1:8" x14ac:dyDescent="0.35">
      <c r="A4269" t="s">
        <v>38</v>
      </c>
      <c r="B4269">
        <v>2017</v>
      </c>
      <c r="C4269">
        <v>3</v>
      </c>
      <c r="D4269">
        <v>12184</v>
      </c>
      <c r="E4269">
        <v>67</v>
      </c>
      <c r="F4269">
        <v>9966.27</v>
      </c>
      <c r="G4269">
        <v>6050.02</v>
      </c>
      <c r="H4269" t="str">
        <f>VLOOKUP(myynnit[[#This Row],[TuoteID]],ohjaus!$A$4:$B$20,2,FALSE)</f>
        <v>Rahi</v>
      </c>
    </row>
    <row r="4270" spans="1:8" x14ac:dyDescent="0.35">
      <c r="A4270" t="s">
        <v>38</v>
      </c>
      <c r="B4270">
        <v>2017</v>
      </c>
      <c r="C4270">
        <v>3</v>
      </c>
      <c r="D4270">
        <v>12622</v>
      </c>
      <c r="E4270">
        <v>35</v>
      </c>
      <c r="F4270">
        <v>8563.74</v>
      </c>
      <c r="G4270">
        <v>4387.58</v>
      </c>
      <c r="H4270" t="str">
        <f>VLOOKUP(myynnit[[#This Row],[TuoteID]],ohjaus!$A$4:$B$20,2,FALSE)</f>
        <v>Pianotuoli</v>
      </c>
    </row>
    <row r="4271" spans="1:8" x14ac:dyDescent="0.35">
      <c r="A4271" t="s">
        <v>38</v>
      </c>
      <c r="B4271">
        <v>2017</v>
      </c>
      <c r="C4271">
        <v>3</v>
      </c>
      <c r="D4271">
        <v>13527</v>
      </c>
      <c r="E4271">
        <v>440</v>
      </c>
      <c r="F4271">
        <v>75553.23</v>
      </c>
      <c r="G4271">
        <v>16831.61</v>
      </c>
      <c r="H4271" t="str">
        <f>VLOOKUP(myynnit[[#This Row],[TuoteID]],ohjaus!$A$4:$B$20,2,FALSE)</f>
        <v>Pinnatuoli</v>
      </c>
    </row>
    <row r="4272" spans="1:8" x14ac:dyDescent="0.35">
      <c r="A4272" t="s">
        <v>38</v>
      </c>
      <c r="B4272">
        <v>2017</v>
      </c>
      <c r="C4272">
        <v>3</v>
      </c>
      <c r="D4272">
        <v>13618</v>
      </c>
      <c r="E4272">
        <v>6</v>
      </c>
      <c r="F4272">
        <v>2739</v>
      </c>
      <c r="G4272">
        <v>1175.69</v>
      </c>
      <c r="H4272" t="str">
        <f>VLOOKUP(myynnit[[#This Row],[TuoteID]],ohjaus!$A$4:$B$20,2,FALSE)</f>
        <v>Pianotuoli</v>
      </c>
    </row>
    <row r="4273" spans="1:8" x14ac:dyDescent="0.35">
      <c r="A4273" t="s">
        <v>38</v>
      </c>
      <c r="B4273">
        <v>2017</v>
      </c>
      <c r="C4273">
        <v>3</v>
      </c>
      <c r="D4273">
        <v>16024</v>
      </c>
      <c r="E4273">
        <v>138</v>
      </c>
      <c r="F4273">
        <v>58469.51</v>
      </c>
      <c r="G4273">
        <v>15611.06</v>
      </c>
      <c r="H4273" t="str">
        <f>VLOOKUP(myynnit[[#This Row],[TuoteID]],ohjaus!$A$4:$B$20,2,FALSE)</f>
        <v>Työtuoli</v>
      </c>
    </row>
    <row r="4274" spans="1:8" x14ac:dyDescent="0.35">
      <c r="A4274" t="s">
        <v>38</v>
      </c>
      <c r="B4274">
        <v>2017</v>
      </c>
      <c r="C4274">
        <v>3</v>
      </c>
      <c r="D4274">
        <v>16650</v>
      </c>
      <c r="E4274">
        <v>29</v>
      </c>
      <c r="F4274">
        <v>5078.2700000000004</v>
      </c>
      <c r="G4274">
        <v>3303.84</v>
      </c>
      <c r="H4274" t="str">
        <f>VLOOKUP(myynnit[[#This Row],[TuoteID]],ohjaus!$A$4:$B$20,2,FALSE)</f>
        <v>Rahi</v>
      </c>
    </row>
    <row r="4275" spans="1:8" x14ac:dyDescent="0.35">
      <c r="A4275" t="s">
        <v>38</v>
      </c>
      <c r="B4275">
        <v>2017</v>
      </c>
      <c r="C4275">
        <v>3</v>
      </c>
      <c r="D4275">
        <v>17892</v>
      </c>
      <c r="E4275">
        <v>47</v>
      </c>
      <c r="F4275">
        <v>7087.56</v>
      </c>
      <c r="G4275">
        <v>1818.78</v>
      </c>
      <c r="H4275" t="str">
        <f>VLOOKUP(myynnit[[#This Row],[TuoteID]],ohjaus!$A$4:$B$20,2,FALSE)</f>
        <v>Lepotuoli</v>
      </c>
    </row>
    <row r="4276" spans="1:8" x14ac:dyDescent="0.35">
      <c r="A4276" t="s">
        <v>38</v>
      </c>
      <c r="B4276">
        <v>2017</v>
      </c>
      <c r="C4276">
        <v>3</v>
      </c>
      <c r="D4276">
        <v>18342</v>
      </c>
      <c r="E4276">
        <v>172</v>
      </c>
      <c r="F4276">
        <v>155207.04999999999</v>
      </c>
      <c r="G4276">
        <v>36666.589999999997</v>
      </c>
      <c r="H4276" t="str">
        <f>VLOOKUP(myynnit[[#This Row],[TuoteID]],ohjaus!$A$4:$B$20,2,FALSE)</f>
        <v>Työtuoli</v>
      </c>
    </row>
    <row r="4277" spans="1:8" x14ac:dyDescent="0.35">
      <c r="A4277" t="s">
        <v>38</v>
      </c>
      <c r="B4277">
        <v>2017</v>
      </c>
      <c r="C4277">
        <v>3</v>
      </c>
      <c r="D4277">
        <v>20177</v>
      </c>
      <c r="E4277">
        <v>92</v>
      </c>
      <c r="F4277">
        <v>9194.81</v>
      </c>
      <c r="G4277">
        <v>3180.08</v>
      </c>
      <c r="H4277" t="str">
        <f>VLOOKUP(myynnit[[#This Row],[TuoteID]],ohjaus!$A$4:$B$20,2,FALSE)</f>
        <v>Säkkituoli</v>
      </c>
    </row>
    <row r="4278" spans="1:8" x14ac:dyDescent="0.35">
      <c r="A4278" t="s">
        <v>38</v>
      </c>
      <c r="B4278">
        <v>2017</v>
      </c>
      <c r="C4278">
        <v>3</v>
      </c>
      <c r="D4278">
        <v>21179</v>
      </c>
      <c r="E4278">
        <v>40</v>
      </c>
      <c r="F4278">
        <v>4816.96</v>
      </c>
      <c r="G4278">
        <v>3030.92</v>
      </c>
      <c r="H4278" t="str">
        <f>VLOOKUP(myynnit[[#This Row],[TuoteID]],ohjaus!$A$4:$B$20,2,FALSE)</f>
        <v>Rahi</v>
      </c>
    </row>
    <row r="4279" spans="1:8" x14ac:dyDescent="0.35">
      <c r="A4279" t="s">
        <v>38</v>
      </c>
      <c r="B4279">
        <v>2017</v>
      </c>
      <c r="C4279">
        <v>3</v>
      </c>
      <c r="D4279">
        <v>21260</v>
      </c>
      <c r="E4279">
        <v>68</v>
      </c>
      <c r="F4279">
        <v>11975.79</v>
      </c>
      <c r="G4279">
        <v>2765.13</v>
      </c>
      <c r="H4279" t="str">
        <f>VLOOKUP(myynnit[[#This Row],[TuoteID]],ohjaus!$A$4:$B$20,2,FALSE)</f>
        <v>Lepotuoli</v>
      </c>
    </row>
    <row r="4280" spans="1:8" x14ac:dyDescent="0.35">
      <c r="A4280" t="s">
        <v>38</v>
      </c>
      <c r="B4280">
        <v>2017</v>
      </c>
      <c r="C4280">
        <v>3</v>
      </c>
      <c r="D4280">
        <v>22317</v>
      </c>
      <c r="E4280">
        <v>67</v>
      </c>
      <c r="F4280">
        <v>5693.51</v>
      </c>
      <c r="G4280">
        <v>2312.77</v>
      </c>
      <c r="H4280" t="str">
        <f>VLOOKUP(myynnit[[#This Row],[TuoteID]],ohjaus!$A$4:$B$20,2,FALSE)</f>
        <v>Säkkituoli</v>
      </c>
    </row>
    <row r="4281" spans="1:8" x14ac:dyDescent="0.35">
      <c r="A4281" t="s">
        <v>38</v>
      </c>
      <c r="B4281">
        <v>2017</v>
      </c>
      <c r="C4281">
        <v>3</v>
      </c>
      <c r="D4281">
        <v>22940</v>
      </c>
      <c r="E4281">
        <v>296</v>
      </c>
      <c r="F4281">
        <v>36902.83</v>
      </c>
      <c r="G4281">
        <v>7643.52</v>
      </c>
      <c r="H4281" t="str">
        <f>VLOOKUP(myynnit[[#This Row],[TuoteID]],ohjaus!$A$4:$B$20,2,FALSE)</f>
        <v>Pinnatuoli</v>
      </c>
    </row>
    <row r="4282" spans="1:8" x14ac:dyDescent="0.35">
      <c r="A4282" t="s">
        <v>38</v>
      </c>
      <c r="B4282">
        <v>2017</v>
      </c>
      <c r="C4282">
        <v>3</v>
      </c>
      <c r="D4282">
        <v>23178</v>
      </c>
      <c r="E4282">
        <v>150</v>
      </c>
      <c r="F4282">
        <v>26900.75</v>
      </c>
      <c r="G4282">
        <v>5351.48</v>
      </c>
      <c r="H4282" t="str">
        <f>VLOOKUP(myynnit[[#This Row],[TuoteID]],ohjaus!$A$4:$B$20,2,FALSE)</f>
        <v>Pinnatuoli</v>
      </c>
    </row>
    <row r="4283" spans="1:8" x14ac:dyDescent="0.35">
      <c r="A4283" t="s">
        <v>38</v>
      </c>
      <c r="B4283">
        <v>2017</v>
      </c>
      <c r="C4283">
        <v>3</v>
      </c>
      <c r="D4283">
        <v>23600</v>
      </c>
      <c r="E4283">
        <v>1296</v>
      </c>
      <c r="F4283">
        <v>130545.78</v>
      </c>
      <c r="G4283">
        <v>29608.11</v>
      </c>
      <c r="H4283" t="str">
        <f>VLOOKUP(myynnit[[#This Row],[TuoteID]],ohjaus!$A$4:$B$20,2,FALSE)</f>
        <v>Pinnatuoli</v>
      </c>
    </row>
    <row r="4284" spans="1:8" x14ac:dyDescent="0.35">
      <c r="A4284" t="s">
        <v>38</v>
      </c>
      <c r="B4284">
        <v>2017</v>
      </c>
      <c r="C4284">
        <v>3</v>
      </c>
      <c r="D4284">
        <v>23756</v>
      </c>
      <c r="E4284">
        <v>82</v>
      </c>
      <c r="F4284">
        <v>16972.34</v>
      </c>
      <c r="G4284">
        <v>8926.9699999999993</v>
      </c>
      <c r="H4284" t="str">
        <f>VLOOKUP(myynnit[[#This Row],[TuoteID]],ohjaus!$A$4:$B$20,2,FALSE)</f>
        <v>Pianotuoli</v>
      </c>
    </row>
    <row r="4285" spans="1:8" x14ac:dyDescent="0.35">
      <c r="A4285" t="s">
        <v>38</v>
      </c>
      <c r="B4285">
        <v>2017</v>
      </c>
      <c r="C4285">
        <v>3</v>
      </c>
      <c r="D4285">
        <v>24326</v>
      </c>
      <c r="E4285">
        <v>71</v>
      </c>
      <c r="F4285">
        <v>9291.6200000000008</v>
      </c>
      <c r="G4285">
        <v>2606.86</v>
      </c>
      <c r="H4285" t="str">
        <f>VLOOKUP(myynnit[[#This Row],[TuoteID]],ohjaus!$A$4:$B$20,2,FALSE)</f>
        <v>Lepotuoli</v>
      </c>
    </row>
    <row r="4286" spans="1:8" x14ac:dyDescent="0.35">
      <c r="A4286" t="s">
        <v>37</v>
      </c>
      <c r="B4286">
        <v>2017</v>
      </c>
      <c r="C4286">
        <v>4</v>
      </c>
      <c r="D4286">
        <v>12184</v>
      </c>
      <c r="E4286">
        <v>53</v>
      </c>
      <c r="F4286">
        <v>6332.98</v>
      </c>
      <c r="G4286">
        <v>3410.46</v>
      </c>
      <c r="H4286" t="str">
        <f>VLOOKUP(myynnit[[#This Row],[TuoteID]],ohjaus!$A$4:$B$20,2,FALSE)</f>
        <v>Rahi</v>
      </c>
    </row>
    <row r="4287" spans="1:8" x14ac:dyDescent="0.35">
      <c r="A4287" t="s">
        <v>37</v>
      </c>
      <c r="B4287">
        <v>2017</v>
      </c>
      <c r="C4287">
        <v>4</v>
      </c>
      <c r="D4287">
        <v>12622</v>
      </c>
      <c r="E4287">
        <v>48</v>
      </c>
      <c r="F4287">
        <v>14747.57</v>
      </c>
      <c r="G4287">
        <v>8058.87</v>
      </c>
      <c r="H4287" t="str">
        <f>VLOOKUP(myynnit[[#This Row],[TuoteID]],ohjaus!$A$4:$B$20,2,FALSE)</f>
        <v>Pianotuoli</v>
      </c>
    </row>
    <row r="4288" spans="1:8" x14ac:dyDescent="0.35">
      <c r="A4288" t="s">
        <v>37</v>
      </c>
      <c r="B4288">
        <v>2017</v>
      </c>
      <c r="C4288">
        <v>4</v>
      </c>
      <c r="D4288">
        <v>13527</v>
      </c>
      <c r="E4288">
        <v>679</v>
      </c>
      <c r="F4288">
        <v>109531.67</v>
      </c>
      <c r="G4288">
        <v>23021.78</v>
      </c>
      <c r="H4288" t="str">
        <f>VLOOKUP(myynnit[[#This Row],[TuoteID]],ohjaus!$A$4:$B$20,2,FALSE)</f>
        <v>Pinnatuoli</v>
      </c>
    </row>
    <row r="4289" spans="1:8" x14ac:dyDescent="0.35">
      <c r="A4289" t="s">
        <v>37</v>
      </c>
      <c r="B4289">
        <v>2017</v>
      </c>
      <c r="C4289">
        <v>4</v>
      </c>
      <c r="D4289">
        <v>13618</v>
      </c>
      <c r="E4289">
        <v>24</v>
      </c>
      <c r="F4289">
        <v>10531.7</v>
      </c>
      <c r="G4289">
        <v>4705.8999999999996</v>
      </c>
      <c r="H4289" t="str">
        <f>VLOOKUP(myynnit[[#This Row],[TuoteID]],ohjaus!$A$4:$B$20,2,FALSE)</f>
        <v>Pianotuoli</v>
      </c>
    </row>
    <row r="4290" spans="1:8" x14ac:dyDescent="0.35">
      <c r="A4290" t="s">
        <v>37</v>
      </c>
      <c r="B4290">
        <v>2017</v>
      </c>
      <c r="C4290">
        <v>4</v>
      </c>
      <c r="D4290">
        <v>16024</v>
      </c>
      <c r="E4290">
        <v>240</v>
      </c>
      <c r="F4290">
        <v>94266.34</v>
      </c>
      <c r="G4290">
        <v>24676.9</v>
      </c>
      <c r="H4290" t="str">
        <f>VLOOKUP(myynnit[[#This Row],[TuoteID]],ohjaus!$A$4:$B$20,2,FALSE)</f>
        <v>Työtuoli</v>
      </c>
    </row>
    <row r="4291" spans="1:8" x14ac:dyDescent="0.35">
      <c r="A4291" t="s">
        <v>37</v>
      </c>
      <c r="B4291">
        <v>2017</v>
      </c>
      <c r="C4291">
        <v>4</v>
      </c>
      <c r="D4291">
        <v>16650</v>
      </c>
      <c r="E4291">
        <v>61</v>
      </c>
      <c r="F4291">
        <v>9443.7199999999993</v>
      </c>
      <c r="G4291">
        <v>4744.55</v>
      </c>
      <c r="H4291" t="str">
        <f>VLOOKUP(myynnit[[#This Row],[TuoteID]],ohjaus!$A$4:$B$20,2,FALSE)</f>
        <v>Rahi</v>
      </c>
    </row>
    <row r="4292" spans="1:8" x14ac:dyDescent="0.35">
      <c r="A4292" t="s">
        <v>37</v>
      </c>
      <c r="B4292">
        <v>2017</v>
      </c>
      <c r="C4292">
        <v>4</v>
      </c>
      <c r="D4292">
        <v>17892</v>
      </c>
      <c r="E4292">
        <v>153</v>
      </c>
      <c r="F4292">
        <v>21868.6</v>
      </c>
      <c r="G4292">
        <v>5615.95</v>
      </c>
      <c r="H4292" t="str">
        <f>VLOOKUP(myynnit[[#This Row],[TuoteID]],ohjaus!$A$4:$B$20,2,FALSE)</f>
        <v>Lepotuoli</v>
      </c>
    </row>
    <row r="4293" spans="1:8" x14ac:dyDescent="0.35">
      <c r="A4293" t="s">
        <v>37</v>
      </c>
      <c r="B4293">
        <v>2017</v>
      </c>
      <c r="C4293">
        <v>4</v>
      </c>
      <c r="D4293">
        <v>18342</v>
      </c>
      <c r="E4293">
        <v>171</v>
      </c>
      <c r="F4293">
        <v>151756.42000000001</v>
      </c>
      <c r="G4293">
        <v>38855.050000000003</v>
      </c>
      <c r="H4293" t="str">
        <f>VLOOKUP(myynnit[[#This Row],[TuoteID]],ohjaus!$A$4:$B$20,2,FALSE)</f>
        <v>Työtuoli</v>
      </c>
    </row>
    <row r="4294" spans="1:8" x14ac:dyDescent="0.35">
      <c r="A4294" t="s">
        <v>37</v>
      </c>
      <c r="B4294">
        <v>2017</v>
      </c>
      <c r="C4294">
        <v>4</v>
      </c>
      <c r="D4294">
        <v>20177</v>
      </c>
      <c r="E4294">
        <v>77</v>
      </c>
      <c r="F4294">
        <v>8525.6299999999992</v>
      </c>
      <c r="G4294">
        <v>2773.1</v>
      </c>
      <c r="H4294" t="str">
        <f>VLOOKUP(myynnit[[#This Row],[TuoteID]],ohjaus!$A$4:$B$20,2,FALSE)</f>
        <v>Säkkituoli</v>
      </c>
    </row>
    <row r="4295" spans="1:8" x14ac:dyDescent="0.35">
      <c r="A4295" t="s">
        <v>37</v>
      </c>
      <c r="B4295">
        <v>2017</v>
      </c>
      <c r="C4295">
        <v>4</v>
      </c>
      <c r="D4295">
        <v>21179</v>
      </c>
      <c r="E4295">
        <v>50</v>
      </c>
      <c r="F4295">
        <v>5022.84</v>
      </c>
      <c r="G4295">
        <v>2056.73</v>
      </c>
      <c r="H4295" t="str">
        <f>VLOOKUP(myynnit[[#This Row],[TuoteID]],ohjaus!$A$4:$B$20,2,FALSE)</f>
        <v>Rahi</v>
      </c>
    </row>
    <row r="4296" spans="1:8" x14ac:dyDescent="0.35">
      <c r="A4296" t="s">
        <v>37</v>
      </c>
      <c r="B4296">
        <v>2017</v>
      </c>
      <c r="C4296">
        <v>4</v>
      </c>
      <c r="D4296">
        <v>21260</v>
      </c>
      <c r="E4296">
        <v>105</v>
      </c>
      <c r="F4296">
        <v>18322.759999999998</v>
      </c>
      <c r="G4296">
        <v>5498.94</v>
      </c>
      <c r="H4296" t="str">
        <f>VLOOKUP(myynnit[[#This Row],[TuoteID]],ohjaus!$A$4:$B$20,2,FALSE)</f>
        <v>Lepotuoli</v>
      </c>
    </row>
    <row r="4297" spans="1:8" x14ac:dyDescent="0.35">
      <c r="A4297" t="s">
        <v>37</v>
      </c>
      <c r="B4297">
        <v>2017</v>
      </c>
      <c r="C4297">
        <v>4</v>
      </c>
      <c r="D4297">
        <v>22317</v>
      </c>
      <c r="E4297">
        <v>45</v>
      </c>
      <c r="F4297">
        <v>3975.46</v>
      </c>
      <c r="G4297">
        <v>1517.7</v>
      </c>
      <c r="H4297" t="str">
        <f>VLOOKUP(myynnit[[#This Row],[TuoteID]],ohjaus!$A$4:$B$20,2,FALSE)</f>
        <v>Säkkituoli</v>
      </c>
    </row>
    <row r="4298" spans="1:8" x14ac:dyDescent="0.35">
      <c r="A4298" t="s">
        <v>37</v>
      </c>
      <c r="B4298">
        <v>2017</v>
      </c>
      <c r="C4298">
        <v>4</v>
      </c>
      <c r="D4298">
        <v>22940</v>
      </c>
      <c r="E4298">
        <v>850</v>
      </c>
      <c r="F4298">
        <v>102545.86</v>
      </c>
      <c r="G4298">
        <v>22439.360000000001</v>
      </c>
      <c r="H4298" t="str">
        <f>VLOOKUP(myynnit[[#This Row],[TuoteID]],ohjaus!$A$4:$B$20,2,FALSE)</f>
        <v>Pinnatuoli</v>
      </c>
    </row>
    <row r="4299" spans="1:8" x14ac:dyDescent="0.35">
      <c r="A4299" t="s">
        <v>37</v>
      </c>
      <c r="B4299">
        <v>2017</v>
      </c>
      <c r="C4299">
        <v>4</v>
      </c>
      <c r="D4299">
        <v>23178</v>
      </c>
      <c r="E4299">
        <v>450</v>
      </c>
      <c r="F4299">
        <v>75340.3</v>
      </c>
      <c r="G4299">
        <v>12141.61</v>
      </c>
      <c r="H4299" t="str">
        <f>VLOOKUP(myynnit[[#This Row],[TuoteID]],ohjaus!$A$4:$B$20,2,FALSE)</f>
        <v>Pinnatuoli</v>
      </c>
    </row>
    <row r="4300" spans="1:8" x14ac:dyDescent="0.35">
      <c r="A4300" t="s">
        <v>37</v>
      </c>
      <c r="B4300">
        <v>2017</v>
      </c>
      <c r="C4300">
        <v>4</v>
      </c>
      <c r="D4300">
        <v>23600</v>
      </c>
      <c r="E4300">
        <v>1412</v>
      </c>
      <c r="F4300">
        <v>144213.65</v>
      </c>
      <c r="G4300">
        <v>29004.57</v>
      </c>
      <c r="H4300" t="str">
        <f>VLOOKUP(myynnit[[#This Row],[TuoteID]],ohjaus!$A$4:$B$20,2,FALSE)</f>
        <v>Pinnatuoli</v>
      </c>
    </row>
    <row r="4301" spans="1:8" x14ac:dyDescent="0.35">
      <c r="A4301" t="s">
        <v>37</v>
      </c>
      <c r="B4301">
        <v>2017</v>
      </c>
      <c r="C4301">
        <v>4</v>
      </c>
      <c r="D4301">
        <v>23756</v>
      </c>
      <c r="E4301">
        <v>129</v>
      </c>
      <c r="F4301">
        <v>24089.040000000001</v>
      </c>
      <c r="G4301">
        <v>11096.88</v>
      </c>
      <c r="H4301" t="str">
        <f>VLOOKUP(myynnit[[#This Row],[TuoteID]],ohjaus!$A$4:$B$20,2,FALSE)</f>
        <v>Pianotuoli</v>
      </c>
    </row>
    <row r="4302" spans="1:8" x14ac:dyDescent="0.35">
      <c r="A4302" t="s">
        <v>37</v>
      </c>
      <c r="B4302">
        <v>2017</v>
      </c>
      <c r="C4302">
        <v>4</v>
      </c>
      <c r="D4302">
        <v>24326</v>
      </c>
      <c r="E4302">
        <v>128</v>
      </c>
      <c r="F4302">
        <v>18542.349999999999</v>
      </c>
      <c r="G4302">
        <v>5145.75</v>
      </c>
      <c r="H4302" t="str">
        <f>VLOOKUP(myynnit[[#This Row],[TuoteID]],ohjaus!$A$4:$B$20,2,FALSE)</f>
        <v>Lepotuoli</v>
      </c>
    </row>
    <row r="4303" spans="1:8" x14ac:dyDescent="0.35">
      <c r="A4303" t="s">
        <v>40</v>
      </c>
      <c r="B4303">
        <v>2017</v>
      </c>
      <c r="C4303">
        <v>4</v>
      </c>
      <c r="D4303">
        <v>12184</v>
      </c>
      <c r="E4303">
        <v>35</v>
      </c>
      <c r="F4303">
        <v>4477.43</v>
      </c>
      <c r="G4303">
        <v>2199.2399999999998</v>
      </c>
      <c r="H4303" t="str">
        <f>VLOOKUP(myynnit[[#This Row],[TuoteID]],ohjaus!$A$4:$B$20,2,FALSE)</f>
        <v>Rahi</v>
      </c>
    </row>
    <row r="4304" spans="1:8" x14ac:dyDescent="0.35">
      <c r="A4304" t="s">
        <v>40</v>
      </c>
      <c r="B4304">
        <v>2017</v>
      </c>
      <c r="C4304">
        <v>4</v>
      </c>
      <c r="D4304">
        <v>12622</v>
      </c>
      <c r="E4304">
        <v>19</v>
      </c>
      <c r="F4304">
        <v>5102.24</v>
      </c>
      <c r="G4304">
        <v>1816.22</v>
      </c>
      <c r="H4304" t="str">
        <f>VLOOKUP(myynnit[[#This Row],[TuoteID]],ohjaus!$A$4:$B$20,2,FALSE)</f>
        <v>Pianotuoli</v>
      </c>
    </row>
    <row r="4305" spans="1:8" x14ac:dyDescent="0.35">
      <c r="A4305" t="s">
        <v>40</v>
      </c>
      <c r="B4305">
        <v>2017</v>
      </c>
      <c r="C4305">
        <v>4</v>
      </c>
      <c r="D4305">
        <v>13527</v>
      </c>
      <c r="E4305">
        <v>177</v>
      </c>
      <c r="F4305">
        <v>26232.82</v>
      </c>
      <c r="G4305">
        <v>5296.02</v>
      </c>
      <c r="H4305" t="str">
        <f>VLOOKUP(myynnit[[#This Row],[TuoteID]],ohjaus!$A$4:$B$20,2,FALSE)</f>
        <v>Pinnatuoli</v>
      </c>
    </row>
    <row r="4306" spans="1:8" x14ac:dyDescent="0.35">
      <c r="A4306" t="s">
        <v>40</v>
      </c>
      <c r="B4306">
        <v>2017</v>
      </c>
      <c r="C4306">
        <v>4</v>
      </c>
      <c r="D4306">
        <v>13618</v>
      </c>
      <c r="E4306">
        <v>3</v>
      </c>
      <c r="F4306">
        <v>1281.76</v>
      </c>
      <c r="G4306">
        <v>496.65</v>
      </c>
      <c r="H4306" t="str">
        <f>VLOOKUP(myynnit[[#This Row],[TuoteID]],ohjaus!$A$4:$B$20,2,FALSE)</f>
        <v>Pianotuoli</v>
      </c>
    </row>
    <row r="4307" spans="1:8" x14ac:dyDescent="0.35">
      <c r="A4307" t="s">
        <v>40</v>
      </c>
      <c r="B4307">
        <v>2017</v>
      </c>
      <c r="C4307">
        <v>4</v>
      </c>
      <c r="D4307">
        <v>16024</v>
      </c>
      <c r="E4307">
        <v>128</v>
      </c>
      <c r="F4307">
        <v>51922.36</v>
      </c>
      <c r="G4307">
        <v>16088.97</v>
      </c>
      <c r="H4307" t="str">
        <f>VLOOKUP(myynnit[[#This Row],[TuoteID]],ohjaus!$A$4:$B$20,2,FALSE)</f>
        <v>Työtuoli</v>
      </c>
    </row>
    <row r="4308" spans="1:8" x14ac:dyDescent="0.35">
      <c r="A4308" t="s">
        <v>40</v>
      </c>
      <c r="B4308">
        <v>2017</v>
      </c>
      <c r="C4308">
        <v>4</v>
      </c>
      <c r="D4308">
        <v>16650</v>
      </c>
      <c r="E4308">
        <v>32</v>
      </c>
      <c r="F4308">
        <v>4871.34</v>
      </c>
      <c r="G4308">
        <v>2818.24</v>
      </c>
      <c r="H4308" t="str">
        <f>VLOOKUP(myynnit[[#This Row],[TuoteID]],ohjaus!$A$4:$B$20,2,FALSE)</f>
        <v>Rahi</v>
      </c>
    </row>
    <row r="4309" spans="1:8" x14ac:dyDescent="0.35">
      <c r="A4309" t="s">
        <v>40</v>
      </c>
      <c r="B4309">
        <v>2017</v>
      </c>
      <c r="C4309">
        <v>4</v>
      </c>
      <c r="D4309">
        <v>17892</v>
      </c>
      <c r="E4309">
        <v>53</v>
      </c>
      <c r="F4309">
        <v>7306.33</v>
      </c>
      <c r="G4309">
        <v>1991.22</v>
      </c>
      <c r="H4309" t="str">
        <f>VLOOKUP(myynnit[[#This Row],[TuoteID]],ohjaus!$A$4:$B$20,2,FALSE)</f>
        <v>Lepotuoli</v>
      </c>
    </row>
    <row r="4310" spans="1:8" x14ac:dyDescent="0.35">
      <c r="A4310" t="s">
        <v>40</v>
      </c>
      <c r="B4310">
        <v>2017</v>
      </c>
      <c r="C4310">
        <v>4</v>
      </c>
      <c r="D4310">
        <v>18342</v>
      </c>
      <c r="E4310">
        <v>28</v>
      </c>
      <c r="F4310">
        <v>21527.68</v>
      </c>
      <c r="G4310">
        <v>6120.2</v>
      </c>
      <c r="H4310" t="str">
        <f>VLOOKUP(myynnit[[#This Row],[TuoteID]],ohjaus!$A$4:$B$20,2,FALSE)</f>
        <v>Työtuoli</v>
      </c>
    </row>
    <row r="4311" spans="1:8" x14ac:dyDescent="0.35">
      <c r="A4311" t="s">
        <v>40</v>
      </c>
      <c r="B4311">
        <v>2017</v>
      </c>
      <c r="C4311">
        <v>4</v>
      </c>
      <c r="D4311">
        <v>20177</v>
      </c>
      <c r="E4311">
        <v>19</v>
      </c>
      <c r="F4311">
        <v>2119.5700000000002</v>
      </c>
      <c r="G4311">
        <v>821.01</v>
      </c>
      <c r="H4311" t="str">
        <f>VLOOKUP(myynnit[[#This Row],[TuoteID]],ohjaus!$A$4:$B$20,2,FALSE)</f>
        <v>Säkkituoli</v>
      </c>
    </row>
    <row r="4312" spans="1:8" x14ac:dyDescent="0.35">
      <c r="A4312" t="s">
        <v>40</v>
      </c>
      <c r="B4312">
        <v>2017</v>
      </c>
      <c r="C4312">
        <v>4</v>
      </c>
      <c r="D4312">
        <v>21179</v>
      </c>
      <c r="E4312">
        <v>34</v>
      </c>
      <c r="F4312">
        <v>3994.59</v>
      </c>
      <c r="G4312">
        <v>2541.87</v>
      </c>
      <c r="H4312" t="str">
        <f>VLOOKUP(myynnit[[#This Row],[TuoteID]],ohjaus!$A$4:$B$20,2,FALSE)</f>
        <v>Rahi</v>
      </c>
    </row>
    <row r="4313" spans="1:8" x14ac:dyDescent="0.35">
      <c r="A4313" t="s">
        <v>40</v>
      </c>
      <c r="B4313">
        <v>2017</v>
      </c>
      <c r="C4313">
        <v>4</v>
      </c>
      <c r="D4313">
        <v>21260</v>
      </c>
      <c r="E4313">
        <v>24</v>
      </c>
      <c r="F4313">
        <v>4707.28</v>
      </c>
      <c r="G4313">
        <v>1241.42</v>
      </c>
      <c r="H4313" t="str">
        <f>VLOOKUP(myynnit[[#This Row],[TuoteID]],ohjaus!$A$4:$B$20,2,FALSE)</f>
        <v>Lepotuoli</v>
      </c>
    </row>
    <row r="4314" spans="1:8" x14ac:dyDescent="0.35">
      <c r="A4314" t="s">
        <v>40</v>
      </c>
      <c r="B4314">
        <v>2017</v>
      </c>
      <c r="C4314">
        <v>4</v>
      </c>
      <c r="D4314">
        <v>22317</v>
      </c>
      <c r="E4314">
        <v>14</v>
      </c>
      <c r="F4314">
        <v>1392.09</v>
      </c>
      <c r="G4314">
        <v>695.63</v>
      </c>
      <c r="H4314" t="str">
        <f>VLOOKUP(myynnit[[#This Row],[TuoteID]],ohjaus!$A$4:$B$20,2,FALSE)</f>
        <v>Säkkituoli</v>
      </c>
    </row>
    <row r="4315" spans="1:8" x14ac:dyDescent="0.35">
      <c r="A4315" t="s">
        <v>40</v>
      </c>
      <c r="B4315">
        <v>2017</v>
      </c>
      <c r="C4315">
        <v>4</v>
      </c>
      <c r="D4315">
        <v>22940</v>
      </c>
      <c r="E4315">
        <v>178</v>
      </c>
      <c r="F4315">
        <v>25275.85</v>
      </c>
      <c r="G4315">
        <v>7011.64</v>
      </c>
      <c r="H4315" t="str">
        <f>VLOOKUP(myynnit[[#This Row],[TuoteID]],ohjaus!$A$4:$B$20,2,FALSE)</f>
        <v>Pinnatuoli</v>
      </c>
    </row>
    <row r="4316" spans="1:8" x14ac:dyDescent="0.35">
      <c r="A4316" t="s">
        <v>40</v>
      </c>
      <c r="B4316">
        <v>2017</v>
      </c>
      <c r="C4316">
        <v>4</v>
      </c>
      <c r="D4316">
        <v>23178</v>
      </c>
      <c r="E4316">
        <v>207</v>
      </c>
      <c r="F4316">
        <v>38541.21</v>
      </c>
      <c r="G4316">
        <v>8585.64</v>
      </c>
      <c r="H4316" t="str">
        <f>VLOOKUP(myynnit[[#This Row],[TuoteID]],ohjaus!$A$4:$B$20,2,FALSE)</f>
        <v>Pinnatuoli</v>
      </c>
    </row>
    <row r="4317" spans="1:8" x14ac:dyDescent="0.35">
      <c r="A4317" t="s">
        <v>40</v>
      </c>
      <c r="B4317">
        <v>2017</v>
      </c>
      <c r="C4317">
        <v>4</v>
      </c>
      <c r="D4317">
        <v>23600</v>
      </c>
      <c r="E4317">
        <v>654</v>
      </c>
      <c r="F4317">
        <v>78522.149999999994</v>
      </c>
      <c r="G4317">
        <v>19478.419999999998</v>
      </c>
      <c r="H4317" t="str">
        <f>VLOOKUP(myynnit[[#This Row],[TuoteID]],ohjaus!$A$4:$B$20,2,FALSE)</f>
        <v>Pinnatuoli</v>
      </c>
    </row>
    <row r="4318" spans="1:8" x14ac:dyDescent="0.35">
      <c r="A4318" t="s">
        <v>40</v>
      </c>
      <c r="B4318">
        <v>2017</v>
      </c>
      <c r="C4318">
        <v>4</v>
      </c>
      <c r="D4318">
        <v>23756</v>
      </c>
      <c r="E4318">
        <v>84</v>
      </c>
      <c r="F4318">
        <v>15694.56</v>
      </c>
      <c r="G4318">
        <v>7216.4</v>
      </c>
      <c r="H4318" t="str">
        <f>VLOOKUP(myynnit[[#This Row],[TuoteID]],ohjaus!$A$4:$B$20,2,FALSE)</f>
        <v>Pianotuoli</v>
      </c>
    </row>
    <row r="4319" spans="1:8" x14ac:dyDescent="0.35">
      <c r="A4319" t="s">
        <v>40</v>
      </c>
      <c r="B4319">
        <v>2017</v>
      </c>
      <c r="C4319">
        <v>4</v>
      </c>
      <c r="D4319">
        <v>24326</v>
      </c>
      <c r="E4319">
        <v>18</v>
      </c>
      <c r="F4319">
        <v>2820.63</v>
      </c>
      <c r="G4319">
        <v>805.81</v>
      </c>
      <c r="H4319" t="str">
        <f>VLOOKUP(myynnit[[#This Row],[TuoteID]],ohjaus!$A$4:$B$20,2,FALSE)</f>
        <v>Lepotuoli</v>
      </c>
    </row>
    <row r="4320" spans="1:8" x14ac:dyDescent="0.35">
      <c r="A4320" t="s">
        <v>39</v>
      </c>
      <c r="B4320">
        <v>2017</v>
      </c>
      <c r="C4320">
        <v>4</v>
      </c>
      <c r="D4320">
        <v>12184</v>
      </c>
      <c r="E4320">
        <v>58</v>
      </c>
      <c r="F4320">
        <v>5911.15</v>
      </c>
      <c r="G4320">
        <v>4121.8900000000003</v>
      </c>
      <c r="H4320" t="str">
        <f>VLOOKUP(myynnit[[#This Row],[TuoteID]],ohjaus!$A$4:$B$20,2,FALSE)</f>
        <v>Rahi</v>
      </c>
    </row>
    <row r="4321" spans="1:8" x14ac:dyDescent="0.35">
      <c r="A4321" t="s">
        <v>39</v>
      </c>
      <c r="B4321">
        <v>2017</v>
      </c>
      <c r="C4321">
        <v>4</v>
      </c>
      <c r="D4321">
        <v>12622</v>
      </c>
      <c r="E4321">
        <v>61</v>
      </c>
      <c r="F4321">
        <v>16421.28</v>
      </c>
      <c r="G4321">
        <v>8597.34</v>
      </c>
      <c r="H4321" t="str">
        <f>VLOOKUP(myynnit[[#This Row],[TuoteID]],ohjaus!$A$4:$B$20,2,FALSE)</f>
        <v>Pianotuoli</v>
      </c>
    </row>
    <row r="4322" spans="1:8" x14ac:dyDescent="0.35">
      <c r="A4322" t="s">
        <v>39</v>
      </c>
      <c r="B4322">
        <v>2017</v>
      </c>
      <c r="C4322">
        <v>4</v>
      </c>
      <c r="D4322">
        <v>13527</v>
      </c>
      <c r="E4322">
        <v>278</v>
      </c>
      <c r="F4322">
        <v>49152.62</v>
      </c>
      <c r="G4322">
        <v>12186.26</v>
      </c>
      <c r="H4322" t="str">
        <f>VLOOKUP(myynnit[[#This Row],[TuoteID]],ohjaus!$A$4:$B$20,2,FALSE)</f>
        <v>Pinnatuoli</v>
      </c>
    </row>
    <row r="4323" spans="1:8" x14ac:dyDescent="0.35">
      <c r="A4323" t="s">
        <v>39</v>
      </c>
      <c r="B4323">
        <v>2017</v>
      </c>
      <c r="C4323">
        <v>4</v>
      </c>
      <c r="D4323">
        <v>13618</v>
      </c>
      <c r="E4323">
        <v>21</v>
      </c>
      <c r="F4323">
        <v>8494.9599999999991</v>
      </c>
      <c r="G4323">
        <v>4412.1000000000004</v>
      </c>
      <c r="H4323" t="str">
        <f>VLOOKUP(myynnit[[#This Row],[TuoteID]],ohjaus!$A$4:$B$20,2,FALSE)</f>
        <v>Pianotuoli</v>
      </c>
    </row>
    <row r="4324" spans="1:8" x14ac:dyDescent="0.35">
      <c r="A4324" t="s">
        <v>39</v>
      </c>
      <c r="B4324">
        <v>2017</v>
      </c>
      <c r="C4324">
        <v>4</v>
      </c>
      <c r="D4324">
        <v>16024</v>
      </c>
      <c r="E4324">
        <v>235</v>
      </c>
      <c r="F4324">
        <v>101041.77</v>
      </c>
      <c r="G4324">
        <v>31049.7</v>
      </c>
      <c r="H4324" t="str">
        <f>VLOOKUP(myynnit[[#This Row],[TuoteID]],ohjaus!$A$4:$B$20,2,FALSE)</f>
        <v>Työtuoli</v>
      </c>
    </row>
    <row r="4325" spans="1:8" x14ac:dyDescent="0.35">
      <c r="A4325" t="s">
        <v>39</v>
      </c>
      <c r="B4325">
        <v>2017</v>
      </c>
      <c r="C4325">
        <v>4</v>
      </c>
      <c r="D4325">
        <v>16650</v>
      </c>
      <c r="E4325">
        <v>26</v>
      </c>
      <c r="F4325">
        <v>4636.59</v>
      </c>
      <c r="G4325">
        <v>2679.67</v>
      </c>
      <c r="H4325" t="str">
        <f>VLOOKUP(myynnit[[#This Row],[TuoteID]],ohjaus!$A$4:$B$20,2,FALSE)</f>
        <v>Rahi</v>
      </c>
    </row>
    <row r="4326" spans="1:8" x14ac:dyDescent="0.35">
      <c r="A4326" t="s">
        <v>39</v>
      </c>
      <c r="B4326">
        <v>2017</v>
      </c>
      <c r="C4326">
        <v>4</v>
      </c>
      <c r="D4326">
        <v>17892</v>
      </c>
      <c r="E4326">
        <v>104</v>
      </c>
      <c r="F4326">
        <v>15927.11</v>
      </c>
      <c r="G4326">
        <v>4425.2</v>
      </c>
      <c r="H4326" t="str">
        <f>VLOOKUP(myynnit[[#This Row],[TuoteID]],ohjaus!$A$4:$B$20,2,FALSE)</f>
        <v>Lepotuoli</v>
      </c>
    </row>
    <row r="4327" spans="1:8" x14ac:dyDescent="0.35">
      <c r="A4327" t="s">
        <v>39</v>
      </c>
      <c r="B4327">
        <v>2017</v>
      </c>
      <c r="C4327">
        <v>4</v>
      </c>
      <c r="D4327">
        <v>18342</v>
      </c>
      <c r="E4327">
        <v>134</v>
      </c>
      <c r="F4327">
        <v>125532.41</v>
      </c>
      <c r="G4327">
        <v>34597.22</v>
      </c>
      <c r="H4327" t="str">
        <f>VLOOKUP(myynnit[[#This Row],[TuoteID]],ohjaus!$A$4:$B$20,2,FALSE)</f>
        <v>Työtuoli</v>
      </c>
    </row>
    <row r="4328" spans="1:8" x14ac:dyDescent="0.35">
      <c r="A4328" t="s">
        <v>39</v>
      </c>
      <c r="B4328">
        <v>2017</v>
      </c>
      <c r="C4328">
        <v>4</v>
      </c>
      <c r="D4328">
        <v>20177</v>
      </c>
      <c r="E4328">
        <v>55</v>
      </c>
      <c r="F4328">
        <v>5405.47</v>
      </c>
      <c r="G4328">
        <v>2174.98</v>
      </c>
      <c r="H4328" t="str">
        <f>VLOOKUP(myynnit[[#This Row],[TuoteID]],ohjaus!$A$4:$B$20,2,FALSE)</f>
        <v>Säkkituoli</v>
      </c>
    </row>
    <row r="4329" spans="1:8" x14ac:dyDescent="0.35">
      <c r="A4329" t="s">
        <v>39</v>
      </c>
      <c r="B4329">
        <v>2017</v>
      </c>
      <c r="C4329">
        <v>4</v>
      </c>
      <c r="D4329">
        <v>21179</v>
      </c>
      <c r="E4329">
        <v>30</v>
      </c>
      <c r="F4329">
        <v>4449.96</v>
      </c>
      <c r="G4329">
        <v>3136.62</v>
      </c>
      <c r="H4329" t="str">
        <f>VLOOKUP(myynnit[[#This Row],[TuoteID]],ohjaus!$A$4:$B$20,2,FALSE)</f>
        <v>Rahi</v>
      </c>
    </row>
    <row r="4330" spans="1:8" x14ac:dyDescent="0.35">
      <c r="A4330" t="s">
        <v>39</v>
      </c>
      <c r="B4330">
        <v>2017</v>
      </c>
      <c r="C4330">
        <v>4</v>
      </c>
      <c r="D4330">
        <v>21260</v>
      </c>
      <c r="E4330">
        <v>55</v>
      </c>
      <c r="F4330">
        <v>9746.7000000000007</v>
      </c>
      <c r="G4330">
        <v>3459.67</v>
      </c>
      <c r="H4330" t="str">
        <f>VLOOKUP(myynnit[[#This Row],[TuoteID]],ohjaus!$A$4:$B$20,2,FALSE)</f>
        <v>Lepotuoli</v>
      </c>
    </row>
    <row r="4331" spans="1:8" x14ac:dyDescent="0.35">
      <c r="A4331" t="s">
        <v>39</v>
      </c>
      <c r="B4331">
        <v>2017</v>
      </c>
      <c r="C4331">
        <v>4</v>
      </c>
      <c r="D4331">
        <v>22317</v>
      </c>
      <c r="E4331">
        <v>50</v>
      </c>
      <c r="F4331">
        <v>4789.42</v>
      </c>
      <c r="G4331">
        <v>2271.33</v>
      </c>
      <c r="H4331" t="str">
        <f>VLOOKUP(myynnit[[#This Row],[TuoteID]],ohjaus!$A$4:$B$20,2,FALSE)</f>
        <v>Säkkituoli</v>
      </c>
    </row>
    <row r="4332" spans="1:8" x14ac:dyDescent="0.35">
      <c r="A4332" t="s">
        <v>39</v>
      </c>
      <c r="B4332">
        <v>2017</v>
      </c>
      <c r="C4332">
        <v>4</v>
      </c>
      <c r="D4332">
        <v>22940</v>
      </c>
      <c r="E4332">
        <v>320</v>
      </c>
      <c r="F4332">
        <v>45542.31</v>
      </c>
      <c r="G4332">
        <v>12034.09</v>
      </c>
      <c r="H4332" t="str">
        <f>VLOOKUP(myynnit[[#This Row],[TuoteID]],ohjaus!$A$4:$B$20,2,FALSE)</f>
        <v>Pinnatuoli</v>
      </c>
    </row>
    <row r="4333" spans="1:8" x14ac:dyDescent="0.35">
      <c r="A4333" t="s">
        <v>39</v>
      </c>
      <c r="B4333">
        <v>2017</v>
      </c>
      <c r="C4333">
        <v>4</v>
      </c>
      <c r="D4333">
        <v>23178</v>
      </c>
      <c r="E4333">
        <v>125</v>
      </c>
      <c r="F4333">
        <v>24561.040000000001</v>
      </c>
      <c r="G4333">
        <v>5475.2</v>
      </c>
      <c r="H4333" t="str">
        <f>VLOOKUP(myynnit[[#This Row],[TuoteID]],ohjaus!$A$4:$B$20,2,FALSE)</f>
        <v>Pinnatuoli</v>
      </c>
    </row>
    <row r="4334" spans="1:8" x14ac:dyDescent="0.35">
      <c r="A4334" t="s">
        <v>39</v>
      </c>
      <c r="B4334">
        <v>2017</v>
      </c>
      <c r="C4334">
        <v>4</v>
      </c>
      <c r="D4334">
        <v>23600</v>
      </c>
      <c r="E4334">
        <v>1036</v>
      </c>
      <c r="F4334">
        <v>125185</v>
      </c>
      <c r="G4334">
        <v>31327.82</v>
      </c>
      <c r="H4334" t="str">
        <f>VLOOKUP(myynnit[[#This Row],[TuoteID]],ohjaus!$A$4:$B$20,2,FALSE)</f>
        <v>Pinnatuoli</v>
      </c>
    </row>
    <row r="4335" spans="1:8" x14ac:dyDescent="0.35">
      <c r="A4335" t="s">
        <v>39</v>
      </c>
      <c r="B4335">
        <v>2017</v>
      </c>
      <c r="C4335">
        <v>4</v>
      </c>
      <c r="D4335">
        <v>23756</v>
      </c>
      <c r="E4335">
        <v>125</v>
      </c>
      <c r="F4335">
        <v>26176.46</v>
      </c>
      <c r="G4335">
        <v>14770.23</v>
      </c>
      <c r="H4335" t="str">
        <f>VLOOKUP(myynnit[[#This Row],[TuoteID]],ohjaus!$A$4:$B$20,2,FALSE)</f>
        <v>Pianotuoli</v>
      </c>
    </row>
    <row r="4336" spans="1:8" x14ac:dyDescent="0.35">
      <c r="A4336" t="s">
        <v>39</v>
      </c>
      <c r="B4336">
        <v>2017</v>
      </c>
      <c r="C4336">
        <v>4</v>
      </c>
      <c r="D4336">
        <v>24326</v>
      </c>
      <c r="E4336">
        <v>119</v>
      </c>
      <c r="F4336">
        <v>17093.650000000001</v>
      </c>
      <c r="G4336">
        <v>4742.3900000000003</v>
      </c>
      <c r="H4336" t="str">
        <f>VLOOKUP(myynnit[[#This Row],[TuoteID]],ohjaus!$A$4:$B$20,2,FALSE)</f>
        <v>Lepotuoli</v>
      </c>
    </row>
    <row r="4337" spans="1:8" x14ac:dyDescent="0.35">
      <c r="A4337" t="s">
        <v>38</v>
      </c>
      <c r="B4337">
        <v>2017</v>
      </c>
      <c r="C4337">
        <v>4</v>
      </c>
      <c r="D4337">
        <v>12184</v>
      </c>
      <c r="E4337">
        <v>89</v>
      </c>
      <c r="F4337">
        <v>12668.13</v>
      </c>
      <c r="G4337">
        <v>6894.1</v>
      </c>
      <c r="H4337" t="str">
        <f>VLOOKUP(myynnit[[#This Row],[TuoteID]],ohjaus!$A$4:$B$20,2,FALSE)</f>
        <v>Rahi</v>
      </c>
    </row>
    <row r="4338" spans="1:8" x14ac:dyDescent="0.35">
      <c r="A4338" t="s">
        <v>38</v>
      </c>
      <c r="B4338">
        <v>2017</v>
      </c>
      <c r="C4338">
        <v>4</v>
      </c>
      <c r="D4338">
        <v>12622</v>
      </c>
      <c r="E4338">
        <v>57</v>
      </c>
      <c r="F4338">
        <v>14861.81</v>
      </c>
      <c r="G4338">
        <v>6121.98</v>
      </c>
      <c r="H4338" t="str">
        <f>VLOOKUP(myynnit[[#This Row],[TuoteID]],ohjaus!$A$4:$B$20,2,FALSE)</f>
        <v>Pianotuoli</v>
      </c>
    </row>
    <row r="4339" spans="1:8" x14ac:dyDescent="0.35">
      <c r="A4339" t="s">
        <v>38</v>
      </c>
      <c r="B4339">
        <v>2017</v>
      </c>
      <c r="C4339">
        <v>4</v>
      </c>
      <c r="D4339">
        <v>13527</v>
      </c>
      <c r="E4339">
        <v>498</v>
      </c>
      <c r="F4339">
        <v>85840.43</v>
      </c>
      <c r="G4339">
        <v>17815.18</v>
      </c>
      <c r="H4339" t="str">
        <f>VLOOKUP(myynnit[[#This Row],[TuoteID]],ohjaus!$A$4:$B$20,2,FALSE)</f>
        <v>Pinnatuoli</v>
      </c>
    </row>
    <row r="4340" spans="1:8" x14ac:dyDescent="0.35">
      <c r="A4340" t="s">
        <v>38</v>
      </c>
      <c r="B4340">
        <v>2017</v>
      </c>
      <c r="C4340">
        <v>4</v>
      </c>
      <c r="D4340">
        <v>13618</v>
      </c>
      <c r="E4340">
        <v>16</v>
      </c>
      <c r="F4340">
        <v>6969.13</v>
      </c>
      <c r="G4340">
        <v>3777.29</v>
      </c>
      <c r="H4340" t="str">
        <f>VLOOKUP(myynnit[[#This Row],[TuoteID]],ohjaus!$A$4:$B$20,2,FALSE)</f>
        <v>Pianotuoli</v>
      </c>
    </row>
    <row r="4341" spans="1:8" x14ac:dyDescent="0.35">
      <c r="A4341" t="s">
        <v>38</v>
      </c>
      <c r="B4341">
        <v>2017</v>
      </c>
      <c r="C4341">
        <v>4</v>
      </c>
      <c r="D4341">
        <v>16024</v>
      </c>
      <c r="E4341">
        <v>126</v>
      </c>
      <c r="F4341">
        <v>56340.6</v>
      </c>
      <c r="G4341">
        <v>12435.96</v>
      </c>
      <c r="H4341" t="str">
        <f>VLOOKUP(myynnit[[#This Row],[TuoteID]],ohjaus!$A$4:$B$20,2,FALSE)</f>
        <v>Työtuoli</v>
      </c>
    </row>
    <row r="4342" spans="1:8" x14ac:dyDescent="0.35">
      <c r="A4342" t="s">
        <v>38</v>
      </c>
      <c r="B4342">
        <v>2017</v>
      </c>
      <c r="C4342">
        <v>4</v>
      </c>
      <c r="D4342">
        <v>16650</v>
      </c>
      <c r="E4342">
        <v>24</v>
      </c>
      <c r="F4342">
        <v>3535.68</v>
      </c>
      <c r="G4342">
        <v>2325.58</v>
      </c>
      <c r="H4342" t="str">
        <f>VLOOKUP(myynnit[[#This Row],[TuoteID]],ohjaus!$A$4:$B$20,2,FALSE)</f>
        <v>Rahi</v>
      </c>
    </row>
    <row r="4343" spans="1:8" x14ac:dyDescent="0.35">
      <c r="A4343" t="s">
        <v>38</v>
      </c>
      <c r="B4343">
        <v>2017</v>
      </c>
      <c r="C4343">
        <v>4</v>
      </c>
      <c r="D4343">
        <v>17892</v>
      </c>
      <c r="E4343">
        <v>56</v>
      </c>
      <c r="F4343">
        <v>8517.02</v>
      </c>
      <c r="G4343">
        <v>2287.85</v>
      </c>
      <c r="H4343" t="str">
        <f>VLOOKUP(myynnit[[#This Row],[TuoteID]],ohjaus!$A$4:$B$20,2,FALSE)</f>
        <v>Lepotuoli</v>
      </c>
    </row>
    <row r="4344" spans="1:8" x14ac:dyDescent="0.35">
      <c r="A4344" t="s">
        <v>38</v>
      </c>
      <c r="B4344">
        <v>2017</v>
      </c>
      <c r="C4344">
        <v>4</v>
      </c>
      <c r="D4344">
        <v>18342</v>
      </c>
      <c r="E4344">
        <v>192</v>
      </c>
      <c r="F4344">
        <v>141705.39000000001</v>
      </c>
      <c r="G4344">
        <v>31721.73</v>
      </c>
      <c r="H4344" t="str">
        <f>VLOOKUP(myynnit[[#This Row],[TuoteID]],ohjaus!$A$4:$B$20,2,FALSE)</f>
        <v>Työtuoli</v>
      </c>
    </row>
    <row r="4345" spans="1:8" x14ac:dyDescent="0.35">
      <c r="A4345" t="s">
        <v>38</v>
      </c>
      <c r="B4345">
        <v>2017</v>
      </c>
      <c r="C4345">
        <v>4</v>
      </c>
      <c r="D4345">
        <v>20177</v>
      </c>
      <c r="E4345">
        <v>49</v>
      </c>
      <c r="F4345">
        <v>4447.01</v>
      </c>
      <c r="G4345">
        <v>1645.35</v>
      </c>
      <c r="H4345" t="str">
        <f>VLOOKUP(myynnit[[#This Row],[TuoteID]],ohjaus!$A$4:$B$20,2,FALSE)</f>
        <v>Säkkituoli</v>
      </c>
    </row>
    <row r="4346" spans="1:8" x14ac:dyDescent="0.35">
      <c r="A4346" t="s">
        <v>38</v>
      </c>
      <c r="B4346">
        <v>2017</v>
      </c>
      <c r="C4346">
        <v>4</v>
      </c>
      <c r="D4346">
        <v>21179</v>
      </c>
      <c r="E4346">
        <v>61</v>
      </c>
      <c r="F4346">
        <v>8644.36</v>
      </c>
      <c r="G4346">
        <v>5024.75</v>
      </c>
      <c r="H4346" t="str">
        <f>VLOOKUP(myynnit[[#This Row],[TuoteID]],ohjaus!$A$4:$B$20,2,FALSE)</f>
        <v>Rahi</v>
      </c>
    </row>
    <row r="4347" spans="1:8" x14ac:dyDescent="0.35">
      <c r="A4347" t="s">
        <v>38</v>
      </c>
      <c r="B4347">
        <v>2017</v>
      </c>
      <c r="C4347">
        <v>4</v>
      </c>
      <c r="D4347">
        <v>21260</v>
      </c>
      <c r="E4347">
        <v>53</v>
      </c>
      <c r="F4347">
        <v>10031.68</v>
      </c>
      <c r="G4347">
        <v>2183.15</v>
      </c>
      <c r="H4347" t="str">
        <f>VLOOKUP(myynnit[[#This Row],[TuoteID]],ohjaus!$A$4:$B$20,2,FALSE)</f>
        <v>Lepotuoli</v>
      </c>
    </row>
    <row r="4348" spans="1:8" x14ac:dyDescent="0.35">
      <c r="A4348" t="s">
        <v>38</v>
      </c>
      <c r="B4348">
        <v>2017</v>
      </c>
      <c r="C4348">
        <v>4</v>
      </c>
      <c r="D4348">
        <v>22317</v>
      </c>
      <c r="E4348">
        <v>76</v>
      </c>
      <c r="F4348">
        <v>5806.68</v>
      </c>
      <c r="G4348">
        <v>2085.62</v>
      </c>
      <c r="H4348" t="str">
        <f>VLOOKUP(myynnit[[#This Row],[TuoteID]],ohjaus!$A$4:$B$20,2,FALSE)</f>
        <v>Säkkituoli</v>
      </c>
    </row>
    <row r="4349" spans="1:8" x14ac:dyDescent="0.35">
      <c r="A4349" t="s">
        <v>38</v>
      </c>
      <c r="B4349">
        <v>2017</v>
      </c>
      <c r="C4349">
        <v>4</v>
      </c>
      <c r="D4349">
        <v>22940</v>
      </c>
      <c r="E4349">
        <v>741</v>
      </c>
      <c r="F4349">
        <v>87829.88</v>
      </c>
      <c r="G4349">
        <v>20159.03</v>
      </c>
      <c r="H4349" t="str">
        <f>VLOOKUP(myynnit[[#This Row],[TuoteID]],ohjaus!$A$4:$B$20,2,FALSE)</f>
        <v>Pinnatuoli</v>
      </c>
    </row>
    <row r="4350" spans="1:8" x14ac:dyDescent="0.35">
      <c r="A4350" t="s">
        <v>38</v>
      </c>
      <c r="B4350">
        <v>2017</v>
      </c>
      <c r="C4350">
        <v>4</v>
      </c>
      <c r="D4350">
        <v>23178</v>
      </c>
      <c r="E4350">
        <v>214</v>
      </c>
      <c r="F4350">
        <v>34332.43</v>
      </c>
      <c r="G4350">
        <v>6581.17</v>
      </c>
      <c r="H4350" t="str">
        <f>VLOOKUP(myynnit[[#This Row],[TuoteID]],ohjaus!$A$4:$B$20,2,FALSE)</f>
        <v>Pinnatuoli</v>
      </c>
    </row>
    <row r="4351" spans="1:8" x14ac:dyDescent="0.35">
      <c r="A4351" t="s">
        <v>38</v>
      </c>
      <c r="B4351">
        <v>2017</v>
      </c>
      <c r="C4351">
        <v>4</v>
      </c>
      <c r="D4351">
        <v>23600</v>
      </c>
      <c r="E4351">
        <v>1122</v>
      </c>
      <c r="F4351">
        <v>123641.54</v>
      </c>
      <c r="G4351">
        <v>28174.76</v>
      </c>
      <c r="H4351" t="str">
        <f>VLOOKUP(myynnit[[#This Row],[TuoteID]],ohjaus!$A$4:$B$20,2,FALSE)</f>
        <v>Pinnatuoli</v>
      </c>
    </row>
    <row r="4352" spans="1:8" x14ac:dyDescent="0.35">
      <c r="A4352" t="s">
        <v>38</v>
      </c>
      <c r="B4352">
        <v>2017</v>
      </c>
      <c r="C4352">
        <v>4</v>
      </c>
      <c r="D4352">
        <v>23756</v>
      </c>
      <c r="E4352">
        <v>112</v>
      </c>
      <c r="F4352">
        <v>18172.43</v>
      </c>
      <c r="G4352">
        <v>9854.02</v>
      </c>
      <c r="H4352" t="str">
        <f>VLOOKUP(myynnit[[#This Row],[TuoteID]],ohjaus!$A$4:$B$20,2,FALSE)</f>
        <v>Pianotuoli</v>
      </c>
    </row>
    <row r="4353" spans="1:8" x14ac:dyDescent="0.35">
      <c r="A4353" t="s">
        <v>38</v>
      </c>
      <c r="B4353">
        <v>2017</v>
      </c>
      <c r="C4353">
        <v>4</v>
      </c>
      <c r="D4353">
        <v>24326</v>
      </c>
      <c r="E4353">
        <v>135</v>
      </c>
      <c r="F4353">
        <v>17056.169999999998</v>
      </c>
      <c r="G4353">
        <v>4831.5600000000004</v>
      </c>
      <c r="H4353" t="str">
        <f>VLOOKUP(myynnit[[#This Row],[TuoteID]],ohjaus!$A$4:$B$20,2,FALSE)</f>
        <v>Lepotuoli</v>
      </c>
    </row>
    <row r="4354" spans="1:8" x14ac:dyDescent="0.35">
      <c r="A4354" t="s">
        <v>37</v>
      </c>
      <c r="B4354">
        <v>2017</v>
      </c>
      <c r="C4354">
        <v>5</v>
      </c>
      <c r="D4354">
        <v>12184</v>
      </c>
      <c r="E4354">
        <v>72</v>
      </c>
      <c r="F4354">
        <v>8929.2999999999993</v>
      </c>
      <c r="G4354">
        <v>3593.42</v>
      </c>
      <c r="H4354" t="str">
        <f>VLOOKUP(myynnit[[#This Row],[TuoteID]],ohjaus!$A$4:$B$20,2,FALSE)</f>
        <v>Rahi</v>
      </c>
    </row>
    <row r="4355" spans="1:8" x14ac:dyDescent="0.35">
      <c r="A4355" t="s">
        <v>37</v>
      </c>
      <c r="B4355">
        <v>2017</v>
      </c>
      <c r="C4355">
        <v>5</v>
      </c>
      <c r="D4355">
        <v>12622</v>
      </c>
      <c r="E4355">
        <v>51</v>
      </c>
      <c r="F4355">
        <v>13176.65</v>
      </c>
      <c r="G4355">
        <v>6104.91</v>
      </c>
      <c r="H4355" t="str">
        <f>VLOOKUP(myynnit[[#This Row],[TuoteID]],ohjaus!$A$4:$B$20,2,FALSE)</f>
        <v>Pianotuoli</v>
      </c>
    </row>
    <row r="4356" spans="1:8" x14ac:dyDescent="0.35">
      <c r="A4356" t="s">
        <v>37</v>
      </c>
      <c r="B4356">
        <v>2017</v>
      </c>
      <c r="C4356">
        <v>5</v>
      </c>
      <c r="D4356">
        <v>13527</v>
      </c>
      <c r="E4356">
        <v>372</v>
      </c>
      <c r="F4356">
        <v>61538.84</v>
      </c>
      <c r="G4356">
        <v>12777.28</v>
      </c>
      <c r="H4356" t="str">
        <f>VLOOKUP(myynnit[[#This Row],[TuoteID]],ohjaus!$A$4:$B$20,2,FALSE)</f>
        <v>Pinnatuoli</v>
      </c>
    </row>
    <row r="4357" spans="1:8" x14ac:dyDescent="0.35">
      <c r="A4357" t="s">
        <v>37</v>
      </c>
      <c r="B4357">
        <v>2017</v>
      </c>
      <c r="C4357">
        <v>5</v>
      </c>
      <c r="D4357">
        <v>13618</v>
      </c>
      <c r="E4357">
        <v>30</v>
      </c>
      <c r="F4357">
        <v>12833.96</v>
      </c>
      <c r="G4357">
        <v>5197.87</v>
      </c>
      <c r="H4357" t="str">
        <f>VLOOKUP(myynnit[[#This Row],[TuoteID]],ohjaus!$A$4:$B$20,2,FALSE)</f>
        <v>Pianotuoli</v>
      </c>
    </row>
    <row r="4358" spans="1:8" x14ac:dyDescent="0.35">
      <c r="A4358" t="s">
        <v>37</v>
      </c>
      <c r="B4358">
        <v>2017</v>
      </c>
      <c r="C4358">
        <v>5</v>
      </c>
      <c r="D4358">
        <v>16024</v>
      </c>
      <c r="E4358">
        <v>189</v>
      </c>
      <c r="F4358">
        <v>84516.479999999996</v>
      </c>
      <c r="G4358">
        <v>22566.86</v>
      </c>
      <c r="H4358" t="str">
        <f>VLOOKUP(myynnit[[#This Row],[TuoteID]],ohjaus!$A$4:$B$20,2,FALSE)</f>
        <v>Työtuoli</v>
      </c>
    </row>
    <row r="4359" spans="1:8" x14ac:dyDescent="0.35">
      <c r="A4359" t="s">
        <v>37</v>
      </c>
      <c r="B4359">
        <v>2017</v>
      </c>
      <c r="C4359">
        <v>5</v>
      </c>
      <c r="D4359">
        <v>16650</v>
      </c>
      <c r="E4359">
        <v>76</v>
      </c>
      <c r="F4359">
        <v>12776.51</v>
      </c>
      <c r="G4359">
        <v>6833.26</v>
      </c>
      <c r="H4359" t="str">
        <f>VLOOKUP(myynnit[[#This Row],[TuoteID]],ohjaus!$A$4:$B$20,2,FALSE)</f>
        <v>Rahi</v>
      </c>
    </row>
    <row r="4360" spans="1:8" x14ac:dyDescent="0.35">
      <c r="A4360" t="s">
        <v>37</v>
      </c>
      <c r="B4360">
        <v>2017</v>
      </c>
      <c r="C4360">
        <v>5</v>
      </c>
      <c r="D4360">
        <v>17892</v>
      </c>
      <c r="E4360">
        <v>90</v>
      </c>
      <c r="F4360">
        <v>12772.64</v>
      </c>
      <c r="G4360">
        <v>3580.35</v>
      </c>
      <c r="H4360" t="str">
        <f>VLOOKUP(myynnit[[#This Row],[TuoteID]],ohjaus!$A$4:$B$20,2,FALSE)</f>
        <v>Lepotuoli</v>
      </c>
    </row>
    <row r="4361" spans="1:8" x14ac:dyDescent="0.35">
      <c r="A4361" t="s">
        <v>37</v>
      </c>
      <c r="B4361">
        <v>2017</v>
      </c>
      <c r="C4361">
        <v>5</v>
      </c>
      <c r="D4361">
        <v>18342</v>
      </c>
      <c r="E4361">
        <v>115</v>
      </c>
      <c r="F4361">
        <v>96811.72</v>
      </c>
      <c r="G4361">
        <v>27249.72</v>
      </c>
      <c r="H4361" t="str">
        <f>VLOOKUP(myynnit[[#This Row],[TuoteID]],ohjaus!$A$4:$B$20,2,FALSE)</f>
        <v>Työtuoli</v>
      </c>
    </row>
    <row r="4362" spans="1:8" x14ac:dyDescent="0.35">
      <c r="A4362" t="s">
        <v>37</v>
      </c>
      <c r="B4362">
        <v>2017</v>
      </c>
      <c r="C4362">
        <v>5</v>
      </c>
      <c r="D4362">
        <v>20177</v>
      </c>
      <c r="E4362">
        <v>122</v>
      </c>
      <c r="F4362">
        <v>11862.57</v>
      </c>
      <c r="G4362">
        <v>4689.8599999999997</v>
      </c>
      <c r="H4362" t="str">
        <f>VLOOKUP(myynnit[[#This Row],[TuoteID]],ohjaus!$A$4:$B$20,2,FALSE)</f>
        <v>Säkkituoli</v>
      </c>
    </row>
    <row r="4363" spans="1:8" x14ac:dyDescent="0.35">
      <c r="A4363" t="s">
        <v>37</v>
      </c>
      <c r="B4363">
        <v>2017</v>
      </c>
      <c r="C4363">
        <v>5</v>
      </c>
      <c r="D4363">
        <v>21179</v>
      </c>
      <c r="E4363">
        <v>59</v>
      </c>
      <c r="F4363">
        <v>7436.42</v>
      </c>
      <c r="G4363">
        <v>3896.5</v>
      </c>
      <c r="H4363" t="str">
        <f>VLOOKUP(myynnit[[#This Row],[TuoteID]],ohjaus!$A$4:$B$20,2,FALSE)</f>
        <v>Rahi</v>
      </c>
    </row>
    <row r="4364" spans="1:8" x14ac:dyDescent="0.35">
      <c r="A4364" t="s">
        <v>37</v>
      </c>
      <c r="B4364">
        <v>2017</v>
      </c>
      <c r="C4364">
        <v>5</v>
      </c>
      <c r="D4364">
        <v>21260</v>
      </c>
      <c r="E4364">
        <v>66</v>
      </c>
      <c r="F4364">
        <v>12966.16</v>
      </c>
      <c r="G4364">
        <v>3601.57</v>
      </c>
      <c r="H4364" t="str">
        <f>VLOOKUP(myynnit[[#This Row],[TuoteID]],ohjaus!$A$4:$B$20,2,FALSE)</f>
        <v>Lepotuoli</v>
      </c>
    </row>
    <row r="4365" spans="1:8" x14ac:dyDescent="0.35">
      <c r="A4365" t="s">
        <v>37</v>
      </c>
      <c r="B4365">
        <v>2017</v>
      </c>
      <c r="C4365">
        <v>5</v>
      </c>
      <c r="D4365">
        <v>22317</v>
      </c>
      <c r="E4365">
        <v>50</v>
      </c>
      <c r="F4365">
        <v>4933.32</v>
      </c>
      <c r="G4365">
        <v>1857.37</v>
      </c>
      <c r="H4365" t="str">
        <f>VLOOKUP(myynnit[[#This Row],[TuoteID]],ohjaus!$A$4:$B$20,2,FALSE)</f>
        <v>Säkkituoli</v>
      </c>
    </row>
    <row r="4366" spans="1:8" x14ac:dyDescent="0.35">
      <c r="A4366" t="s">
        <v>37</v>
      </c>
      <c r="B4366">
        <v>2017</v>
      </c>
      <c r="C4366">
        <v>5</v>
      </c>
      <c r="D4366">
        <v>22940</v>
      </c>
      <c r="E4366">
        <v>806</v>
      </c>
      <c r="F4366">
        <v>99816.01</v>
      </c>
      <c r="G4366">
        <v>18124.71</v>
      </c>
      <c r="H4366" t="str">
        <f>VLOOKUP(myynnit[[#This Row],[TuoteID]],ohjaus!$A$4:$B$20,2,FALSE)</f>
        <v>Pinnatuoli</v>
      </c>
    </row>
    <row r="4367" spans="1:8" x14ac:dyDescent="0.35">
      <c r="A4367" t="s">
        <v>37</v>
      </c>
      <c r="B4367">
        <v>2017</v>
      </c>
      <c r="C4367">
        <v>5</v>
      </c>
      <c r="D4367">
        <v>23178</v>
      </c>
      <c r="E4367">
        <v>295</v>
      </c>
      <c r="F4367">
        <v>52832.49</v>
      </c>
      <c r="G4367">
        <v>11436.17</v>
      </c>
      <c r="H4367" t="str">
        <f>VLOOKUP(myynnit[[#This Row],[TuoteID]],ohjaus!$A$4:$B$20,2,FALSE)</f>
        <v>Pinnatuoli</v>
      </c>
    </row>
    <row r="4368" spans="1:8" x14ac:dyDescent="0.35">
      <c r="A4368" t="s">
        <v>37</v>
      </c>
      <c r="B4368">
        <v>2017</v>
      </c>
      <c r="C4368">
        <v>5</v>
      </c>
      <c r="D4368">
        <v>23600</v>
      </c>
      <c r="E4368">
        <v>593</v>
      </c>
      <c r="F4368">
        <v>71153.210000000006</v>
      </c>
      <c r="G4368">
        <v>18989.240000000002</v>
      </c>
      <c r="H4368" t="str">
        <f>VLOOKUP(myynnit[[#This Row],[TuoteID]],ohjaus!$A$4:$B$20,2,FALSE)</f>
        <v>Pinnatuoli</v>
      </c>
    </row>
    <row r="4369" spans="1:8" x14ac:dyDescent="0.35">
      <c r="A4369" t="s">
        <v>37</v>
      </c>
      <c r="B4369">
        <v>2017</v>
      </c>
      <c r="C4369">
        <v>5</v>
      </c>
      <c r="D4369">
        <v>23756</v>
      </c>
      <c r="E4369">
        <v>88</v>
      </c>
      <c r="F4369">
        <v>16340.92</v>
      </c>
      <c r="G4369">
        <v>8272.4</v>
      </c>
      <c r="H4369" t="str">
        <f>VLOOKUP(myynnit[[#This Row],[TuoteID]],ohjaus!$A$4:$B$20,2,FALSE)</f>
        <v>Pianotuoli</v>
      </c>
    </row>
    <row r="4370" spans="1:8" x14ac:dyDescent="0.35">
      <c r="A4370" t="s">
        <v>37</v>
      </c>
      <c r="B4370">
        <v>2017</v>
      </c>
      <c r="C4370">
        <v>5</v>
      </c>
      <c r="D4370">
        <v>24326</v>
      </c>
      <c r="E4370">
        <v>178</v>
      </c>
      <c r="F4370">
        <v>25765.27</v>
      </c>
      <c r="G4370">
        <v>6783.5</v>
      </c>
      <c r="H4370" t="str">
        <f>VLOOKUP(myynnit[[#This Row],[TuoteID]],ohjaus!$A$4:$B$20,2,FALSE)</f>
        <v>Lepotuoli</v>
      </c>
    </row>
    <row r="4371" spans="1:8" x14ac:dyDescent="0.35">
      <c r="A4371" t="s">
        <v>40</v>
      </c>
      <c r="B4371">
        <v>2017</v>
      </c>
      <c r="C4371">
        <v>5</v>
      </c>
      <c r="D4371">
        <v>12184</v>
      </c>
      <c r="E4371">
        <v>27</v>
      </c>
      <c r="F4371">
        <v>3211.31</v>
      </c>
      <c r="G4371">
        <v>1379.21</v>
      </c>
      <c r="H4371" t="str">
        <f>VLOOKUP(myynnit[[#This Row],[TuoteID]],ohjaus!$A$4:$B$20,2,FALSE)</f>
        <v>Rahi</v>
      </c>
    </row>
    <row r="4372" spans="1:8" x14ac:dyDescent="0.35">
      <c r="A4372" t="s">
        <v>40</v>
      </c>
      <c r="B4372">
        <v>2017</v>
      </c>
      <c r="C4372">
        <v>5</v>
      </c>
      <c r="D4372">
        <v>12622</v>
      </c>
      <c r="E4372">
        <v>20</v>
      </c>
      <c r="F4372">
        <v>5157.46</v>
      </c>
      <c r="G4372">
        <v>1840.48</v>
      </c>
      <c r="H4372" t="str">
        <f>VLOOKUP(myynnit[[#This Row],[TuoteID]],ohjaus!$A$4:$B$20,2,FALSE)</f>
        <v>Pianotuoli</v>
      </c>
    </row>
    <row r="4373" spans="1:8" x14ac:dyDescent="0.35">
      <c r="A4373" t="s">
        <v>40</v>
      </c>
      <c r="B4373">
        <v>2017</v>
      </c>
      <c r="C4373">
        <v>5</v>
      </c>
      <c r="D4373">
        <v>13527</v>
      </c>
      <c r="E4373">
        <v>336</v>
      </c>
      <c r="F4373">
        <v>49177.99</v>
      </c>
      <c r="G4373">
        <v>8148.88</v>
      </c>
      <c r="H4373" t="str">
        <f>VLOOKUP(myynnit[[#This Row],[TuoteID]],ohjaus!$A$4:$B$20,2,FALSE)</f>
        <v>Pinnatuoli</v>
      </c>
    </row>
    <row r="4374" spans="1:8" x14ac:dyDescent="0.35">
      <c r="A4374" t="s">
        <v>40</v>
      </c>
      <c r="B4374">
        <v>2017</v>
      </c>
      <c r="C4374">
        <v>5</v>
      </c>
      <c r="D4374">
        <v>13618</v>
      </c>
      <c r="E4374">
        <v>9</v>
      </c>
      <c r="F4374">
        <v>3946.64</v>
      </c>
      <c r="G4374">
        <v>1787.42</v>
      </c>
      <c r="H4374" t="str">
        <f>VLOOKUP(myynnit[[#This Row],[TuoteID]],ohjaus!$A$4:$B$20,2,FALSE)</f>
        <v>Pianotuoli</v>
      </c>
    </row>
    <row r="4375" spans="1:8" x14ac:dyDescent="0.35">
      <c r="A4375" t="s">
        <v>40</v>
      </c>
      <c r="B4375">
        <v>2017</v>
      </c>
      <c r="C4375">
        <v>5</v>
      </c>
      <c r="D4375">
        <v>16024</v>
      </c>
      <c r="E4375">
        <v>99</v>
      </c>
      <c r="F4375">
        <v>47012.04</v>
      </c>
      <c r="G4375">
        <v>16028.07</v>
      </c>
      <c r="H4375" t="str">
        <f>VLOOKUP(myynnit[[#This Row],[TuoteID]],ohjaus!$A$4:$B$20,2,FALSE)</f>
        <v>Työtuoli</v>
      </c>
    </row>
    <row r="4376" spans="1:8" x14ac:dyDescent="0.35">
      <c r="A4376" t="s">
        <v>40</v>
      </c>
      <c r="B4376">
        <v>2017</v>
      </c>
      <c r="C4376">
        <v>5</v>
      </c>
      <c r="D4376">
        <v>16650</v>
      </c>
      <c r="E4376">
        <v>23</v>
      </c>
      <c r="F4376">
        <v>3636.16</v>
      </c>
      <c r="G4376">
        <v>2135.7399999999998</v>
      </c>
      <c r="H4376" t="str">
        <f>VLOOKUP(myynnit[[#This Row],[TuoteID]],ohjaus!$A$4:$B$20,2,FALSE)</f>
        <v>Rahi</v>
      </c>
    </row>
    <row r="4377" spans="1:8" x14ac:dyDescent="0.35">
      <c r="A4377" t="s">
        <v>40</v>
      </c>
      <c r="B4377">
        <v>2017</v>
      </c>
      <c r="C4377">
        <v>5</v>
      </c>
      <c r="D4377">
        <v>17892</v>
      </c>
      <c r="E4377">
        <v>44</v>
      </c>
      <c r="F4377">
        <v>6672.11</v>
      </c>
      <c r="G4377">
        <v>1394.43</v>
      </c>
      <c r="H4377" t="str">
        <f>VLOOKUP(myynnit[[#This Row],[TuoteID]],ohjaus!$A$4:$B$20,2,FALSE)</f>
        <v>Lepotuoli</v>
      </c>
    </row>
    <row r="4378" spans="1:8" x14ac:dyDescent="0.35">
      <c r="A4378" t="s">
        <v>40</v>
      </c>
      <c r="B4378">
        <v>2017</v>
      </c>
      <c r="C4378">
        <v>5</v>
      </c>
      <c r="D4378">
        <v>18342</v>
      </c>
      <c r="E4378">
        <v>26</v>
      </c>
      <c r="F4378">
        <v>19294.849999999999</v>
      </c>
      <c r="G4378">
        <v>5359.88</v>
      </c>
      <c r="H4378" t="str">
        <f>VLOOKUP(myynnit[[#This Row],[TuoteID]],ohjaus!$A$4:$B$20,2,FALSE)</f>
        <v>Työtuoli</v>
      </c>
    </row>
    <row r="4379" spans="1:8" x14ac:dyDescent="0.35">
      <c r="A4379" t="s">
        <v>40</v>
      </c>
      <c r="B4379">
        <v>2017</v>
      </c>
      <c r="C4379">
        <v>5</v>
      </c>
      <c r="D4379">
        <v>20177</v>
      </c>
      <c r="E4379">
        <v>29</v>
      </c>
      <c r="F4379">
        <v>2699.13</v>
      </c>
      <c r="G4379">
        <v>1145.33</v>
      </c>
      <c r="H4379" t="str">
        <f>VLOOKUP(myynnit[[#This Row],[TuoteID]],ohjaus!$A$4:$B$20,2,FALSE)</f>
        <v>Säkkituoli</v>
      </c>
    </row>
    <row r="4380" spans="1:8" x14ac:dyDescent="0.35">
      <c r="A4380" t="s">
        <v>40</v>
      </c>
      <c r="B4380">
        <v>2017</v>
      </c>
      <c r="C4380">
        <v>5</v>
      </c>
      <c r="D4380">
        <v>21179</v>
      </c>
      <c r="E4380">
        <v>43</v>
      </c>
      <c r="F4380">
        <v>4511.3100000000004</v>
      </c>
      <c r="G4380">
        <v>2620.0700000000002</v>
      </c>
      <c r="H4380" t="str">
        <f>VLOOKUP(myynnit[[#This Row],[TuoteID]],ohjaus!$A$4:$B$20,2,FALSE)</f>
        <v>Rahi</v>
      </c>
    </row>
    <row r="4381" spans="1:8" x14ac:dyDescent="0.35">
      <c r="A4381" t="s">
        <v>40</v>
      </c>
      <c r="B4381">
        <v>2017</v>
      </c>
      <c r="C4381">
        <v>5</v>
      </c>
      <c r="D4381">
        <v>21260</v>
      </c>
      <c r="E4381">
        <v>44</v>
      </c>
      <c r="F4381">
        <v>8972.4599999999991</v>
      </c>
      <c r="G4381">
        <v>2096.62</v>
      </c>
      <c r="H4381" t="str">
        <f>VLOOKUP(myynnit[[#This Row],[TuoteID]],ohjaus!$A$4:$B$20,2,FALSE)</f>
        <v>Lepotuoli</v>
      </c>
    </row>
    <row r="4382" spans="1:8" x14ac:dyDescent="0.35">
      <c r="A4382" t="s">
        <v>40</v>
      </c>
      <c r="B4382">
        <v>2017</v>
      </c>
      <c r="C4382">
        <v>5</v>
      </c>
      <c r="D4382">
        <v>22317</v>
      </c>
      <c r="E4382">
        <v>6</v>
      </c>
      <c r="F4382">
        <v>454.17</v>
      </c>
      <c r="G4382">
        <v>193.85</v>
      </c>
      <c r="H4382" t="str">
        <f>VLOOKUP(myynnit[[#This Row],[TuoteID]],ohjaus!$A$4:$B$20,2,FALSE)</f>
        <v>Säkkituoli</v>
      </c>
    </row>
    <row r="4383" spans="1:8" x14ac:dyDescent="0.35">
      <c r="A4383" t="s">
        <v>40</v>
      </c>
      <c r="B4383">
        <v>2017</v>
      </c>
      <c r="C4383">
        <v>5</v>
      </c>
      <c r="D4383">
        <v>22940</v>
      </c>
      <c r="E4383">
        <v>146</v>
      </c>
      <c r="F4383">
        <v>20932.400000000001</v>
      </c>
      <c r="G4383">
        <v>5505.75</v>
      </c>
      <c r="H4383" t="str">
        <f>VLOOKUP(myynnit[[#This Row],[TuoteID]],ohjaus!$A$4:$B$20,2,FALSE)</f>
        <v>Pinnatuoli</v>
      </c>
    </row>
    <row r="4384" spans="1:8" x14ac:dyDescent="0.35">
      <c r="A4384" t="s">
        <v>40</v>
      </c>
      <c r="B4384">
        <v>2017</v>
      </c>
      <c r="C4384">
        <v>5</v>
      </c>
      <c r="D4384">
        <v>23178</v>
      </c>
      <c r="E4384">
        <v>314</v>
      </c>
      <c r="F4384">
        <v>51258.51</v>
      </c>
      <c r="G4384">
        <v>12569.71</v>
      </c>
      <c r="H4384" t="str">
        <f>VLOOKUP(myynnit[[#This Row],[TuoteID]],ohjaus!$A$4:$B$20,2,FALSE)</f>
        <v>Pinnatuoli</v>
      </c>
    </row>
    <row r="4385" spans="1:8" x14ac:dyDescent="0.35">
      <c r="A4385" t="s">
        <v>40</v>
      </c>
      <c r="B4385">
        <v>2017</v>
      </c>
      <c r="C4385">
        <v>5</v>
      </c>
      <c r="D4385">
        <v>23600</v>
      </c>
      <c r="E4385">
        <v>458</v>
      </c>
      <c r="F4385">
        <v>56516.85</v>
      </c>
      <c r="G4385">
        <v>17713.2</v>
      </c>
      <c r="H4385" t="str">
        <f>VLOOKUP(myynnit[[#This Row],[TuoteID]],ohjaus!$A$4:$B$20,2,FALSE)</f>
        <v>Pinnatuoli</v>
      </c>
    </row>
    <row r="4386" spans="1:8" x14ac:dyDescent="0.35">
      <c r="A4386" t="s">
        <v>40</v>
      </c>
      <c r="B4386">
        <v>2017</v>
      </c>
      <c r="C4386">
        <v>5</v>
      </c>
      <c r="D4386">
        <v>23756</v>
      </c>
      <c r="E4386">
        <v>58</v>
      </c>
      <c r="F4386">
        <v>10744.14</v>
      </c>
      <c r="G4386">
        <v>5270.81</v>
      </c>
      <c r="H4386" t="str">
        <f>VLOOKUP(myynnit[[#This Row],[TuoteID]],ohjaus!$A$4:$B$20,2,FALSE)</f>
        <v>Pianotuoli</v>
      </c>
    </row>
    <row r="4387" spans="1:8" x14ac:dyDescent="0.35">
      <c r="A4387" t="s">
        <v>40</v>
      </c>
      <c r="B4387">
        <v>2017</v>
      </c>
      <c r="C4387">
        <v>5</v>
      </c>
      <c r="D4387">
        <v>24326</v>
      </c>
      <c r="E4387">
        <v>34</v>
      </c>
      <c r="F4387">
        <v>4583.47</v>
      </c>
      <c r="G4387">
        <v>1572.21</v>
      </c>
      <c r="H4387" t="str">
        <f>VLOOKUP(myynnit[[#This Row],[TuoteID]],ohjaus!$A$4:$B$20,2,FALSE)</f>
        <v>Lepotuoli</v>
      </c>
    </row>
    <row r="4388" spans="1:8" x14ac:dyDescent="0.35">
      <c r="A4388" t="s">
        <v>39</v>
      </c>
      <c r="B4388">
        <v>2017</v>
      </c>
      <c r="C4388">
        <v>5</v>
      </c>
      <c r="D4388">
        <v>12184</v>
      </c>
      <c r="E4388">
        <v>117</v>
      </c>
      <c r="F4388">
        <v>17282.29</v>
      </c>
      <c r="G4388">
        <v>11745.6</v>
      </c>
      <c r="H4388" t="str">
        <f>VLOOKUP(myynnit[[#This Row],[TuoteID]],ohjaus!$A$4:$B$20,2,FALSE)</f>
        <v>Rahi</v>
      </c>
    </row>
    <row r="4389" spans="1:8" x14ac:dyDescent="0.35">
      <c r="A4389" t="s">
        <v>39</v>
      </c>
      <c r="B4389">
        <v>2017</v>
      </c>
      <c r="C4389">
        <v>5</v>
      </c>
      <c r="D4389">
        <v>12622</v>
      </c>
      <c r="E4389">
        <v>48</v>
      </c>
      <c r="F4389">
        <v>12427.15</v>
      </c>
      <c r="G4389">
        <v>7714.75</v>
      </c>
      <c r="H4389" t="str">
        <f>VLOOKUP(myynnit[[#This Row],[TuoteID]],ohjaus!$A$4:$B$20,2,FALSE)</f>
        <v>Pianotuoli</v>
      </c>
    </row>
    <row r="4390" spans="1:8" x14ac:dyDescent="0.35">
      <c r="A4390" t="s">
        <v>39</v>
      </c>
      <c r="B4390">
        <v>2017</v>
      </c>
      <c r="C4390">
        <v>5</v>
      </c>
      <c r="D4390">
        <v>13527</v>
      </c>
      <c r="E4390">
        <v>237</v>
      </c>
      <c r="F4390">
        <v>42901.98</v>
      </c>
      <c r="G4390">
        <v>12251.92</v>
      </c>
      <c r="H4390" t="str">
        <f>VLOOKUP(myynnit[[#This Row],[TuoteID]],ohjaus!$A$4:$B$20,2,FALSE)</f>
        <v>Pinnatuoli</v>
      </c>
    </row>
    <row r="4391" spans="1:8" x14ac:dyDescent="0.35">
      <c r="A4391" t="s">
        <v>39</v>
      </c>
      <c r="B4391">
        <v>2017</v>
      </c>
      <c r="C4391">
        <v>5</v>
      </c>
      <c r="D4391">
        <v>13618</v>
      </c>
      <c r="E4391">
        <v>10</v>
      </c>
      <c r="F4391">
        <v>4300.46</v>
      </c>
      <c r="G4391">
        <v>2797.62</v>
      </c>
      <c r="H4391" t="str">
        <f>VLOOKUP(myynnit[[#This Row],[TuoteID]],ohjaus!$A$4:$B$20,2,FALSE)</f>
        <v>Pianotuoli</v>
      </c>
    </row>
    <row r="4392" spans="1:8" x14ac:dyDescent="0.35">
      <c r="A4392" t="s">
        <v>39</v>
      </c>
      <c r="B4392">
        <v>2017</v>
      </c>
      <c r="C4392">
        <v>5</v>
      </c>
      <c r="D4392">
        <v>16024</v>
      </c>
      <c r="E4392">
        <v>158</v>
      </c>
      <c r="F4392">
        <v>73295.05</v>
      </c>
      <c r="G4392">
        <v>20835.53</v>
      </c>
      <c r="H4392" t="str">
        <f>VLOOKUP(myynnit[[#This Row],[TuoteID]],ohjaus!$A$4:$B$20,2,FALSE)</f>
        <v>Työtuoli</v>
      </c>
    </row>
    <row r="4393" spans="1:8" x14ac:dyDescent="0.35">
      <c r="A4393" t="s">
        <v>39</v>
      </c>
      <c r="B4393">
        <v>2017</v>
      </c>
      <c r="C4393">
        <v>5</v>
      </c>
      <c r="D4393">
        <v>16650</v>
      </c>
      <c r="E4393">
        <v>34</v>
      </c>
      <c r="F4393">
        <v>6818.07</v>
      </c>
      <c r="G4393">
        <v>4724.84</v>
      </c>
      <c r="H4393" t="str">
        <f>VLOOKUP(myynnit[[#This Row],[TuoteID]],ohjaus!$A$4:$B$20,2,FALSE)</f>
        <v>Rahi</v>
      </c>
    </row>
    <row r="4394" spans="1:8" x14ac:dyDescent="0.35">
      <c r="A4394" t="s">
        <v>39</v>
      </c>
      <c r="B4394">
        <v>2017</v>
      </c>
      <c r="C4394">
        <v>5</v>
      </c>
      <c r="D4394">
        <v>17892</v>
      </c>
      <c r="E4394">
        <v>99</v>
      </c>
      <c r="F4394">
        <v>13952.99</v>
      </c>
      <c r="G4394">
        <v>4416.43</v>
      </c>
      <c r="H4394" t="str">
        <f>VLOOKUP(myynnit[[#This Row],[TuoteID]],ohjaus!$A$4:$B$20,2,FALSE)</f>
        <v>Lepotuoli</v>
      </c>
    </row>
    <row r="4395" spans="1:8" x14ac:dyDescent="0.35">
      <c r="A4395" t="s">
        <v>39</v>
      </c>
      <c r="B4395">
        <v>2017</v>
      </c>
      <c r="C4395">
        <v>5</v>
      </c>
      <c r="D4395">
        <v>18342</v>
      </c>
      <c r="E4395">
        <v>102</v>
      </c>
      <c r="F4395">
        <v>94351.37</v>
      </c>
      <c r="G4395">
        <v>30920.74</v>
      </c>
      <c r="H4395" t="str">
        <f>VLOOKUP(myynnit[[#This Row],[TuoteID]],ohjaus!$A$4:$B$20,2,FALSE)</f>
        <v>Työtuoli</v>
      </c>
    </row>
    <row r="4396" spans="1:8" x14ac:dyDescent="0.35">
      <c r="A4396" t="s">
        <v>39</v>
      </c>
      <c r="B4396">
        <v>2017</v>
      </c>
      <c r="C4396">
        <v>5</v>
      </c>
      <c r="D4396">
        <v>20177</v>
      </c>
      <c r="E4396">
        <v>42</v>
      </c>
      <c r="F4396">
        <v>3633.34</v>
      </c>
      <c r="G4396">
        <v>1439.87</v>
      </c>
      <c r="H4396" t="str">
        <f>VLOOKUP(myynnit[[#This Row],[TuoteID]],ohjaus!$A$4:$B$20,2,FALSE)</f>
        <v>Säkkituoli</v>
      </c>
    </row>
    <row r="4397" spans="1:8" x14ac:dyDescent="0.35">
      <c r="A4397" t="s">
        <v>39</v>
      </c>
      <c r="B4397">
        <v>2017</v>
      </c>
      <c r="C4397">
        <v>5</v>
      </c>
      <c r="D4397">
        <v>21179</v>
      </c>
      <c r="E4397">
        <v>63</v>
      </c>
      <c r="F4397">
        <v>7366.46</v>
      </c>
      <c r="G4397">
        <v>5546.14</v>
      </c>
      <c r="H4397" t="str">
        <f>VLOOKUP(myynnit[[#This Row],[TuoteID]],ohjaus!$A$4:$B$20,2,FALSE)</f>
        <v>Rahi</v>
      </c>
    </row>
    <row r="4398" spans="1:8" x14ac:dyDescent="0.35">
      <c r="A4398" t="s">
        <v>39</v>
      </c>
      <c r="B4398">
        <v>2017</v>
      </c>
      <c r="C4398">
        <v>5</v>
      </c>
      <c r="D4398">
        <v>21260</v>
      </c>
      <c r="E4398">
        <v>30</v>
      </c>
      <c r="F4398">
        <v>5967.61</v>
      </c>
      <c r="G4398">
        <v>1836.43</v>
      </c>
      <c r="H4398" t="str">
        <f>VLOOKUP(myynnit[[#This Row],[TuoteID]],ohjaus!$A$4:$B$20,2,FALSE)</f>
        <v>Lepotuoli</v>
      </c>
    </row>
    <row r="4399" spans="1:8" x14ac:dyDescent="0.35">
      <c r="A4399" t="s">
        <v>39</v>
      </c>
      <c r="B4399">
        <v>2017</v>
      </c>
      <c r="C4399">
        <v>5</v>
      </c>
      <c r="D4399">
        <v>22317</v>
      </c>
      <c r="E4399">
        <v>37</v>
      </c>
      <c r="F4399">
        <v>3691.36</v>
      </c>
      <c r="G4399">
        <v>1501.28</v>
      </c>
      <c r="H4399" t="str">
        <f>VLOOKUP(myynnit[[#This Row],[TuoteID]],ohjaus!$A$4:$B$20,2,FALSE)</f>
        <v>Säkkituoli</v>
      </c>
    </row>
    <row r="4400" spans="1:8" x14ac:dyDescent="0.35">
      <c r="A4400" t="s">
        <v>39</v>
      </c>
      <c r="B4400">
        <v>2017</v>
      </c>
      <c r="C4400">
        <v>5</v>
      </c>
      <c r="D4400">
        <v>22940</v>
      </c>
      <c r="E4400">
        <v>288</v>
      </c>
      <c r="F4400">
        <v>40198.71</v>
      </c>
      <c r="G4400">
        <v>10405.18</v>
      </c>
      <c r="H4400" t="str">
        <f>VLOOKUP(myynnit[[#This Row],[TuoteID]],ohjaus!$A$4:$B$20,2,FALSE)</f>
        <v>Pinnatuoli</v>
      </c>
    </row>
    <row r="4401" spans="1:8" x14ac:dyDescent="0.35">
      <c r="A4401" t="s">
        <v>39</v>
      </c>
      <c r="B4401">
        <v>2017</v>
      </c>
      <c r="C4401">
        <v>5</v>
      </c>
      <c r="D4401">
        <v>23178</v>
      </c>
      <c r="E4401">
        <v>215</v>
      </c>
      <c r="F4401">
        <v>38963.64</v>
      </c>
      <c r="G4401">
        <v>8486.68</v>
      </c>
      <c r="H4401" t="str">
        <f>VLOOKUP(myynnit[[#This Row],[TuoteID]],ohjaus!$A$4:$B$20,2,FALSE)</f>
        <v>Pinnatuoli</v>
      </c>
    </row>
    <row r="4402" spans="1:8" x14ac:dyDescent="0.35">
      <c r="A4402" t="s">
        <v>39</v>
      </c>
      <c r="B4402">
        <v>2017</v>
      </c>
      <c r="C4402">
        <v>5</v>
      </c>
      <c r="D4402">
        <v>23600</v>
      </c>
      <c r="E4402">
        <v>1040</v>
      </c>
      <c r="F4402">
        <v>122851.25</v>
      </c>
      <c r="G4402">
        <v>32126.21</v>
      </c>
      <c r="H4402" t="str">
        <f>VLOOKUP(myynnit[[#This Row],[TuoteID]],ohjaus!$A$4:$B$20,2,FALSE)</f>
        <v>Pinnatuoli</v>
      </c>
    </row>
    <row r="4403" spans="1:8" x14ac:dyDescent="0.35">
      <c r="A4403" t="s">
        <v>39</v>
      </c>
      <c r="B4403">
        <v>2017</v>
      </c>
      <c r="C4403">
        <v>5</v>
      </c>
      <c r="D4403">
        <v>23756</v>
      </c>
      <c r="E4403">
        <v>104</v>
      </c>
      <c r="F4403">
        <v>18329.509999999998</v>
      </c>
      <c r="G4403">
        <v>8860.6200000000008</v>
      </c>
      <c r="H4403" t="str">
        <f>VLOOKUP(myynnit[[#This Row],[TuoteID]],ohjaus!$A$4:$B$20,2,FALSE)</f>
        <v>Pianotuoli</v>
      </c>
    </row>
    <row r="4404" spans="1:8" x14ac:dyDescent="0.35">
      <c r="A4404" t="s">
        <v>39</v>
      </c>
      <c r="B4404">
        <v>2017</v>
      </c>
      <c r="C4404">
        <v>5</v>
      </c>
      <c r="D4404">
        <v>24326</v>
      </c>
      <c r="E4404">
        <v>86</v>
      </c>
      <c r="F4404">
        <v>12220.74</v>
      </c>
      <c r="G4404">
        <v>4291.17</v>
      </c>
      <c r="H4404" t="str">
        <f>VLOOKUP(myynnit[[#This Row],[TuoteID]],ohjaus!$A$4:$B$20,2,FALSE)</f>
        <v>Lepotuoli</v>
      </c>
    </row>
    <row r="4405" spans="1:8" x14ac:dyDescent="0.35">
      <c r="A4405" t="s">
        <v>38</v>
      </c>
      <c r="B4405">
        <v>2017</v>
      </c>
      <c r="C4405">
        <v>5</v>
      </c>
      <c r="D4405">
        <v>12184</v>
      </c>
      <c r="E4405">
        <v>43</v>
      </c>
      <c r="F4405">
        <v>6224.62</v>
      </c>
      <c r="G4405">
        <v>3370.69</v>
      </c>
      <c r="H4405" t="str">
        <f>VLOOKUP(myynnit[[#This Row],[TuoteID]],ohjaus!$A$4:$B$20,2,FALSE)</f>
        <v>Rahi</v>
      </c>
    </row>
    <row r="4406" spans="1:8" x14ac:dyDescent="0.35">
      <c r="A4406" t="s">
        <v>38</v>
      </c>
      <c r="B4406">
        <v>2017</v>
      </c>
      <c r="C4406">
        <v>5</v>
      </c>
      <c r="D4406">
        <v>12622</v>
      </c>
      <c r="E4406">
        <v>28</v>
      </c>
      <c r="F4406">
        <v>6805.17</v>
      </c>
      <c r="G4406">
        <v>2777.45</v>
      </c>
      <c r="H4406" t="str">
        <f>VLOOKUP(myynnit[[#This Row],[TuoteID]],ohjaus!$A$4:$B$20,2,FALSE)</f>
        <v>Pianotuoli</v>
      </c>
    </row>
    <row r="4407" spans="1:8" x14ac:dyDescent="0.35">
      <c r="A4407" t="s">
        <v>38</v>
      </c>
      <c r="B4407">
        <v>2017</v>
      </c>
      <c r="C4407">
        <v>5</v>
      </c>
      <c r="D4407">
        <v>13527</v>
      </c>
      <c r="E4407">
        <v>259</v>
      </c>
      <c r="F4407">
        <v>45269.71</v>
      </c>
      <c r="G4407">
        <v>8692.1299999999992</v>
      </c>
      <c r="H4407" t="str">
        <f>VLOOKUP(myynnit[[#This Row],[TuoteID]],ohjaus!$A$4:$B$20,2,FALSE)</f>
        <v>Pinnatuoli</v>
      </c>
    </row>
    <row r="4408" spans="1:8" x14ac:dyDescent="0.35">
      <c r="A4408" t="s">
        <v>38</v>
      </c>
      <c r="B4408">
        <v>2017</v>
      </c>
      <c r="C4408">
        <v>5</v>
      </c>
      <c r="D4408">
        <v>13618</v>
      </c>
      <c r="E4408">
        <v>11</v>
      </c>
      <c r="F4408">
        <v>4652.25</v>
      </c>
      <c r="G4408">
        <v>1974.52</v>
      </c>
      <c r="H4408" t="str">
        <f>VLOOKUP(myynnit[[#This Row],[TuoteID]],ohjaus!$A$4:$B$20,2,FALSE)</f>
        <v>Pianotuoli</v>
      </c>
    </row>
    <row r="4409" spans="1:8" x14ac:dyDescent="0.35">
      <c r="A4409" t="s">
        <v>38</v>
      </c>
      <c r="B4409">
        <v>2017</v>
      </c>
      <c r="C4409">
        <v>5</v>
      </c>
      <c r="D4409">
        <v>16024</v>
      </c>
      <c r="E4409">
        <v>166</v>
      </c>
      <c r="F4409">
        <v>73067.429999999993</v>
      </c>
      <c r="G4409">
        <v>18832.400000000001</v>
      </c>
      <c r="H4409" t="str">
        <f>VLOOKUP(myynnit[[#This Row],[TuoteID]],ohjaus!$A$4:$B$20,2,FALSE)</f>
        <v>Työtuoli</v>
      </c>
    </row>
    <row r="4410" spans="1:8" x14ac:dyDescent="0.35">
      <c r="A4410" t="s">
        <v>38</v>
      </c>
      <c r="B4410">
        <v>2017</v>
      </c>
      <c r="C4410">
        <v>5</v>
      </c>
      <c r="D4410">
        <v>16650</v>
      </c>
      <c r="E4410">
        <v>56</v>
      </c>
      <c r="F4410">
        <v>8432.17</v>
      </c>
      <c r="G4410">
        <v>4230.72</v>
      </c>
      <c r="H4410" t="str">
        <f>VLOOKUP(myynnit[[#This Row],[TuoteID]],ohjaus!$A$4:$B$20,2,FALSE)</f>
        <v>Rahi</v>
      </c>
    </row>
    <row r="4411" spans="1:8" x14ac:dyDescent="0.35">
      <c r="A4411" t="s">
        <v>38</v>
      </c>
      <c r="B4411">
        <v>2017</v>
      </c>
      <c r="C4411">
        <v>5</v>
      </c>
      <c r="D4411">
        <v>17892</v>
      </c>
      <c r="E4411">
        <v>108</v>
      </c>
      <c r="F4411">
        <v>14368.8</v>
      </c>
      <c r="G4411">
        <v>3416.04</v>
      </c>
      <c r="H4411" t="str">
        <f>VLOOKUP(myynnit[[#This Row],[TuoteID]],ohjaus!$A$4:$B$20,2,FALSE)</f>
        <v>Lepotuoli</v>
      </c>
    </row>
    <row r="4412" spans="1:8" x14ac:dyDescent="0.35">
      <c r="A4412" t="s">
        <v>38</v>
      </c>
      <c r="B4412">
        <v>2017</v>
      </c>
      <c r="C4412">
        <v>5</v>
      </c>
      <c r="D4412">
        <v>18342</v>
      </c>
      <c r="E4412">
        <v>171</v>
      </c>
      <c r="F4412">
        <v>127071.94</v>
      </c>
      <c r="G4412">
        <v>34164.03</v>
      </c>
      <c r="H4412" t="str">
        <f>VLOOKUP(myynnit[[#This Row],[TuoteID]],ohjaus!$A$4:$B$20,2,FALSE)</f>
        <v>Työtuoli</v>
      </c>
    </row>
    <row r="4413" spans="1:8" x14ac:dyDescent="0.35">
      <c r="A4413" t="s">
        <v>38</v>
      </c>
      <c r="B4413">
        <v>2017</v>
      </c>
      <c r="C4413">
        <v>5</v>
      </c>
      <c r="D4413">
        <v>20177</v>
      </c>
      <c r="E4413">
        <v>99</v>
      </c>
      <c r="F4413">
        <v>9365.31</v>
      </c>
      <c r="G4413">
        <v>3772.14</v>
      </c>
      <c r="H4413" t="str">
        <f>VLOOKUP(myynnit[[#This Row],[TuoteID]],ohjaus!$A$4:$B$20,2,FALSE)</f>
        <v>Säkkituoli</v>
      </c>
    </row>
    <row r="4414" spans="1:8" x14ac:dyDescent="0.35">
      <c r="A4414" t="s">
        <v>38</v>
      </c>
      <c r="B4414">
        <v>2017</v>
      </c>
      <c r="C4414">
        <v>5</v>
      </c>
      <c r="D4414">
        <v>21179</v>
      </c>
      <c r="E4414">
        <v>58</v>
      </c>
      <c r="F4414">
        <v>5813.99</v>
      </c>
      <c r="G4414">
        <v>3183.18</v>
      </c>
      <c r="H4414" t="str">
        <f>VLOOKUP(myynnit[[#This Row],[TuoteID]],ohjaus!$A$4:$B$20,2,FALSE)</f>
        <v>Rahi</v>
      </c>
    </row>
    <row r="4415" spans="1:8" x14ac:dyDescent="0.35">
      <c r="A4415" t="s">
        <v>38</v>
      </c>
      <c r="B4415">
        <v>2017</v>
      </c>
      <c r="C4415">
        <v>5</v>
      </c>
      <c r="D4415">
        <v>21260</v>
      </c>
      <c r="E4415">
        <v>39</v>
      </c>
      <c r="F4415">
        <v>7754.72</v>
      </c>
      <c r="G4415">
        <v>1698.74</v>
      </c>
      <c r="H4415" t="str">
        <f>VLOOKUP(myynnit[[#This Row],[TuoteID]],ohjaus!$A$4:$B$20,2,FALSE)</f>
        <v>Lepotuoli</v>
      </c>
    </row>
    <row r="4416" spans="1:8" x14ac:dyDescent="0.35">
      <c r="A4416" t="s">
        <v>38</v>
      </c>
      <c r="B4416">
        <v>2017</v>
      </c>
      <c r="C4416">
        <v>5</v>
      </c>
      <c r="D4416">
        <v>22317</v>
      </c>
      <c r="E4416">
        <v>64</v>
      </c>
      <c r="F4416">
        <v>5851.38</v>
      </c>
      <c r="G4416">
        <v>2514.66</v>
      </c>
      <c r="H4416" t="str">
        <f>VLOOKUP(myynnit[[#This Row],[TuoteID]],ohjaus!$A$4:$B$20,2,FALSE)</f>
        <v>Säkkituoli</v>
      </c>
    </row>
    <row r="4417" spans="1:8" x14ac:dyDescent="0.35">
      <c r="A4417" t="s">
        <v>38</v>
      </c>
      <c r="B4417">
        <v>2017</v>
      </c>
      <c r="C4417">
        <v>5</v>
      </c>
      <c r="D4417">
        <v>22940</v>
      </c>
      <c r="E4417">
        <v>688</v>
      </c>
      <c r="F4417">
        <v>94865.08</v>
      </c>
      <c r="G4417">
        <v>20574.650000000001</v>
      </c>
      <c r="H4417" t="str">
        <f>VLOOKUP(myynnit[[#This Row],[TuoteID]],ohjaus!$A$4:$B$20,2,FALSE)</f>
        <v>Pinnatuoli</v>
      </c>
    </row>
    <row r="4418" spans="1:8" x14ac:dyDescent="0.35">
      <c r="A4418" t="s">
        <v>38</v>
      </c>
      <c r="B4418">
        <v>2017</v>
      </c>
      <c r="C4418">
        <v>5</v>
      </c>
      <c r="D4418">
        <v>23178</v>
      </c>
      <c r="E4418">
        <v>206</v>
      </c>
      <c r="F4418">
        <v>35980.29</v>
      </c>
      <c r="G4418">
        <v>7184.98</v>
      </c>
      <c r="H4418" t="str">
        <f>VLOOKUP(myynnit[[#This Row],[TuoteID]],ohjaus!$A$4:$B$20,2,FALSE)</f>
        <v>Pinnatuoli</v>
      </c>
    </row>
    <row r="4419" spans="1:8" x14ac:dyDescent="0.35">
      <c r="A4419" t="s">
        <v>38</v>
      </c>
      <c r="B4419">
        <v>2017</v>
      </c>
      <c r="C4419">
        <v>5</v>
      </c>
      <c r="D4419">
        <v>23600</v>
      </c>
      <c r="E4419">
        <v>845</v>
      </c>
      <c r="F4419">
        <v>88884.52</v>
      </c>
      <c r="G4419">
        <v>18411.259999999998</v>
      </c>
      <c r="H4419" t="str">
        <f>VLOOKUP(myynnit[[#This Row],[TuoteID]],ohjaus!$A$4:$B$20,2,FALSE)</f>
        <v>Pinnatuoli</v>
      </c>
    </row>
    <row r="4420" spans="1:8" x14ac:dyDescent="0.35">
      <c r="A4420" t="s">
        <v>38</v>
      </c>
      <c r="B4420">
        <v>2017</v>
      </c>
      <c r="C4420">
        <v>5</v>
      </c>
      <c r="D4420">
        <v>23756</v>
      </c>
      <c r="E4420">
        <v>53</v>
      </c>
      <c r="F4420">
        <v>9447.7999999999993</v>
      </c>
      <c r="G4420">
        <v>4713.71</v>
      </c>
      <c r="H4420" t="str">
        <f>VLOOKUP(myynnit[[#This Row],[TuoteID]],ohjaus!$A$4:$B$20,2,FALSE)</f>
        <v>Pianotuoli</v>
      </c>
    </row>
    <row r="4421" spans="1:8" x14ac:dyDescent="0.35">
      <c r="A4421" t="s">
        <v>38</v>
      </c>
      <c r="B4421">
        <v>2017</v>
      </c>
      <c r="C4421">
        <v>5</v>
      </c>
      <c r="D4421">
        <v>24326</v>
      </c>
      <c r="E4421">
        <v>124</v>
      </c>
      <c r="F4421">
        <v>16425.66</v>
      </c>
      <c r="G4421">
        <v>3707.07</v>
      </c>
      <c r="H4421" t="str">
        <f>VLOOKUP(myynnit[[#This Row],[TuoteID]],ohjaus!$A$4:$B$20,2,FALSE)</f>
        <v>Lepotuoli</v>
      </c>
    </row>
    <row r="4422" spans="1:8" x14ac:dyDescent="0.35">
      <c r="A4422" t="s">
        <v>37</v>
      </c>
      <c r="B4422">
        <v>2017</v>
      </c>
      <c r="C4422">
        <v>6</v>
      </c>
      <c r="D4422">
        <v>12184</v>
      </c>
      <c r="E4422">
        <v>77</v>
      </c>
      <c r="F4422">
        <v>9519.1200000000008</v>
      </c>
      <c r="G4422">
        <v>4811.57</v>
      </c>
      <c r="H4422" t="str">
        <f>VLOOKUP(myynnit[[#This Row],[TuoteID]],ohjaus!$A$4:$B$20,2,FALSE)</f>
        <v>Rahi</v>
      </c>
    </row>
    <row r="4423" spans="1:8" x14ac:dyDescent="0.35">
      <c r="A4423" t="s">
        <v>37</v>
      </c>
      <c r="B4423">
        <v>2017</v>
      </c>
      <c r="C4423">
        <v>6</v>
      </c>
      <c r="D4423">
        <v>12622</v>
      </c>
      <c r="E4423">
        <v>51</v>
      </c>
      <c r="F4423">
        <v>15372.86</v>
      </c>
      <c r="G4423">
        <v>6263.34</v>
      </c>
      <c r="H4423" t="str">
        <f>VLOOKUP(myynnit[[#This Row],[TuoteID]],ohjaus!$A$4:$B$20,2,FALSE)</f>
        <v>Pianotuoli</v>
      </c>
    </row>
    <row r="4424" spans="1:8" x14ac:dyDescent="0.35">
      <c r="A4424" t="s">
        <v>37</v>
      </c>
      <c r="B4424">
        <v>2017</v>
      </c>
      <c r="C4424">
        <v>6</v>
      </c>
      <c r="D4424">
        <v>13527</v>
      </c>
      <c r="E4424">
        <v>567</v>
      </c>
      <c r="F4424">
        <v>88682.16</v>
      </c>
      <c r="G4424">
        <v>19159.939999999999</v>
      </c>
      <c r="H4424" t="str">
        <f>VLOOKUP(myynnit[[#This Row],[TuoteID]],ohjaus!$A$4:$B$20,2,FALSE)</f>
        <v>Pinnatuoli</v>
      </c>
    </row>
    <row r="4425" spans="1:8" x14ac:dyDescent="0.35">
      <c r="A4425" t="s">
        <v>37</v>
      </c>
      <c r="B4425">
        <v>2017</v>
      </c>
      <c r="C4425">
        <v>6</v>
      </c>
      <c r="D4425">
        <v>13618</v>
      </c>
      <c r="E4425">
        <v>21</v>
      </c>
      <c r="F4425">
        <v>8738.7000000000007</v>
      </c>
      <c r="G4425">
        <v>4722.51</v>
      </c>
      <c r="H4425" t="str">
        <f>VLOOKUP(myynnit[[#This Row],[TuoteID]],ohjaus!$A$4:$B$20,2,FALSE)</f>
        <v>Pianotuoli</v>
      </c>
    </row>
    <row r="4426" spans="1:8" x14ac:dyDescent="0.35">
      <c r="A4426" t="s">
        <v>37</v>
      </c>
      <c r="B4426">
        <v>2017</v>
      </c>
      <c r="C4426">
        <v>6</v>
      </c>
      <c r="D4426">
        <v>16024</v>
      </c>
      <c r="E4426">
        <v>349</v>
      </c>
      <c r="F4426">
        <v>161536.12</v>
      </c>
      <c r="G4426">
        <v>39565.019999999997</v>
      </c>
      <c r="H4426" t="str">
        <f>VLOOKUP(myynnit[[#This Row],[TuoteID]],ohjaus!$A$4:$B$20,2,FALSE)</f>
        <v>Työtuoli</v>
      </c>
    </row>
    <row r="4427" spans="1:8" x14ac:dyDescent="0.35">
      <c r="A4427" t="s">
        <v>37</v>
      </c>
      <c r="B4427">
        <v>2017</v>
      </c>
      <c r="C4427">
        <v>6</v>
      </c>
      <c r="D4427">
        <v>16650</v>
      </c>
      <c r="E4427">
        <v>78</v>
      </c>
      <c r="F4427">
        <v>13506.78</v>
      </c>
      <c r="G4427">
        <v>6013.94</v>
      </c>
      <c r="H4427" t="str">
        <f>VLOOKUP(myynnit[[#This Row],[TuoteID]],ohjaus!$A$4:$B$20,2,FALSE)</f>
        <v>Rahi</v>
      </c>
    </row>
    <row r="4428" spans="1:8" x14ac:dyDescent="0.35">
      <c r="A4428" t="s">
        <v>37</v>
      </c>
      <c r="B4428">
        <v>2017</v>
      </c>
      <c r="C4428">
        <v>6</v>
      </c>
      <c r="D4428">
        <v>17892</v>
      </c>
      <c r="E4428">
        <v>158</v>
      </c>
      <c r="F4428">
        <v>24847.279999999999</v>
      </c>
      <c r="G4428">
        <v>7086.65</v>
      </c>
      <c r="H4428" t="str">
        <f>VLOOKUP(myynnit[[#This Row],[TuoteID]],ohjaus!$A$4:$B$20,2,FALSE)</f>
        <v>Lepotuoli</v>
      </c>
    </row>
    <row r="4429" spans="1:8" x14ac:dyDescent="0.35">
      <c r="A4429" t="s">
        <v>37</v>
      </c>
      <c r="B4429">
        <v>2017</v>
      </c>
      <c r="C4429">
        <v>6</v>
      </c>
      <c r="D4429">
        <v>18342</v>
      </c>
      <c r="E4429">
        <v>93</v>
      </c>
      <c r="F4429">
        <v>76549.259999999995</v>
      </c>
      <c r="G4429">
        <v>23728.36</v>
      </c>
      <c r="H4429" t="str">
        <f>VLOOKUP(myynnit[[#This Row],[TuoteID]],ohjaus!$A$4:$B$20,2,FALSE)</f>
        <v>Työtuoli</v>
      </c>
    </row>
    <row r="4430" spans="1:8" x14ac:dyDescent="0.35">
      <c r="A4430" t="s">
        <v>37</v>
      </c>
      <c r="B4430">
        <v>2017</v>
      </c>
      <c r="C4430">
        <v>6</v>
      </c>
      <c r="D4430">
        <v>20177</v>
      </c>
      <c r="E4430">
        <v>74</v>
      </c>
      <c r="F4430">
        <v>8294.4599999999991</v>
      </c>
      <c r="G4430">
        <v>3632.35</v>
      </c>
      <c r="H4430" t="str">
        <f>VLOOKUP(myynnit[[#This Row],[TuoteID]],ohjaus!$A$4:$B$20,2,FALSE)</f>
        <v>Säkkituoli</v>
      </c>
    </row>
    <row r="4431" spans="1:8" x14ac:dyDescent="0.35">
      <c r="A4431" t="s">
        <v>37</v>
      </c>
      <c r="B4431">
        <v>2017</v>
      </c>
      <c r="C4431">
        <v>6</v>
      </c>
      <c r="D4431">
        <v>21179</v>
      </c>
      <c r="E4431">
        <v>33</v>
      </c>
      <c r="F4431">
        <v>3991.32</v>
      </c>
      <c r="G4431">
        <v>1795.45</v>
      </c>
      <c r="H4431" t="str">
        <f>VLOOKUP(myynnit[[#This Row],[TuoteID]],ohjaus!$A$4:$B$20,2,FALSE)</f>
        <v>Rahi</v>
      </c>
    </row>
    <row r="4432" spans="1:8" x14ac:dyDescent="0.35">
      <c r="A4432" t="s">
        <v>37</v>
      </c>
      <c r="B4432">
        <v>2017</v>
      </c>
      <c r="C4432">
        <v>6</v>
      </c>
      <c r="D4432">
        <v>21260</v>
      </c>
      <c r="E4432">
        <v>115</v>
      </c>
      <c r="F4432">
        <v>24687.42</v>
      </c>
      <c r="G4432">
        <v>6407.45</v>
      </c>
      <c r="H4432" t="str">
        <f>VLOOKUP(myynnit[[#This Row],[TuoteID]],ohjaus!$A$4:$B$20,2,FALSE)</f>
        <v>Lepotuoli</v>
      </c>
    </row>
    <row r="4433" spans="1:8" x14ac:dyDescent="0.35">
      <c r="A4433" t="s">
        <v>37</v>
      </c>
      <c r="B4433">
        <v>2017</v>
      </c>
      <c r="C4433">
        <v>6</v>
      </c>
      <c r="D4433">
        <v>22317</v>
      </c>
      <c r="E4433">
        <v>54</v>
      </c>
      <c r="F4433">
        <v>4790.37</v>
      </c>
      <c r="G4433">
        <v>1616.71</v>
      </c>
      <c r="H4433" t="str">
        <f>VLOOKUP(myynnit[[#This Row],[TuoteID]],ohjaus!$A$4:$B$20,2,FALSE)</f>
        <v>Säkkituoli</v>
      </c>
    </row>
    <row r="4434" spans="1:8" x14ac:dyDescent="0.35">
      <c r="A4434" t="s">
        <v>37</v>
      </c>
      <c r="B4434">
        <v>2017</v>
      </c>
      <c r="C4434">
        <v>6</v>
      </c>
      <c r="D4434">
        <v>22940</v>
      </c>
      <c r="E4434">
        <v>812</v>
      </c>
      <c r="F4434">
        <v>108225.64</v>
      </c>
      <c r="G4434">
        <v>21752.47</v>
      </c>
      <c r="H4434" t="str">
        <f>VLOOKUP(myynnit[[#This Row],[TuoteID]],ohjaus!$A$4:$B$20,2,FALSE)</f>
        <v>Pinnatuoli</v>
      </c>
    </row>
    <row r="4435" spans="1:8" x14ac:dyDescent="0.35">
      <c r="A4435" t="s">
        <v>37</v>
      </c>
      <c r="B4435">
        <v>2017</v>
      </c>
      <c r="C4435">
        <v>6</v>
      </c>
      <c r="D4435">
        <v>23178</v>
      </c>
      <c r="E4435">
        <v>345</v>
      </c>
      <c r="F4435">
        <v>55154.46</v>
      </c>
      <c r="G4435">
        <v>8836.4</v>
      </c>
      <c r="H4435" t="str">
        <f>VLOOKUP(myynnit[[#This Row],[TuoteID]],ohjaus!$A$4:$B$20,2,FALSE)</f>
        <v>Pinnatuoli</v>
      </c>
    </row>
    <row r="4436" spans="1:8" x14ac:dyDescent="0.35">
      <c r="A4436" t="s">
        <v>37</v>
      </c>
      <c r="B4436">
        <v>2017</v>
      </c>
      <c r="C4436">
        <v>6</v>
      </c>
      <c r="D4436">
        <v>23600</v>
      </c>
      <c r="E4436">
        <v>1355</v>
      </c>
      <c r="F4436">
        <v>161351.42000000001</v>
      </c>
      <c r="G4436">
        <v>32344.97</v>
      </c>
      <c r="H4436" t="str">
        <f>VLOOKUP(myynnit[[#This Row],[TuoteID]],ohjaus!$A$4:$B$20,2,FALSE)</f>
        <v>Pinnatuoli</v>
      </c>
    </row>
    <row r="4437" spans="1:8" x14ac:dyDescent="0.35">
      <c r="A4437" t="s">
        <v>37</v>
      </c>
      <c r="B4437">
        <v>2017</v>
      </c>
      <c r="C4437">
        <v>6</v>
      </c>
      <c r="D4437">
        <v>23756</v>
      </c>
      <c r="E4437">
        <v>121</v>
      </c>
      <c r="F4437">
        <v>22252.7</v>
      </c>
      <c r="G4437">
        <v>8989.07</v>
      </c>
      <c r="H4437" t="str">
        <f>VLOOKUP(myynnit[[#This Row],[TuoteID]],ohjaus!$A$4:$B$20,2,FALSE)</f>
        <v>Pianotuoli</v>
      </c>
    </row>
    <row r="4438" spans="1:8" x14ac:dyDescent="0.35">
      <c r="A4438" t="s">
        <v>37</v>
      </c>
      <c r="B4438">
        <v>2017</v>
      </c>
      <c r="C4438">
        <v>6</v>
      </c>
      <c r="D4438">
        <v>24326</v>
      </c>
      <c r="E4438">
        <v>105</v>
      </c>
      <c r="F4438">
        <v>13578.84</v>
      </c>
      <c r="G4438">
        <v>4324.1499999999996</v>
      </c>
      <c r="H4438" t="str">
        <f>VLOOKUP(myynnit[[#This Row],[TuoteID]],ohjaus!$A$4:$B$20,2,FALSE)</f>
        <v>Lepotuoli</v>
      </c>
    </row>
    <row r="4439" spans="1:8" x14ac:dyDescent="0.35">
      <c r="A4439" t="s">
        <v>40</v>
      </c>
      <c r="B4439">
        <v>2017</v>
      </c>
      <c r="C4439">
        <v>6</v>
      </c>
      <c r="D4439">
        <v>12184</v>
      </c>
      <c r="E4439">
        <v>19</v>
      </c>
      <c r="F4439">
        <v>2316.19</v>
      </c>
      <c r="G4439">
        <v>1097.24</v>
      </c>
      <c r="H4439" t="str">
        <f>VLOOKUP(myynnit[[#This Row],[TuoteID]],ohjaus!$A$4:$B$20,2,FALSE)</f>
        <v>Rahi</v>
      </c>
    </row>
    <row r="4440" spans="1:8" x14ac:dyDescent="0.35">
      <c r="A4440" t="s">
        <v>40</v>
      </c>
      <c r="B4440">
        <v>2017</v>
      </c>
      <c r="C4440">
        <v>6</v>
      </c>
      <c r="D4440">
        <v>12622</v>
      </c>
      <c r="E4440">
        <v>15</v>
      </c>
      <c r="F4440">
        <v>3861.25</v>
      </c>
      <c r="G4440">
        <v>1795.49</v>
      </c>
      <c r="H4440" t="str">
        <f>VLOOKUP(myynnit[[#This Row],[TuoteID]],ohjaus!$A$4:$B$20,2,FALSE)</f>
        <v>Pianotuoli</v>
      </c>
    </row>
    <row r="4441" spans="1:8" x14ac:dyDescent="0.35">
      <c r="A4441" t="s">
        <v>40</v>
      </c>
      <c r="B4441">
        <v>2017</v>
      </c>
      <c r="C4441">
        <v>6</v>
      </c>
      <c r="D4441">
        <v>13527</v>
      </c>
      <c r="E4441">
        <v>200</v>
      </c>
      <c r="F4441">
        <v>29848.89</v>
      </c>
      <c r="G4441">
        <v>5194.91</v>
      </c>
      <c r="H4441" t="str">
        <f>VLOOKUP(myynnit[[#This Row],[TuoteID]],ohjaus!$A$4:$B$20,2,FALSE)</f>
        <v>Pinnatuoli</v>
      </c>
    </row>
    <row r="4442" spans="1:8" x14ac:dyDescent="0.35">
      <c r="A4442" t="s">
        <v>40</v>
      </c>
      <c r="B4442">
        <v>2017</v>
      </c>
      <c r="C4442">
        <v>6</v>
      </c>
      <c r="D4442">
        <v>13618</v>
      </c>
      <c r="E4442">
        <v>7</v>
      </c>
      <c r="F4442">
        <v>2258.86</v>
      </c>
      <c r="G4442">
        <v>1048.28</v>
      </c>
      <c r="H4442" t="str">
        <f>VLOOKUP(myynnit[[#This Row],[TuoteID]],ohjaus!$A$4:$B$20,2,FALSE)</f>
        <v>Pianotuoli</v>
      </c>
    </row>
    <row r="4443" spans="1:8" x14ac:dyDescent="0.35">
      <c r="A4443" t="s">
        <v>40</v>
      </c>
      <c r="B4443">
        <v>2017</v>
      </c>
      <c r="C4443">
        <v>6</v>
      </c>
      <c r="D4443">
        <v>16024</v>
      </c>
      <c r="E4443">
        <v>168</v>
      </c>
      <c r="F4443">
        <v>72937.899999999994</v>
      </c>
      <c r="G4443">
        <v>21465.48</v>
      </c>
      <c r="H4443" t="str">
        <f>VLOOKUP(myynnit[[#This Row],[TuoteID]],ohjaus!$A$4:$B$20,2,FALSE)</f>
        <v>Työtuoli</v>
      </c>
    </row>
    <row r="4444" spans="1:8" x14ac:dyDescent="0.35">
      <c r="A4444" t="s">
        <v>40</v>
      </c>
      <c r="B4444">
        <v>2017</v>
      </c>
      <c r="C4444">
        <v>6</v>
      </c>
      <c r="D4444">
        <v>16650</v>
      </c>
      <c r="E4444">
        <v>29</v>
      </c>
      <c r="F4444">
        <v>4165.05</v>
      </c>
      <c r="G4444">
        <v>2968.98</v>
      </c>
      <c r="H4444" t="str">
        <f>VLOOKUP(myynnit[[#This Row],[TuoteID]],ohjaus!$A$4:$B$20,2,FALSE)</f>
        <v>Rahi</v>
      </c>
    </row>
    <row r="4445" spans="1:8" x14ac:dyDescent="0.35">
      <c r="A4445" t="s">
        <v>40</v>
      </c>
      <c r="B4445">
        <v>2017</v>
      </c>
      <c r="C4445">
        <v>6</v>
      </c>
      <c r="D4445">
        <v>17892</v>
      </c>
      <c r="E4445">
        <v>42</v>
      </c>
      <c r="F4445">
        <v>5743.43</v>
      </c>
      <c r="G4445">
        <v>1303.94</v>
      </c>
      <c r="H4445" t="str">
        <f>VLOOKUP(myynnit[[#This Row],[TuoteID]],ohjaus!$A$4:$B$20,2,FALSE)</f>
        <v>Lepotuoli</v>
      </c>
    </row>
    <row r="4446" spans="1:8" x14ac:dyDescent="0.35">
      <c r="A4446" t="s">
        <v>40</v>
      </c>
      <c r="B4446">
        <v>2017</v>
      </c>
      <c r="C4446">
        <v>6</v>
      </c>
      <c r="D4446">
        <v>18342</v>
      </c>
      <c r="E4446">
        <v>12</v>
      </c>
      <c r="F4446">
        <v>10304.879999999999</v>
      </c>
      <c r="G4446">
        <v>3297.9</v>
      </c>
      <c r="H4446" t="str">
        <f>VLOOKUP(myynnit[[#This Row],[TuoteID]],ohjaus!$A$4:$B$20,2,FALSE)</f>
        <v>Työtuoli</v>
      </c>
    </row>
    <row r="4447" spans="1:8" x14ac:dyDescent="0.35">
      <c r="A4447" t="s">
        <v>40</v>
      </c>
      <c r="B4447">
        <v>2017</v>
      </c>
      <c r="C4447">
        <v>6</v>
      </c>
      <c r="D4447">
        <v>20177</v>
      </c>
      <c r="E4447">
        <v>30</v>
      </c>
      <c r="F4447">
        <v>2887.33</v>
      </c>
      <c r="G4447">
        <v>1076.73</v>
      </c>
      <c r="H4447" t="str">
        <f>VLOOKUP(myynnit[[#This Row],[TuoteID]],ohjaus!$A$4:$B$20,2,FALSE)</f>
        <v>Säkkituoli</v>
      </c>
    </row>
    <row r="4448" spans="1:8" x14ac:dyDescent="0.35">
      <c r="A4448" t="s">
        <v>40</v>
      </c>
      <c r="B4448">
        <v>2017</v>
      </c>
      <c r="C4448">
        <v>6</v>
      </c>
      <c r="D4448">
        <v>21179</v>
      </c>
      <c r="E4448">
        <v>35</v>
      </c>
      <c r="F4448">
        <v>3996.68</v>
      </c>
      <c r="G4448">
        <v>2322.41</v>
      </c>
      <c r="H4448" t="str">
        <f>VLOOKUP(myynnit[[#This Row],[TuoteID]],ohjaus!$A$4:$B$20,2,FALSE)</f>
        <v>Rahi</v>
      </c>
    </row>
    <row r="4449" spans="1:8" x14ac:dyDescent="0.35">
      <c r="A4449" t="s">
        <v>40</v>
      </c>
      <c r="B4449">
        <v>2017</v>
      </c>
      <c r="C4449">
        <v>6</v>
      </c>
      <c r="D4449">
        <v>21260</v>
      </c>
      <c r="E4449">
        <v>31</v>
      </c>
      <c r="F4449">
        <v>6368.4</v>
      </c>
      <c r="G4449">
        <v>1760.28</v>
      </c>
      <c r="H4449" t="str">
        <f>VLOOKUP(myynnit[[#This Row],[TuoteID]],ohjaus!$A$4:$B$20,2,FALSE)</f>
        <v>Lepotuoli</v>
      </c>
    </row>
    <row r="4450" spans="1:8" x14ac:dyDescent="0.35">
      <c r="A4450" t="s">
        <v>40</v>
      </c>
      <c r="B4450">
        <v>2017</v>
      </c>
      <c r="C4450">
        <v>6</v>
      </c>
      <c r="D4450">
        <v>22317</v>
      </c>
      <c r="E4450">
        <v>17</v>
      </c>
      <c r="F4450">
        <v>1582.43</v>
      </c>
      <c r="G4450">
        <v>672.77</v>
      </c>
      <c r="H4450" t="str">
        <f>VLOOKUP(myynnit[[#This Row],[TuoteID]],ohjaus!$A$4:$B$20,2,FALSE)</f>
        <v>Säkkituoli</v>
      </c>
    </row>
    <row r="4451" spans="1:8" x14ac:dyDescent="0.35">
      <c r="A4451" t="s">
        <v>40</v>
      </c>
      <c r="B4451">
        <v>2017</v>
      </c>
      <c r="C4451">
        <v>6</v>
      </c>
      <c r="D4451">
        <v>22940</v>
      </c>
      <c r="E4451">
        <v>97</v>
      </c>
      <c r="F4451">
        <v>12097.27</v>
      </c>
      <c r="G4451">
        <v>3176.52</v>
      </c>
      <c r="H4451" t="str">
        <f>VLOOKUP(myynnit[[#This Row],[TuoteID]],ohjaus!$A$4:$B$20,2,FALSE)</f>
        <v>Pinnatuoli</v>
      </c>
    </row>
    <row r="4452" spans="1:8" x14ac:dyDescent="0.35">
      <c r="A4452" t="s">
        <v>40</v>
      </c>
      <c r="B4452">
        <v>2017</v>
      </c>
      <c r="C4452">
        <v>6</v>
      </c>
      <c r="D4452">
        <v>23178</v>
      </c>
      <c r="E4452">
        <v>322</v>
      </c>
      <c r="F4452">
        <v>62415.3</v>
      </c>
      <c r="G4452">
        <v>16863.55</v>
      </c>
      <c r="H4452" t="str">
        <f>VLOOKUP(myynnit[[#This Row],[TuoteID]],ohjaus!$A$4:$B$20,2,FALSE)</f>
        <v>Pinnatuoli</v>
      </c>
    </row>
    <row r="4453" spans="1:8" x14ac:dyDescent="0.35">
      <c r="A4453" t="s">
        <v>40</v>
      </c>
      <c r="B4453">
        <v>2017</v>
      </c>
      <c r="C4453">
        <v>6</v>
      </c>
      <c r="D4453">
        <v>23600</v>
      </c>
      <c r="E4453">
        <v>600</v>
      </c>
      <c r="F4453">
        <v>71134.570000000007</v>
      </c>
      <c r="G4453">
        <v>16764.95</v>
      </c>
      <c r="H4453" t="str">
        <f>VLOOKUP(myynnit[[#This Row],[TuoteID]],ohjaus!$A$4:$B$20,2,FALSE)</f>
        <v>Pinnatuoli</v>
      </c>
    </row>
    <row r="4454" spans="1:8" x14ac:dyDescent="0.35">
      <c r="A4454" t="s">
        <v>40</v>
      </c>
      <c r="B4454">
        <v>2017</v>
      </c>
      <c r="C4454">
        <v>6</v>
      </c>
      <c r="D4454">
        <v>23756</v>
      </c>
      <c r="E4454">
        <v>92</v>
      </c>
      <c r="F4454">
        <v>16136.31</v>
      </c>
      <c r="G4454">
        <v>6501.74</v>
      </c>
      <c r="H4454" t="str">
        <f>VLOOKUP(myynnit[[#This Row],[TuoteID]],ohjaus!$A$4:$B$20,2,FALSE)</f>
        <v>Pianotuoli</v>
      </c>
    </row>
    <row r="4455" spans="1:8" x14ac:dyDescent="0.35">
      <c r="A4455" t="s">
        <v>40</v>
      </c>
      <c r="B4455">
        <v>2017</v>
      </c>
      <c r="C4455">
        <v>6</v>
      </c>
      <c r="D4455">
        <v>24326</v>
      </c>
      <c r="E4455">
        <v>39</v>
      </c>
      <c r="F4455">
        <v>5537.98</v>
      </c>
      <c r="G4455">
        <v>1476.21</v>
      </c>
      <c r="H4455" t="str">
        <f>VLOOKUP(myynnit[[#This Row],[TuoteID]],ohjaus!$A$4:$B$20,2,FALSE)</f>
        <v>Lepotuoli</v>
      </c>
    </row>
    <row r="4456" spans="1:8" x14ac:dyDescent="0.35">
      <c r="A4456" t="s">
        <v>39</v>
      </c>
      <c r="B4456">
        <v>2017</v>
      </c>
      <c r="C4456">
        <v>6</v>
      </c>
      <c r="D4456">
        <v>12184</v>
      </c>
      <c r="E4456">
        <v>93</v>
      </c>
      <c r="F4456">
        <v>9799.3799999999992</v>
      </c>
      <c r="G4456">
        <v>5713.75</v>
      </c>
      <c r="H4456" t="str">
        <f>VLOOKUP(myynnit[[#This Row],[TuoteID]],ohjaus!$A$4:$B$20,2,FALSE)</f>
        <v>Rahi</v>
      </c>
    </row>
    <row r="4457" spans="1:8" x14ac:dyDescent="0.35">
      <c r="A4457" t="s">
        <v>39</v>
      </c>
      <c r="B4457">
        <v>2017</v>
      </c>
      <c r="C4457">
        <v>6</v>
      </c>
      <c r="D4457">
        <v>12622</v>
      </c>
      <c r="E4457">
        <v>61</v>
      </c>
      <c r="F4457">
        <v>13388.54</v>
      </c>
      <c r="G4457">
        <v>6627.39</v>
      </c>
      <c r="H4457" t="str">
        <f>VLOOKUP(myynnit[[#This Row],[TuoteID]],ohjaus!$A$4:$B$20,2,FALSE)</f>
        <v>Pianotuoli</v>
      </c>
    </row>
    <row r="4458" spans="1:8" x14ac:dyDescent="0.35">
      <c r="A4458" t="s">
        <v>39</v>
      </c>
      <c r="B4458">
        <v>2017</v>
      </c>
      <c r="C4458">
        <v>6</v>
      </c>
      <c r="D4458">
        <v>13527</v>
      </c>
      <c r="E4458">
        <v>395</v>
      </c>
      <c r="F4458">
        <v>67353.2</v>
      </c>
      <c r="G4458">
        <v>15424.81</v>
      </c>
      <c r="H4458" t="str">
        <f>VLOOKUP(myynnit[[#This Row],[TuoteID]],ohjaus!$A$4:$B$20,2,FALSE)</f>
        <v>Pinnatuoli</v>
      </c>
    </row>
    <row r="4459" spans="1:8" x14ac:dyDescent="0.35">
      <c r="A4459" t="s">
        <v>39</v>
      </c>
      <c r="B4459">
        <v>2017</v>
      </c>
      <c r="C4459">
        <v>6</v>
      </c>
      <c r="D4459">
        <v>13618</v>
      </c>
      <c r="E4459">
        <v>21</v>
      </c>
      <c r="F4459">
        <v>9027.42</v>
      </c>
      <c r="G4459">
        <v>4909.4399999999996</v>
      </c>
      <c r="H4459" t="str">
        <f>VLOOKUP(myynnit[[#This Row],[TuoteID]],ohjaus!$A$4:$B$20,2,FALSE)</f>
        <v>Pianotuoli</v>
      </c>
    </row>
    <row r="4460" spans="1:8" x14ac:dyDescent="0.35">
      <c r="A4460" t="s">
        <v>39</v>
      </c>
      <c r="B4460">
        <v>2017</v>
      </c>
      <c r="C4460">
        <v>6</v>
      </c>
      <c r="D4460">
        <v>16024</v>
      </c>
      <c r="E4460">
        <v>294</v>
      </c>
      <c r="F4460">
        <v>120507.85</v>
      </c>
      <c r="G4460">
        <v>34768.080000000002</v>
      </c>
      <c r="H4460" t="str">
        <f>VLOOKUP(myynnit[[#This Row],[TuoteID]],ohjaus!$A$4:$B$20,2,FALSE)</f>
        <v>Työtuoli</v>
      </c>
    </row>
    <row r="4461" spans="1:8" x14ac:dyDescent="0.35">
      <c r="A4461" t="s">
        <v>39</v>
      </c>
      <c r="B4461">
        <v>2017</v>
      </c>
      <c r="C4461">
        <v>6</v>
      </c>
      <c r="D4461">
        <v>16650</v>
      </c>
      <c r="E4461">
        <v>41</v>
      </c>
      <c r="F4461">
        <v>5354.88</v>
      </c>
      <c r="G4461">
        <v>3376.41</v>
      </c>
      <c r="H4461" t="str">
        <f>VLOOKUP(myynnit[[#This Row],[TuoteID]],ohjaus!$A$4:$B$20,2,FALSE)</f>
        <v>Rahi</v>
      </c>
    </row>
    <row r="4462" spans="1:8" x14ac:dyDescent="0.35">
      <c r="A4462" t="s">
        <v>39</v>
      </c>
      <c r="B4462">
        <v>2017</v>
      </c>
      <c r="C4462">
        <v>6</v>
      </c>
      <c r="D4462">
        <v>17892</v>
      </c>
      <c r="E4462">
        <v>117</v>
      </c>
      <c r="F4462">
        <v>17119.439999999999</v>
      </c>
      <c r="G4462">
        <v>5223.6899999999996</v>
      </c>
      <c r="H4462" t="str">
        <f>VLOOKUP(myynnit[[#This Row],[TuoteID]],ohjaus!$A$4:$B$20,2,FALSE)</f>
        <v>Lepotuoli</v>
      </c>
    </row>
    <row r="4463" spans="1:8" x14ac:dyDescent="0.35">
      <c r="A4463" t="s">
        <v>39</v>
      </c>
      <c r="B4463">
        <v>2017</v>
      </c>
      <c r="C4463">
        <v>6</v>
      </c>
      <c r="D4463">
        <v>18342</v>
      </c>
      <c r="E4463">
        <v>181</v>
      </c>
      <c r="F4463">
        <v>135499.5</v>
      </c>
      <c r="G4463">
        <v>46444.27</v>
      </c>
      <c r="H4463" t="str">
        <f>VLOOKUP(myynnit[[#This Row],[TuoteID]],ohjaus!$A$4:$B$20,2,FALSE)</f>
        <v>Työtuoli</v>
      </c>
    </row>
    <row r="4464" spans="1:8" x14ac:dyDescent="0.35">
      <c r="A4464" t="s">
        <v>39</v>
      </c>
      <c r="B4464">
        <v>2017</v>
      </c>
      <c r="C4464">
        <v>6</v>
      </c>
      <c r="D4464">
        <v>20177</v>
      </c>
      <c r="E4464">
        <v>64</v>
      </c>
      <c r="F4464">
        <v>5503.83</v>
      </c>
      <c r="G4464">
        <v>2898.47</v>
      </c>
      <c r="H4464" t="str">
        <f>VLOOKUP(myynnit[[#This Row],[TuoteID]],ohjaus!$A$4:$B$20,2,FALSE)</f>
        <v>Säkkituoli</v>
      </c>
    </row>
    <row r="4465" spans="1:8" x14ac:dyDescent="0.35">
      <c r="A4465" t="s">
        <v>39</v>
      </c>
      <c r="B4465">
        <v>2017</v>
      </c>
      <c r="C4465">
        <v>6</v>
      </c>
      <c r="D4465">
        <v>21179</v>
      </c>
      <c r="E4465">
        <v>44</v>
      </c>
      <c r="F4465">
        <v>4793.1000000000004</v>
      </c>
      <c r="G4465">
        <v>3544.13</v>
      </c>
      <c r="H4465" t="str">
        <f>VLOOKUP(myynnit[[#This Row],[TuoteID]],ohjaus!$A$4:$B$20,2,FALSE)</f>
        <v>Rahi</v>
      </c>
    </row>
    <row r="4466" spans="1:8" x14ac:dyDescent="0.35">
      <c r="A4466" t="s">
        <v>39</v>
      </c>
      <c r="B4466">
        <v>2017</v>
      </c>
      <c r="C4466">
        <v>6</v>
      </c>
      <c r="D4466">
        <v>21260</v>
      </c>
      <c r="E4466">
        <v>61</v>
      </c>
      <c r="F4466">
        <v>10519.61</v>
      </c>
      <c r="G4466">
        <v>3341.39</v>
      </c>
      <c r="H4466" t="str">
        <f>VLOOKUP(myynnit[[#This Row],[TuoteID]],ohjaus!$A$4:$B$20,2,FALSE)</f>
        <v>Lepotuoli</v>
      </c>
    </row>
    <row r="4467" spans="1:8" x14ac:dyDescent="0.35">
      <c r="A4467" t="s">
        <v>39</v>
      </c>
      <c r="B4467">
        <v>2017</v>
      </c>
      <c r="C4467">
        <v>6</v>
      </c>
      <c r="D4467">
        <v>22317</v>
      </c>
      <c r="E4467">
        <v>33</v>
      </c>
      <c r="F4467">
        <v>2625.62</v>
      </c>
      <c r="G4467">
        <v>1349.12</v>
      </c>
      <c r="H4467" t="str">
        <f>VLOOKUP(myynnit[[#This Row],[TuoteID]],ohjaus!$A$4:$B$20,2,FALSE)</f>
        <v>Säkkituoli</v>
      </c>
    </row>
    <row r="4468" spans="1:8" x14ac:dyDescent="0.35">
      <c r="A4468" t="s">
        <v>39</v>
      </c>
      <c r="B4468">
        <v>2017</v>
      </c>
      <c r="C4468">
        <v>6</v>
      </c>
      <c r="D4468">
        <v>22940</v>
      </c>
      <c r="E4468">
        <v>594</v>
      </c>
      <c r="F4468">
        <v>82929.45</v>
      </c>
      <c r="G4468">
        <v>22147.38</v>
      </c>
      <c r="H4468" t="str">
        <f>VLOOKUP(myynnit[[#This Row],[TuoteID]],ohjaus!$A$4:$B$20,2,FALSE)</f>
        <v>Pinnatuoli</v>
      </c>
    </row>
    <row r="4469" spans="1:8" x14ac:dyDescent="0.35">
      <c r="A4469" t="s">
        <v>39</v>
      </c>
      <c r="B4469">
        <v>2017</v>
      </c>
      <c r="C4469">
        <v>6</v>
      </c>
      <c r="D4469">
        <v>23178</v>
      </c>
      <c r="E4469">
        <v>144</v>
      </c>
      <c r="F4469">
        <v>27991.01</v>
      </c>
      <c r="G4469">
        <v>7303.18</v>
      </c>
      <c r="H4469" t="str">
        <f>VLOOKUP(myynnit[[#This Row],[TuoteID]],ohjaus!$A$4:$B$20,2,FALSE)</f>
        <v>Pinnatuoli</v>
      </c>
    </row>
    <row r="4470" spans="1:8" x14ac:dyDescent="0.35">
      <c r="A4470" t="s">
        <v>39</v>
      </c>
      <c r="B4470">
        <v>2017</v>
      </c>
      <c r="C4470">
        <v>6</v>
      </c>
      <c r="D4470">
        <v>23600</v>
      </c>
      <c r="E4470">
        <v>912</v>
      </c>
      <c r="F4470">
        <v>112103.35</v>
      </c>
      <c r="G4470">
        <v>29584.080000000002</v>
      </c>
      <c r="H4470" t="str">
        <f>VLOOKUP(myynnit[[#This Row],[TuoteID]],ohjaus!$A$4:$B$20,2,FALSE)</f>
        <v>Pinnatuoli</v>
      </c>
    </row>
    <row r="4471" spans="1:8" x14ac:dyDescent="0.35">
      <c r="A4471" t="s">
        <v>39</v>
      </c>
      <c r="B4471">
        <v>2017</v>
      </c>
      <c r="C4471">
        <v>6</v>
      </c>
      <c r="D4471">
        <v>23756</v>
      </c>
      <c r="E4471">
        <v>126</v>
      </c>
      <c r="F4471">
        <v>20598.12</v>
      </c>
      <c r="G4471">
        <v>13513.71</v>
      </c>
      <c r="H4471" t="str">
        <f>VLOOKUP(myynnit[[#This Row],[TuoteID]],ohjaus!$A$4:$B$20,2,FALSE)</f>
        <v>Pianotuoli</v>
      </c>
    </row>
    <row r="4472" spans="1:8" x14ac:dyDescent="0.35">
      <c r="A4472" t="s">
        <v>39</v>
      </c>
      <c r="B4472">
        <v>2017</v>
      </c>
      <c r="C4472">
        <v>6</v>
      </c>
      <c r="D4472">
        <v>24326</v>
      </c>
      <c r="E4472">
        <v>69</v>
      </c>
      <c r="F4472">
        <v>9734.5</v>
      </c>
      <c r="G4472">
        <v>3461.76</v>
      </c>
      <c r="H4472" t="str">
        <f>VLOOKUP(myynnit[[#This Row],[TuoteID]],ohjaus!$A$4:$B$20,2,FALSE)</f>
        <v>Lepotuoli</v>
      </c>
    </row>
    <row r="4473" spans="1:8" x14ac:dyDescent="0.35">
      <c r="A4473" t="s">
        <v>38</v>
      </c>
      <c r="B4473">
        <v>2017</v>
      </c>
      <c r="C4473">
        <v>6</v>
      </c>
      <c r="D4473">
        <v>12184</v>
      </c>
      <c r="E4473">
        <v>62</v>
      </c>
      <c r="F4473">
        <v>7008.16</v>
      </c>
      <c r="G4473">
        <v>4405.76</v>
      </c>
      <c r="H4473" t="str">
        <f>VLOOKUP(myynnit[[#This Row],[TuoteID]],ohjaus!$A$4:$B$20,2,FALSE)</f>
        <v>Rahi</v>
      </c>
    </row>
    <row r="4474" spans="1:8" x14ac:dyDescent="0.35">
      <c r="A4474" t="s">
        <v>38</v>
      </c>
      <c r="B4474">
        <v>2017</v>
      </c>
      <c r="C4474">
        <v>6</v>
      </c>
      <c r="D4474">
        <v>12622</v>
      </c>
      <c r="E4474">
        <v>51</v>
      </c>
      <c r="F4474">
        <v>13374.87</v>
      </c>
      <c r="G4474">
        <v>7066.95</v>
      </c>
      <c r="H4474" t="str">
        <f>VLOOKUP(myynnit[[#This Row],[TuoteID]],ohjaus!$A$4:$B$20,2,FALSE)</f>
        <v>Pianotuoli</v>
      </c>
    </row>
    <row r="4475" spans="1:8" x14ac:dyDescent="0.35">
      <c r="A4475" t="s">
        <v>38</v>
      </c>
      <c r="B4475">
        <v>2017</v>
      </c>
      <c r="C4475">
        <v>6</v>
      </c>
      <c r="D4475">
        <v>13527</v>
      </c>
      <c r="E4475">
        <v>646</v>
      </c>
      <c r="F4475">
        <v>111038.73</v>
      </c>
      <c r="G4475">
        <v>23432.42</v>
      </c>
      <c r="H4475" t="str">
        <f>VLOOKUP(myynnit[[#This Row],[TuoteID]],ohjaus!$A$4:$B$20,2,FALSE)</f>
        <v>Pinnatuoli</v>
      </c>
    </row>
    <row r="4476" spans="1:8" x14ac:dyDescent="0.35">
      <c r="A4476" t="s">
        <v>38</v>
      </c>
      <c r="B4476">
        <v>2017</v>
      </c>
      <c r="C4476">
        <v>6</v>
      </c>
      <c r="D4476">
        <v>13618</v>
      </c>
      <c r="E4476">
        <v>9</v>
      </c>
      <c r="F4476">
        <v>3934.5</v>
      </c>
      <c r="G4476">
        <v>1584.01</v>
      </c>
      <c r="H4476" t="str">
        <f>VLOOKUP(myynnit[[#This Row],[TuoteID]],ohjaus!$A$4:$B$20,2,FALSE)</f>
        <v>Pianotuoli</v>
      </c>
    </row>
    <row r="4477" spans="1:8" x14ac:dyDescent="0.35">
      <c r="A4477" t="s">
        <v>38</v>
      </c>
      <c r="B4477">
        <v>2017</v>
      </c>
      <c r="C4477">
        <v>6</v>
      </c>
      <c r="D4477">
        <v>16024</v>
      </c>
      <c r="E4477">
        <v>95</v>
      </c>
      <c r="F4477">
        <v>40213.11</v>
      </c>
      <c r="G4477">
        <v>11337.91</v>
      </c>
      <c r="H4477" t="str">
        <f>VLOOKUP(myynnit[[#This Row],[TuoteID]],ohjaus!$A$4:$B$20,2,FALSE)</f>
        <v>Työtuoli</v>
      </c>
    </row>
    <row r="4478" spans="1:8" x14ac:dyDescent="0.35">
      <c r="A4478" t="s">
        <v>38</v>
      </c>
      <c r="B4478">
        <v>2017</v>
      </c>
      <c r="C4478">
        <v>6</v>
      </c>
      <c r="D4478">
        <v>16650</v>
      </c>
      <c r="E4478">
        <v>31</v>
      </c>
      <c r="F4478">
        <v>5337</v>
      </c>
      <c r="G4478">
        <v>2808.03</v>
      </c>
      <c r="H4478" t="str">
        <f>VLOOKUP(myynnit[[#This Row],[TuoteID]],ohjaus!$A$4:$B$20,2,FALSE)</f>
        <v>Rahi</v>
      </c>
    </row>
    <row r="4479" spans="1:8" x14ac:dyDescent="0.35">
      <c r="A4479" t="s">
        <v>38</v>
      </c>
      <c r="B4479">
        <v>2017</v>
      </c>
      <c r="C4479">
        <v>6</v>
      </c>
      <c r="D4479">
        <v>17892</v>
      </c>
      <c r="E4479">
        <v>44</v>
      </c>
      <c r="F4479">
        <v>5972.85</v>
      </c>
      <c r="G4479">
        <v>1467.84</v>
      </c>
      <c r="H4479" t="str">
        <f>VLOOKUP(myynnit[[#This Row],[TuoteID]],ohjaus!$A$4:$B$20,2,FALSE)</f>
        <v>Lepotuoli</v>
      </c>
    </row>
    <row r="4480" spans="1:8" x14ac:dyDescent="0.35">
      <c r="A4480" t="s">
        <v>38</v>
      </c>
      <c r="B4480">
        <v>2017</v>
      </c>
      <c r="C4480">
        <v>6</v>
      </c>
      <c r="D4480">
        <v>18342</v>
      </c>
      <c r="E4480">
        <v>90</v>
      </c>
      <c r="F4480">
        <v>69492.02</v>
      </c>
      <c r="G4480">
        <v>19468.03</v>
      </c>
      <c r="H4480" t="str">
        <f>VLOOKUP(myynnit[[#This Row],[TuoteID]],ohjaus!$A$4:$B$20,2,FALSE)</f>
        <v>Työtuoli</v>
      </c>
    </row>
    <row r="4481" spans="1:8" x14ac:dyDescent="0.35">
      <c r="A4481" t="s">
        <v>38</v>
      </c>
      <c r="B4481">
        <v>2017</v>
      </c>
      <c r="C4481">
        <v>6</v>
      </c>
      <c r="D4481">
        <v>20177</v>
      </c>
      <c r="E4481">
        <v>72</v>
      </c>
      <c r="F4481">
        <v>8068.71</v>
      </c>
      <c r="G4481">
        <v>3255.07</v>
      </c>
      <c r="H4481" t="str">
        <f>VLOOKUP(myynnit[[#This Row],[TuoteID]],ohjaus!$A$4:$B$20,2,FALSE)</f>
        <v>Säkkituoli</v>
      </c>
    </row>
    <row r="4482" spans="1:8" x14ac:dyDescent="0.35">
      <c r="A4482" t="s">
        <v>38</v>
      </c>
      <c r="B4482">
        <v>2017</v>
      </c>
      <c r="C4482">
        <v>6</v>
      </c>
      <c r="D4482">
        <v>21179</v>
      </c>
      <c r="E4482">
        <v>54</v>
      </c>
      <c r="F4482">
        <v>6733.01</v>
      </c>
      <c r="G4482">
        <v>4268.47</v>
      </c>
      <c r="H4482" t="str">
        <f>VLOOKUP(myynnit[[#This Row],[TuoteID]],ohjaus!$A$4:$B$20,2,FALSE)</f>
        <v>Rahi</v>
      </c>
    </row>
    <row r="4483" spans="1:8" x14ac:dyDescent="0.35">
      <c r="A4483" t="s">
        <v>38</v>
      </c>
      <c r="B4483">
        <v>2017</v>
      </c>
      <c r="C4483">
        <v>6</v>
      </c>
      <c r="D4483">
        <v>21260</v>
      </c>
      <c r="E4483">
        <v>53</v>
      </c>
      <c r="F4483">
        <v>10394.200000000001</v>
      </c>
      <c r="G4483">
        <v>2415</v>
      </c>
      <c r="H4483" t="str">
        <f>VLOOKUP(myynnit[[#This Row],[TuoteID]],ohjaus!$A$4:$B$20,2,FALSE)</f>
        <v>Lepotuoli</v>
      </c>
    </row>
    <row r="4484" spans="1:8" x14ac:dyDescent="0.35">
      <c r="A4484" t="s">
        <v>38</v>
      </c>
      <c r="B4484">
        <v>2017</v>
      </c>
      <c r="C4484">
        <v>6</v>
      </c>
      <c r="D4484">
        <v>22317</v>
      </c>
      <c r="E4484">
        <v>72</v>
      </c>
      <c r="F4484">
        <v>6944.36</v>
      </c>
      <c r="G4484">
        <v>2706.2</v>
      </c>
      <c r="H4484" t="str">
        <f>VLOOKUP(myynnit[[#This Row],[TuoteID]],ohjaus!$A$4:$B$20,2,FALSE)</f>
        <v>Säkkituoli</v>
      </c>
    </row>
    <row r="4485" spans="1:8" x14ac:dyDescent="0.35">
      <c r="A4485" t="s">
        <v>38</v>
      </c>
      <c r="B4485">
        <v>2017</v>
      </c>
      <c r="C4485">
        <v>6</v>
      </c>
      <c r="D4485">
        <v>22940</v>
      </c>
      <c r="E4485">
        <v>490</v>
      </c>
      <c r="F4485">
        <v>58112.38</v>
      </c>
      <c r="G4485">
        <v>12827.52</v>
      </c>
      <c r="H4485" t="str">
        <f>VLOOKUP(myynnit[[#This Row],[TuoteID]],ohjaus!$A$4:$B$20,2,FALSE)</f>
        <v>Pinnatuoli</v>
      </c>
    </row>
    <row r="4486" spans="1:8" x14ac:dyDescent="0.35">
      <c r="A4486" t="s">
        <v>38</v>
      </c>
      <c r="B4486">
        <v>2017</v>
      </c>
      <c r="C4486">
        <v>6</v>
      </c>
      <c r="D4486">
        <v>23178</v>
      </c>
      <c r="E4486">
        <v>161</v>
      </c>
      <c r="F4486">
        <v>25731.55</v>
      </c>
      <c r="G4486">
        <v>4820.75</v>
      </c>
      <c r="H4486" t="str">
        <f>VLOOKUP(myynnit[[#This Row],[TuoteID]],ohjaus!$A$4:$B$20,2,FALSE)</f>
        <v>Pinnatuoli</v>
      </c>
    </row>
    <row r="4487" spans="1:8" x14ac:dyDescent="0.35">
      <c r="A4487" t="s">
        <v>38</v>
      </c>
      <c r="B4487">
        <v>2017</v>
      </c>
      <c r="C4487">
        <v>6</v>
      </c>
      <c r="D4487">
        <v>23600</v>
      </c>
      <c r="E4487">
        <v>858</v>
      </c>
      <c r="F4487">
        <v>91568.59</v>
      </c>
      <c r="G4487">
        <v>24788.71</v>
      </c>
      <c r="H4487" t="str">
        <f>VLOOKUP(myynnit[[#This Row],[TuoteID]],ohjaus!$A$4:$B$20,2,FALSE)</f>
        <v>Pinnatuoli</v>
      </c>
    </row>
    <row r="4488" spans="1:8" x14ac:dyDescent="0.35">
      <c r="A4488" t="s">
        <v>38</v>
      </c>
      <c r="B4488">
        <v>2017</v>
      </c>
      <c r="C4488">
        <v>6</v>
      </c>
      <c r="D4488">
        <v>23756</v>
      </c>
      <c r="E4488">
        <v>109</v>
      </c>
      <c r="F4488">
        <v>16721.060000000001</v>
      </c>
      <c r="G4488">
        <v>7095.35</v>
      </c>
      <c r="H4488" t="str">
        <f>VLOOKUP(myynnit[[#This Row],[TuoteID]],ohjaus!$A$4:$B$20,2,FALSE)</f>
        <v>Pianotuoli</v>
      </c>
    </row>
    <row r="4489" spans="1:8" x14ac:dyDescent="0.35">
      <c r="A4489" t="s">
        <v>38</v>
      </c>
      <c r="B4489">
        <v>2017</v>
      </c>
      <c r="C4489">
        <v>6</v>
      </c>
      <c r="D4489">
        <v>24326</v>
      </c>
      <c r="E4489">
        <v>144</v>
      </c>
      <c r="F4489">
        <v>19417.669999999998</v>
      </c>
      <c r="G4489">
        <v>5208.03</v>
      </c>
      <c r="H4489" t="str">
        <f>VLOOKUP(myynnit[[#This Row],[TuoteID]],ohjaus!$A$4:$B$20,2,FALSE)</f>
        <v>Lepotuoli</v>
      </c>
    </row>
    <row r="4490" spans="1:8" x14ac:dyDescent="0.35">
      <c r="A4490" t="s">
        <v>37</v>
      </c>
      <c r="B4490">
        <v>2017</v>
      </c>
      <c r="C4490">
        <v>7</v>
      </c>
      <c r="D4490">
        <v>12184</v>
      </c>
      <c r="E4490">
        <v>85</v>
      </c>
      <c r="F4490">
        <v>11575.58</v>
      </c>
      <c r="G4490">
        <v>4781.28</v>
      </c>
      <c r="H4490" t="str">
        <f>VLOOKUP(myynnit[[#This Row],[TuoteID]],ohjaus!$A$4:$B$20,2,FALSE)</f>
        <v>Rahi</v>
      </c>
    </row>
    <row r="4491" spans="1:8" x14ac:dyDescent="0.35">
      <c r="A4491" t="s">
        <v>37</v>
      </c>
      <c r="B4491">
        <v>2017</v>
      </c>
      <c r="C4491">
        <v>7</v>
      </c>
      <c r="D4491">
        <v>12622</v>
      </c>
      <c r="E4491">
        <v>33</v>
      </c>
      <c r="F4491">
        <v>10382.6</v>
      </c>
      <c r="G4491">
        <v>4354.5600000000004</v>
      </c>
      <c r="H4491" t="str">
        <f>VLOOKUP(myynnit[[#This Row],[TuoteID]],ohjaus!$A$4:$B$20,2,FALSE)</f>
        <v>Pianotuoli</v>
      </c>
    </row>
    <row r="4492" spans="1:8" x14ac:dyDescent="0.35">
      <c r="A4492" t="s">
        <v>37</v>
      </c>
      <c r="B4492">
        <v>2017</v>
      </c>
      <c r="C4492">
        <v>7</v>
      </c>
      <c r="D4492">
        <v>13527</v>
      </c>
      <c r="E4492">
        <v>395</v>
      </c>
      <c r="F4492">
        <v>57808.9</v>
      </c>
      <c r="G4492">
        <v>9556.66</v>
      </c>
      <c r="H4492" t="str">
        <f>VLOOKUP(myynnit[[#This Row],[TuoteID]],ohjaus!$A$4:$B$20,2,FALSE)</f>
        <v>Pinnatuoli</v>
      </c>
    </row>
    <row r="4493" spans="1:8" x14ac:dyDescent="0.35">
      <c r="A4493" t="s">
        <v>37</v>
      </c>
      <c r="B4493">
        <v>2017</v>
      </c>
      <c r="C4493">
        <v>7</v>
      </c>
      <c r="D4493">
        <v>13618</v>
      </c>
      <c r="E4493">
        <v>18</v>
      </c>
      <c r="F4493">
        <v>5994.53</v>
      </c>
      <c r="G4493">
        <v>2454.88</v>
      </c>
      <c r="H4493" t="str">
        <f>VLOOKUP(myynnit[[#This Row],[TuoteID]],ohjaus!$A$4:$B$20,2,FALSE)</f>
        <v>Pianotuoli</v>
      </c>
    </row>
    <row r="4494" spans="1:8" x14ac:dyDescent="0.35">
      <c r="A4494" t="s">
        <v>37</v>
      </c>
      <c r="B4494">
        <v>2017</v>
      </c>
      <c r="C4494">
        <v>7</v>
      </c>
      <c r="D4494">
        <v>16024</v>
      </c>
      <c r="E4494">
        <v>328</v>
      </c>
      <c r="F4494">
        <v>133317.20000000001</v>
      </c>
      <c r="G4494">
        <v>39370.53</v>
      </c>
      <c r="H4494" t="str">
        <f>VLOOKUP(myynnit[[#This Row],[TuoteID]],ohjaus!$A$4:$B$20,2,FALSE)</f>
        <v>Työtuoli</v>
      </c>
    </row>
    <row r="4495" spans="1:8" x14ac:dyDescent="0.35">
      <c r="A4495" t="s">
        <v>37</v>
      </c>
      <c r="B4495">
        <v>2017</v>
      </c>
      <c r="C4495">
        <v>7</v>
      </c>
      <c r="D4495">
        <v>16650</v>
      </c>
      <c r="E4495">
        <v>66</v>
      </c>
      <c r="F4495">
        <v>10190.790000000001</v>
      </c>
      <c r="G4495">
        <v>4334.22</v>
      </c>
      <c r="H4495" t="str">
        <f>VLOOKUP(myynnit[[#This Row],[TuoteID]],ohjaus!$A$4:$B$20,2,FALSE)</f>
        <v>Rahi</v>
      </c>
    </row>
    <row r="4496" spans="1:8" x14ac:dyDescent="0.35">
      <c r="A4496" t="s">
        <v>37</v>
      </c>
      <c r="B4496">
        <v>2017</v>
      </c>
      <c r="C4496">
        <v>7</v>
      </c>
      <c r="D4496">
        <v>17892</v>
      </c>
      <c r="E4496">
        <v>133</v>
      </c>
      <c r="F4496">
        <v>20727.189999999999</v>
      </c>
      <c r="G4496">
        <v>5260.28</v>
      </c>
      <c r="H4496" t="str">
        <f>VLOOKUP(myynnit[[#This Row],[TuoteID]],ohjaus!$A$4:$B$20,2,FALSE)</f>
        <v>Lepotuoli</v>
      </c>
    </row>
    <row r="4497" spans="1:8" x14ac:dyDescent="0.35">
      <c r="A4497" t="s">
        <v>37</v>
      </c>
      <c r="B4497">
        <v>2017</v>
      </c>
      <c r="C4497">
        <v>7</v>
      </c>
      <c r="D4497">
        <v>18342</v>
      </c>
      <c r="E4497">
        <v>176</v>
      </c>
      <c r="F4497">
        <v>142762.92000000001</v>
      </c>
      <c r="G4497">
        <v>42585.48</v>
      </c>
      <c r="H4497" t="str">
        <f>VLOOKUP(myynnit[[#This Row],[TuoteID]],ohjaus!$A$4:$B$20,2,FALSE)</f>
        <v>Työtuoli</v>
      </c>
    </row>
    <row r="4498" spans="1:8" x14ac:dyDescent="0.35">
      <c r="A4498" t="s">
        <v>37</v>
      </c>
      <c r="B4498">
        <v>2017</v>
      </c>
      <c r="C4498">
        <v>7</v>
      </c>
      <c r="D4498">
        <v>20177</v>
      </c>
      <c r="E4498">
        <v>99</v>
      </c>
      <c r="F4498">
        <v>10411.52</v>
      </c>
      <c r="G4498">
        <v>3599.83</v>
      </c>
      <c r="H4498" t="str">
        <f>VLOOKUP(myynnit[[#This Row],[TuoteID]],ohjaus!$A$4:$B$20,2,FALSE)</f>
        <v>Säkkituoli</v>
      </c>
    </row>
    <row r="4499" spans="1:8" x14ac:dyDescent="0.35">
      <c r="A4499" t="s">
        <v>37</v>
      </c>
      <c r="B4499">
        <v>2017</v>
      </c>
      <c r="C4499">
        <v>7</v>
      </c>
      <c r="D4499">
        <v>21179</v>
      </c>
      <c r="E4499">
        <v>37</v>
      </c>
      <c r="F4499">
        <v>4231.78</v>
      </c>
      <c r="G4499">
        <v>1701.99</v>
      </c>
      <c r="H4499" t="str">
        <f>VLOOKUP(myynnit[[#This Row],[TuoteID]],ohjaus!$A$4:$B$20,2,FALSE)</f>
        <v>Rahi</v>
      </c>
    </row>
    <row r="4500" spans="1:8" x14ac:dyDescent="0.35">
      <c r="A4500" t="s">
        <v>37</v>
      </c>
      <c r="B4500">
        <v>2017</v>
      </c>
      <c r="C4500">
        <v>7</v>
      </c>
      <c r="D4500">
        <v>21260</v>
      </c>
      <c r="E4500">
        <v>78</v>
      </c>
      <c r="F4500">
        <v>15822.27</v>
      </c>
      <c r="G4500">
        <v>4413.47</v>
      </c>
      <c r="H4500" t="str">
        <f>VLOOKUP(myynnit[[#This Row],[TuoteID]],ohjaus!$A$4:$B$20,2,FALSE)</f>
        <v>Lepotuoli</v>
      </c>
    </row>
    <row r="4501" spans="1:8" x14ac:dyDescent="0.35">
      <c r="A4501" t="s">
        <v>37</v>
      </c>
      <c r="B4501">
        <v>2017</v>
      </c>
      <c r="C4501">
        <v>7</v>
      </c>
      <c r="D4501">
        <v>22317</v>
      </c>
      <c r="E4501">
        <v>57</v>
      </c>
      <c r="F4501">
        <v>5163.17</v>
      </c>
      <c r="G4501">
        <v>2062.7800000000002</v>
      </c>
      <c r="H4501" t="str">
        <f>VLOOKUP(myynnit[[#This Row],[TuoteID]],ohjaus!$A$4:$B$20,2,FALSE)</f>
        <v>Säkkituoli</v>
      </c>
    </row>
    <row r="4502" spans="1:8" x14ac:dyDescent="0.35">
      <c r="A4502" t="s">
        <v>37</v>
      </c>
      <c r="B4502">
        <v>2017</v>
      </c>
      <c r="C4502">
        <v>7</v>
      </c>
      <c r="D4502">
        <v>22940</v>
      </c>
      <c r="E4502">
        <v>859</v>
      </c>
      <c r="F4502">
        <v>117540.61</v>
      </c>
      <c r="G4502">
        <v>22166.639999999999</v>
      </c>
      <c r="H4502" t="str">
        <f>VLOOKUP(myynnit[[#This Row],[TuoteID]],ohjaus!$A$4:$B$20,2,FALSE)</f>
        <v>Pinnatuoli</v>
      </c>
    </row>
    <row r="4503" spans="1:8" x14ac:dyDescent="0.35">
      <c r="A4503" t="s">
        <v>37</v>
      </c>
      <c r="B4503">
        <v>2017</v>
      </c>
      <c r="C4503">
        <v>7</v>
      </c>
      <c r="D4503">
        <v>23178</v>
      </c>
      <c r="E4503">
        <v>193</v>
      </c>
      <c r="F4503">
        <v>35215.519999999997</v>
      </c>
      <c r="G4503">
        <v>5670.56</v>
      </c>
      <c r="H4503" t="str">
        <f>VLOOKUP(myynnit[[#This Row],[TuoteID]],ohjaus!$A$4:$B$20,2,FALSE)</f>
        <v>Pinnatuoli</v>
      </c>
    </row>
    <row r="4504" spans="1:8" x14ac:dyDescent="0.35">
      <c r="A4504" t="s">
        <v>37</v>
      </c>
      <c r="B4504">
        <v>2017</v>
      </c>
      <c r="C4504">
        <v>7</v>
      </c>
      <c r="D4504">
        <v>23600</v>
      </c>
      <c r="E4504">
        <v>1062</v>
      </c>
      <c r="F4504">
        <v>116528.9</v>
      </c>
      <c r="G4504">
        <v>25257.75</v>
      </c>
      <c r="H4504" t="str">
        <f>VLOOKUP(myynnit[[#This Row],[TuoteID]],ohjaus!$A$4:$B$20,2,FALSE)</f>
        <v>Pinnatuoli</v>
      </c>
    </row>
    <row r="4505" spans="1:8" x14ac:dyDescent="0.35">
      <c r="A4505" t="s">
        <v>37</v>
      </c>
      <c r="B4505">
        <v>2017</v>
      </c>
      <c r="C4505">
        <v>7</v>
      </c>
      <c r="D4505">
        <v>23756</v>
      </c>
      <c r="E4505">
        <v>101</v>
      </c>
      <c r="F4505">
        <v>19556.2</v>
      </c>
      <c r="G4505">
        <v>10697.53</v>
      </c>
      <c r="H4505" t="str">
        <f>VLOOKUP(myynnit[[#This Row],[TuoteID]],ohjaus!$A$4:$B$20,2,FALSE)</f>
        <v>Pianotuoli</v>
      </c>
    </row>
    <row r="4506" spans="1:8" x14ac:dyDescent="0.35">
      <c r="A4506" t="s">
        <v>37</v>
      </c>
      <c r="B4506">
        <v>2017</v>
      </c>
      <c r="C4506">
        <v>7</v>
      </c>
      <c r="D4506">
        <v>24326</v>
      </c>
      <c r="E4506">
        <v>111</v>
      </c>
      <c r="F4506">
        <v>16371.12</v>
      </c>
      <c r="G4506">
        <v>5333.13</v>
      </c>
      <c r="H4506" t="str">
        <f>VLOOKUP(myynnit[[#This Row],[TuoteID]],ohjaus!$A$4:$B$20,2,FALSE)</f>
        <v>Lepotuoli</v>
      </c>
    </row>
    <row r="4507" spans="1:8" x14ac:dyDescent="0.35">
      <c r="A4507" t="s">
        <v>40</v>
      </c>
      <c r="B4507">
        <v>2017</v>
      </c>
      <c r="C4507">
        <v>7</v>
      </c>
      <c r="D4507">
        <v>12184</v>
      </c>
      <c r="E4507">
        <v>26</v>
      </c>
      <c r="F4507">
        <v>3676.81</v>
      </c>
      <c r="G4507">
        <v>1709.17</v>
      </c>
      <c r="H4507" t="str">
        <f>VLOOKUP(myynnit[[#This Row],[TuoteID]],ohjaus!$A$4:$B$20,2,FALSE)</f>
        <v>Rahi</v>
      </c>
    </row>
    <row r="4508" spans="1:8" x14ac:dyDescent="0.35">
      <c r="A4508" t="s">
        <v>40</v>
      </c>
      <c r="B4508">
        <v>2017</v>
      </c>
      <c r="C4508">
        <v>7</v>
      </c>
      <c r="D4508">
        <v>12622</v>
      </c>
      <c r="E4508">
        <v>11</v>
      </c>
      <c r="F4508">
        <v>3164.44</v>
      </c>
      <c r="G4508">
        <v>1492.73</v>
      </c>
      <c r="H4508" t="str">
        <f>VLOOKUP(myynnit[[#This Row],[TuoteID]],ohjaus!$A$4:$B$20,2,FALSE)</f>
        <v>Pianotuoli</v>
      </c>
    </row>
    <row r="4509" spans="1:8" x14ac:dyDescent="0.35">
      <c r="A4509" t="s">
        <v>40</v>
      </c>
      <c r="B4509">
        <v>2017</v>
      </c>
      <c r="C4509">
        <v>7</v>
      </c>
      <c r="D4509">
        <v>13527</v>
      </c>
      <c r="E4509">
        <v>229</v>
      </c>
      <c r="F4509">
        <v>37715.620000000003</v>
      </c>
      <c r="G4509">
        <v>6661.16</v>
      </c>
      <c r="H4509" t="str">
        <f>VLOOKUP(myynnit[[#This Row],[TuoteID]],ohjaus!$A$4:$B$20,2,FALSE)</f>
        <v>Pinnatuoli</v>
      </c>
    </row>
    <row r="4510" spans="1:8" x14ac:dyDescent="0.35">
      <c r="A4510" t="s">
        <v>40</v>
      </c>
      <c r="B4510">
        <v>2017</v>
      </c>
      <c r="C4510">
        <v>7</v>
      </c>
      <c r="D4510">
        <v>13618</v>
      </c>
      <c r="E4510">
        <v>3</v>
      </c>
      <c r="F4510">
        <v>1160.3</v>
      </c>
      <c r="G4510">
        <v>451.04</v>
      </c>
      <c r="H4510" t="str">
        <f>VLOOKUP(myynnit[[#This Row],[TuoteID]],ohjaus!$A$4:$B$20,2,FALSE)</f>
        <v>Pianotuoli</v>
      </c>
    </row>
    <row r="4511" spans="1:8" x14ac:dyDescent="0.35">
      <c r="A4511" t="s">
        <v>40</v>
      </c>
      <c r="B4511">
        <v>2017</v>
      </c>
      <c r="C4511">
        <v>7</v>
      </c>
      <c r="D4511">
        <v>16024</v>
      </c>
      <c r="E4511">
        <v>229</v>
      </c>
      <c r="F4511">
        <v>89967.24</v>
      </c>
      <c r="G4511">
        <v>24295.25</v>
      </c>
      <c r="H4511" t="str">
        <f>VLOOKUP(myynnit[[#This Row],[TuoteID]],ohjaus!$A$4:$B$20,2,FALSE)</f>
        <v>Työtuoli</v>
      </c>
    </row>
    <row r="4512" spans="1:8" x14ac:dyDescent="0.35">
      <c r="A4512" t="s">
        <v>40</v>
      </c>
      <c r="B4512">
        <v>2017</v>
      </c>
      <c r="C4512">
        <v>7</v>
      </c>
      <c r="D4512">
        <v>16650</v>
      </c>
      <c r="E4512">
        <v>34</v>
      </c>
      <c r="F4512">
        <v>5376.63</v>
      </c>
      <c r="G4512">
        <v>2970.56</v>
      </c>
      <c r="H4512" t="str">
        <f>VLOOKUP(myynnit[[#This Row],[TuoteID]],ohjaus!$A$4:$B$20,2,FALSE)</f>
        <v>Rahi</v>
      </c>
    </row>
    <row r="4513" spans="1:8" x14ac:dyDescent="0.35">
      <c r="A4513" t="s">
        <v>40</v>
      </c>
      <c r="B4513">
        <v>2017</v>
      </c>
      <c r="C4513">
        <v>7</v>
      </c>
      <c r="D4513">
        <v>17892</v>
      </c>
      <c r="E4513">
        <v>77</v>
      </c>
      <c r="F4513">
        <v>10311.209999999999</v>
      </c>
      <c r="G4513">
        <v>2172.15</v>
      </c>
      <c r="H4513" t="str">
        <f>VLOOKUP(myynnit[[#This Row],[TuoteID]],ohjaus!$A$4:$B$20,2,FALSE)</f>
        <v>Lepotuoli</v>
      </c>
    </row>
    <row r="4514" spans="1:8" x14ac:dyDescent="0.35">
      <c r="A4514" t="s">
        <v>40</v>
      </c>
      <c r="B4514">
        <v>2017</v>
      </c>
      <c r="C4514">
        <v>7</v>
      </c>
      <c r="D4514">
        <v>18342</v>
      </c>
      <c r="E4514">
        <v>12</v>
      </c>
      <c r="F4514">
        <v>10975.79</v>
      </c>
      <c r="G4514">
        <v>3678.06</v>
      </c>
      <c r="H4514" t="str">
        <f>VLOOKUP(myynnit[[#This Row],[TuoteID]],ohjaus!$A$4:$B$20,2,FALSE)</f>
        <v>Työtuoli</v>
      </c>
    </row>
    <row r="4515" spans="1:8" x14ac:dyDescent="0.35">
      <c r="A4515" t="s">
        <v>40</v>
      </c>
      <c r="B4515">
        <v>2017</v>
      </c>
      <c r="C4515">
        <v>7</v>
      </c>
      <c r="D4515">
        <v>20177</v>
      </c>
      <c r="E4515">
        <v>20</v>
      </c>
      <c r="F4515">
        <v>2004.03</v>
      </c>
      <c r="G4515">
        <v>673.19</v>
      </c>
      <c r="H4515" t="str">
        <f>VLOOKUP(myynnit[[#This Row],[TuoteID]],ohjaus!$A$4:$B$20,2,FALSE)</f>
        <v>Säkkituoli</v>
      </c>
    </row>
    <row r="4516" spans="1:8" x14ac:dyDescent="0.35">
      <c r="A4516" t="s">
        <v>40</v>
      </c>
      <c r="B4516">
        <v>2017</v>
      </c>
      <c r="C4516">
        <v>7</v>
      </c>
      <c r="D4516">
        <v>21179</v>
      </c>
      <c r="E4516">
        <v>52</v>
      </c>
      <c r="F4516">
        <v>6335.02</v>
      </c>
      <c r="G4516">
        <v>3882.03</v>
      </c>
      <c r="H4516" t="str">
        <f>VLOOKUP(myynnit[[#This Row],[TuoteID]],ohjaus!$A$4:$B$20,2,FALSE)</f>
        <v>Rahi</v>
      </c>
    </row>
    <row r="4517" spans="1:8" x14ac:dyDescent="0.35">
      <c r="A4517" t="s">
        <v>40</v>
      </c>
      <c r="B4517">
        <v>2017</v>
      </c>
      <c r="C4517">
        <v>7</v>
      </c>
      <c r="D4517">
        <v>21260</v>
      </c>
      <c r="E4517">
        <v>31</v>
      </c>
      <c r="F4517">
        <v>6225.55</v>
      </c>
      <c r="G4517">
        <v>1385.87</v>
      </c>
      <c r="H4517" t="str">
        <f>VLOOKUP(myynnit[[#This Row],[TuoteID]],ohjaus!$A$4:$B$20,2,FALSE)</f>
        <v>Lepotuoli</v>
      </c>
    </row>
    <row r="4518" spans="1:8" x14ac:dyDescent="0.35">
      <c r="A4518" t="s">
        <v>40</v>
      </c>
      <c r="B4518">
        <v>2017</v>
      </c>
      <c r="C4518">
        <v>7</v>
      </c>
      <c r="D4518">
        <v>22317</v>
      </c>
      <c r="E4518">
        <v>12</v>
      </c>
      <c r="F4518">
        <v>953.13</v>
      </c>
      <c r="G4518">
        <v>461.92</v>
      </c>
      <c r="H4518" t="str">
        <f>VLOOKUP(myynnit[[#This Row],[TuoteID]],ohjaus!$A$4:$B$20,2,FALSE)</f>
        <v>Säkkituoli</v>
      </c>
    </row>
    <row r="4519" spans="1:8" x14ac:dyDescent="0.35">
      <c r="A4519" t="s">
        <v>40</v>
      </c>
      <c r="B4519">
        <v>2017</v>
      </c>
      <c r="C4519">
        <v>7</v>
      </c>
      <c r="D4519">
        <v>22940</v>
      </c>
      <c r="E4519">
        <v>199</v>
      </c>
      <c r="F4519">
        <v>24977.42</v>
      </c>
      <c r="G4519">
        <v>7077.89</v>
      </c>
      <c r="H4519" t="str">
        <f>VLOOKUP(myynnit[[#This Row],[TuoteID]],ohjaus!$A$4:$B$20,2,FALSE)</f>
        <v>Pinnatuoli</v>
      </c>
    </row>
    <row r="4520" spans="1:8" x14ac:dyDescent="0.35">
      <c r="A4520" t="s">
        <v>40</v>
      </c>
      <c r="B4520">
        <v>2017</v>
      </c>
      <c r="C4520">
        <v>7</v>
      </c>
      <c r="D4520">
        <v>23178</v>
      </c>
      <c r="E4520">
        <v>298</v>
      </c>
      <c r="F4520">
        <v>50530.98</v>
      </c>
      <c r="G4520">
        <v>12330.72</v>
      </c>
      <c r="H4520" t="str">
        <f>VLOOKUP(myynnit[[#This Row],[TuoteID]],ohjaus!$A$4:$B$20,2,FALSE)</f>
        <v>Pinnatuoli</v>
      </c>
    </row>
    <row r="4521" spans="1:8" x14ac:dyDescent="0.35">
      <c r="A4521" t="s">
        <v>40</v>
      </c>
      <c r="B4521">
        <v>2017</v>
      </c>
      <c r="C4521">
        <v>7</v>
      </c>
      <c r="D4521">
        <v>23600</v>
      </c>
      <c r="E4521">
        <v>704</v>
      </c>
      <c r="F4521">
        <v>72344.399999999994</v>
      </c>
      <c r="G4521">
        <v>18271.84</v>
      </c>
      <c r="H4521" t="str">
        <f>VLOOKUP(myynnit[[#This Row],[TuoteID]],ohjaus!$A$4:$B$20,2,FALSE)</f>
        <v>Pinnatuoli</v>
      </c>
    </row>
    <row r="4522" spans="1:8" x14ac:dyDescent="0.35">
      <c r="A4522" t="s">
        <v>40</v>
      </c>
      <c r="B4522">
        <v>2017</v>
      </c>
      <c r="C4522">
        <v>7</v>
      </c>
      <c r="D4522">
        <v>23756</v>
      </c>
      <c r="E4522">
        <v>78</v>
      </c>
      <c r="F4522">
        <v>13854.13</v>
      </c>
      <c r="G4522">
        <v>6258.98</v>
      </c>
      <c r="H4522" t="str">
        <f>VLOOKUP(myynnit[[#This Row],[TuoteID]],ohjaus!$A$4:$B$20,2,FALSE)</f>
        <v>Pianotuoli</v>
      </c>
    </row>
    <row r="4523" spans="1:8" x14ac:dyDescent="0.35">
      <c r="A4523" t="s">
        <v>40</v>
      </c>
      <c r="B4523">
        <v>2017</v>
      </c>
      <c r="C4523">
        <v>7</v>
      </c>
      <c r="D4523">
        <v>24326</v>
      </c>
      <c r="E4523">
        <v>21</v>
      </c>
      <c r="F4523">
        <v>2822.78</v>
      </c>
      <c r="G4523">
        <v>883.2</v>
      </c>
      <c r="H4523" t="str">
        <f>VLOOKUP(myynnit[[#This Row],[TuoteID]],ohjaus!$A$4:$B$20,2,FALSE)</f>
        <v>Lepotuoli</v>
      </c>
    </row>
    <row r="4524" spans="1:8" x14ac:dyDescent="0.35">
      <c r="A4524" t="s">
        <v>39</v>
      </c>
      <c r="B4524">
        <v>2017</v>
      </c>
      <c r="C4524">
        <v>7</v>
      </c>
      <c r="D4524">
        <v>12184</v>
      </c>
      <c r="E4524">
        <v>99</v>
      </c>
      <c r="F4524">
        <v>15583.56</v>
      </c>
      <c r="G4524">
        <v>11107.1</v>
      </c>
      <c r="H4524" t="str">
        <f>VLOOKUP(myynnit[[#This Row],[TuoteID]],ohjaus!$A$4:$B$20,2,FALSE)</f>
        <v>Rahi</v>
      </c>
    </row>
    <row r="4525" spans="1:8" x14ac:dyDescent="0.35">
      <c r="A4525" t="s">
        <v>39</v>
      </c>
      <c r="B4525">
        <v>2017</v>
      </c>
      <c r="C4525">
        <v>7</v>
      </c>
      <c r="D4525">
        <v>12622</v>
      </c>
      <c r="E4525">
        <v>47</v>
      </c>
      <c r="F4525">
        <v>12641.35</v>
      </c>
      <c r="G4525">
        <v>6231.98</v>
      </c>
      <c r="H4525" t="str">
        <f>VLOOKUP(myynnit[[#This Row],[TuoteID]],ohjaus!$A$4:$B$20,2,FALSE)</f>
        <v>Pianotuoli</v>
      </c>
    </row>
    <row r="4526" spans="1:8" x14ac:dyDescent="0.35">
      <c r="A4526" t="s">
        <v>39</v>
      </c>
      <c r="B4526">
        <v>2017</v>
      </c>
      <c r="C4526">
        <v>7</v>
      </c>
      <c r="D4526">
        <v>13527</v>
      </c>
      <c r="E4526">
        <v>197</v>
      </c>
      <c r="F4526">
        <v>34127.67</v>
      </c>
      <c r="G4526">
        <v>7235.66</v>
      </c>
      <c r="H4526" t="str">
        <f>VLOOKUP(myynnit[[#This Row],[TuoteID]],ohjaus!$A$4:$B$20,2,FALSE)</f>
        <v>Pinnatuoli</v>
      </c>
    </row>
    <row r="4527" spans="1:8" x14ac:dyDescent="0.35">
      <c r="A4527" t="s">
        <v>39</v>
      </c>
      <c r="B4527">
        <v>2017</v>
      </c>
      <c r="C4527">
        <v>7</v>
      </c>
      <c r="D4527">
        <v>13618</v>
      </c>
      <c r="E4527">
        <v>22</v>
      </c>
      <c r="F4527">
        <v>8908.57</v>
      </c>
      <c r="G4527">
        <v>4353.8900000000003</v>
      </c>
      <c r="H4527" t="str">
        <f>VLOOKUP(myynnit[[#This Row],[TuoteID]],ohjaus!$A$4:$B$20,2,FALSE)</f>
        <v>Pianotuoli</v>
      </c>
    </row>
    <row r="4528" spans="1:8" x14ac:dyDescent="0.35">
      <c r="A4528" t="s">
        <v>39</v>
      </c>
      <c r="B4528">
        <v>2017</v>
      </c>
      <c r="C4528">
        <v>7</v>
      </c>
      <c r="D4528">
        <v>16024</v>
      </c>
      <c r="E4528">
        <v>329</v>
      </c>
      <c r="F4528">
        <v>159779.64000000001</v>
      </c>
      <c r="G4528">
        <v>40333.96</v>
      </c>
      <c r="H4528" t="str">
        <f>VLOOKUP(myynnit[[#This Row],[TuoteID]],ohjaus!$A$4:$B$20,2,FALSE)</f>
        <v>Työtuoli</v>
      </c>
    </row>
    <row r="4529" spans="1:8" x14ac:dyDescent="0.35">
      <c r="A4529" t="s">
        <v>39</v>
      </c>
      <c r="B4529">
        <v>2017</v>
      </c>
      <c r="C4529">
        <v>7</v>
      </c>
      <c r="D4529">
        <v>16650</v>
      </c>
      <c r="E4529">
        <v>32</v>
      </c>
      <c r="F4529">
        <v>4831.09</v>
      </c>
      <c r="G4529">
        <v>3537.79</v>
      </c>
      <c r="H4529" t="str">
        <f>VLOOKUP(myynnit[[#This Row],[TuoteID]],ohjaus!$A$4:$B$20,2,FALSE)</f>
        <v>Rahi</v>
      </c>
    </row>
    <row r="4530" spans="1:8" x14ac:dyDescent="0.35">
      <c r="A4530" t="s">
        <v>39</v>
      </c>
      <c r="B4530">
        <v>2017</v>
      </c>
      <c r="C4530">
        <v>7</v>
      </c>
      <c r="D4530">
        <v>17892</v>
      </c>
      <c r="E4530">
        <v>72</v>
      </c>
      <c r="F4530">
        <v>8966.86</v>
      </c>
      <c r="G4530">
        <v>2720.83</v>
      </c>
      <c r="H4530" t="str">
        <f>VLOOKUP(myynnit[[#This Row],[TuoteID]],ohjaus!$A$4:$B$20,2,FALSE)</f>
        <v>Lepotuoli</v>
      </c>
    </row>
    <row r="4531" spans="1:8" x14ac:dyDescent="0.35">
      <c r="A4531" t="s">
        <v>39</v>
      </c>
      <c r="B4531">
        <v>2017</v>
      </c>
      <c r="C4531">
        <v>7</v>
      </c>
      <c r="D4531">
        <v>18342</v>
      </c>
      <c r="E4531">
        <v>76</v>
      </c>
      <c r="F4531">
        <v>65493.43</v>
      </c>
      <c r="G4531">
        <v>21092.6</v>
      </c>
      <c r="H4531" t="str">
        <f>VLOOKUP(myynnit[[#This Row],[TuoteID]],ohjaus!$A$4:$B$20,2,FALSE)</f>
        <v>Työtuoli</v>
      </c>
    </row>
    <row r="4532" spans="1:8" x14ac:dyDescent="0.35">
      <c r="A4532" t="s">
        <v>39</v>
      </c>
      <c r="B4532">
        <v>2017</v>
      </c>
      <c r="C4532">
        <v>7</v>
      </c>
      <c r="D4532">
        <v>20177</v>
      </c>
      <c r="E4532">
        <v>89</v>
      </c>
      <c r="F4532">
        <v>9012.5300000000007</v>
      </c>
      <c r="G4532">
        <v>4739.22</v>
      </c>
      <c r="H4532" t="str">
        <f>VLOOKUP(myynnit[[#This Row],[TuoteID]],ohjaus!$A$4:$B$20,2,FALSE)</f>
        <v>Säkkituoli</v>
      </c>
    </row>
    <row r="4533" spans="1:8" x14ac:dyDescent="0.35">
      <c r="A4533" t="s">
        <v>39</v>
      </c>
      <c r="B4533">
        <v>2017</v>
      </c>
      <c r="C4533">
        <v>7</v>
      </c>
      <c r="D4533">
        <v>21179</v>
      </c>
      <c r="E4533">
        <v>48</v>
      </c>
      <c r="F4533">
        <v>5775.72</v>
      </c>
      <c r="G4533">
        <v>3358.44</v>
      </c>
      <c r="H4533" t="str">
        <f>VLOOKUP(myynnit[[#This Row],[TuoteID]],ohjaus!$A$4:$B$20,2,FALSE)</f>
        <v>Rahi</v>
      </c>
    </row>
    <row r="4534" spans="1:8" x14ac:dyDescent="0.35">
      <c r="A4534" t="s">
        <v>39</v>
      </c>
      <c r="B4534">
        <v>2017</v>
      </c>
      <c r="C4534">
        <v>7</v>
      </c>
      <c r="D4534">
        <v>21260</v>
      </c>
      <c r="E4534">
        <v>24</v>
      </c>
      <c r="F4534">
        <v>4606.97</v>
      </c>
      <c r="G4534">
        <v>1284.8800000000001</v>
      </c>
      <c r="H4534" t="str">
        <f>VLOOKUP(myynnit[[#This Row],[TuoteID]],ohjaus!$A$4:$B$20,2,FALSE)</f>
        <v>Lepotuoli</v>
      </c>
    </row>
    <row r="4535" spans="1:8" x14ac:dyDescent="0.35">
      <c r="A4535" t="s">
        <v>39</v>
      </c>
      <c r="B4535">
        <v>2017</v>
      </c>
      <c r="C4535">
        <v>7</v>
      </c>
      <c r="D4535">
        <v>22317</v>
      </c>
      <c r="E4535">
        <v>43</v>
      </c>
      <c r="F4535">
        <v>4444.24</v>
      </c>
      <c r="G4535">
        <v>1758.4</v>
      </c>
      <c r="H4535" t="str">
        <f>VLOOKUP(myynnit[[#This Row],[TuoteID]],ohjaus!$A$4:$B$20,2,FALSE)</f>
        <v>Säkkituoli</v>
      </c>
    </row>
    <row r="4536" spans="1:8" x14ac:dyDescent="0.35">
      <c r="A4536" t="s">
        <v>39</v>
      </c>
      <c r="B4536">
        <v>2017</v>
      </c>
      <c r="C4536">
        <v>7</v>
      </c>
      <c r="D4536">
        <v>22940</v>
      </c>
      <c r="E4536">
        <v>322</v>
      </c>
      <c r="F4536">
        <v>41699.449999999997</v>
      </c>
      <c r="G4536">
        <v>10985.68</v>
      </c>
      <c r="H4536" t="str">
        <f>VLOOKUP(myynnit[[#This Row],[TuoteID]],ohjaus!$A$4:$B$20,2,FALSE)</f>
        <v>Pinnatuoli</v>
      </c>
    </row>
    <row r="4537" spans="1:8" x14ac:dyDescent="0.35">
      <c r="A4537" t="s">
        <v>39</v>
      </c>
      <c r="B4537">
        <v>2017</v>
      </c>
      <c r="C4537">
        <v>7</v>
      </c>
      <c r="D4537">
        <v>23178</v>
      </c>
      <c r="E4537">
        <v>124</v>
      </c>
      <c r="F4537">
        <v>21081.13</v>
      </c>
      <c r="G4537">
        <v>5027.13</v>
      </c>
      <c r="H4537" t="str">
        <f>VLOOKUP(myynnit[[#This Row],[TuoteID]],ohjaus!$A$4:$B$20,2,FALSE)</f>
        <v>Pinnatuoli</v>
      </c>
    </row>
    <row r="4538" spans="1:8" x14ac:dyDescent="0.35">
      <c r="A4538" t="s">
        <v>39</v>
      </c>
      <c r="B4538">
        <v>2017</v>
      </c>
      <c r="C4538">
        <v>7</v>
      </c>
      <c r="D4538">
        <v>23600</v>
      </c>
      <c r="E4538">
        <v>890</v>
      </c>
      <c r="F4538">
        <v>90191.1</v>
      </c>
      <c r="G4538">
        <v>28807.72</v>
      </c>
      <c r="H4538" t="str">
        <f>VLOOKUP(myynnit[[#This Row],[TuoteID]],ohjaus!$A$4:$B$20,2,FALSE)</f>
        <v>Pinnatuoli</v>
      </c>
    </row>
    <row r="4539" spans="1:8" x14ac:dyDescent="0.35">
      <c r="A4539" t="s">
        <v>39</v>
      </c>
      <c r="B4539">
        <v>2017</v>
      </c>
      <c r="C4539">
        <v>7</v>
      </c>
      <c r="D4539">
        <v>23756</v>
      </c>
      <c r="E4539">
        <v>75</v>
      </c>
      <c r="F4539">
        <v>14353.26</v>
      </c>
      <c r="G4539">
        <v>9019.93</v>
      </c>
      <c r="H4539" t="str">
        <f>VLOOKUP(myynnit[[#This Row],[TuoteID]],ohjaus!$A$4:$B$20,2,FALSE)</f>
        <v>Pianotuoli</v>
      </c>
    </row>
    <row r="4540" spans="1:8" x14ac:dyDescent="0.35">
      <c r="A4540" t="s">
        <v>39</v>
      </c>
      <c r="B4540">
        <v>2017</v>
      </c>
      <c r="C4540">
        <v>7</v>
      </c>
      <c r="D4540">
        <v>24326</v>
      </c>
      <c r="E4540">
        <v>69</v>
      </c>
      <c r="F4540">
        <v>9796.01</v>
      </c>
      <c r="G4540">
        <v>3073.97</v>
      </c>
      <c r="H4540" t="str">
        <f>VLOOKUP(myynnit[[#This Row],[TuoteID]],ohjaus!$A$4:$B$20,2,FALSE)</f>
        <v>Lepotuoli</v>
      </c>
    </row>
    <row r="4541" spans="1:8" x14ac:dyDescent="0.35">
      <c r="A4541" t="s">
        <v>38</v>
      </c>
      <c r="B4541">
        <v>2017</v>
      </c>
      <c r="C4541">
        <v>7</v>
      </c>
      <c r="D4541">
        <v>12184</v>
      </c>
      <c r="E4541">
        <v>103</v>
      </c>
      <c r="F4541">
        <v>11266.86</v>
      </c>
      <c r="G4541">
        <v>7258.41</v>
      </c>
      <c r="H4541" t="str">
        <f>VLOOKUP(myynnit[[#This Row],[TuoteID]],ohjaus!$A$4:$B$20,2,FALSE)</f>
        <v>Rahi</v>
      </c>
    </row>
    <row r="4542" spans="1:8" x14ac:dyDescent="0.35">
      <c r="A4542" t="s">
        <v>38</v>
      </c>
      <c r="B4542">
        <v>2017</v>
      </c>
      <c r="C4542">
        <v>7</v>
      </c>
      <c r="D4542">
        <v>12622</v>
      </c>
      <c r="E4542">
        <v>26</v>
      </c>
      <c r="F4542">
        <v>5962.25</v>
      </c>
      <c r="G4542">
        <v>3017.42</v>
      </c>
      <c r="H4542" t="str">
        <f>VLOOKUP(myynnit[[#This Row],[TuoteID]],ohjaus!$A$4:$B$20,2,FALSE)</f>
        <v>Pianotuoli</v>
      </c>
    </row>
    <row r="4543" spans="1:8" x14ac:dyDescent="0.35">
      <c r="A4543" t="s">
        <v>38</v>
      </c>
      <c r="B4543">
        <v>2017</v>
      </c>
      <c r="C4543">
        <v>7</v>
      </c>
      <c r="D4543">
        <v>13527</v>
      </c>
      <c r="E4543">
        <v>311</v>
      </c>
      <c r="F4543">
        <v>45774.17</v>
      </c>
      <c r="G4543">
        <v>10624.28</v>
      </c>
      <c r="H4543" t="str">
        <f>VLOOKUP(myynnit[[#This Row],[TuoteID]],ohjaus!$A$4:$B$20,2,FALSE)</f>
        <v>Pinnatuoli</v>
      </c>
    </row>
    <row r="4544" spans="1:8" x14ac:dyDescent="0.35">
      <c r="A4544" t="s">
        <v>38</v>
      </c>
      <c r="B4544">
        <v>2017</v>
      </c>
      <c r="C4544">
        <v>7</v>
      </c>
      <c r="D4544">
        <v>13618</v>
      </c>
      <c r="E4544">
        <v>8</v>
      </c>
      <c r="F4544">
        <v>2909.19</v>
      </c>
      <c r="G4544">
        <v>1385.17</v>
      </c>
      <c r="H4544" t="str">
        <f>VLOOKUP(myynnit[[#This Row],[TuoteID]],ohjaus!$A$4:$B$20,2,FALSE)</f>
        <v>Pianotuoli</v>
      </c>
    </row>
    <row r="4545" spans="1:8" x14ac:dyDescent="0.35">
      <c r="A4545" t="s">
        <v>38</v>
      </c>
      <c r="B4545">
        <v>2017</v>
      </c>
      <c r="C4545">
        <v>7</v>
      </c>
      <c r="D4545">
        <v>16024</v>
      </c>
      <c r="E4545">
        <v>135</v>
      </c>
      <c r="F4545">
        <v>55158.48</v>
      </c>
      <c r="G4545">
        <v>13744.63</v>
      </c>
      <c r="H4545" t="str">
        <f>VLOOKUP(myynnit[[#This Row],[TuoteID]],ohjaus!$A$4:$B$20,2,FALSE)</f>
        <v>Työtuoli</v>
      </c>
    </row>
    <row r="4546" spans="1:8" x14ac:dyDescent="0.35">
      <c r="A4546" t="s">
        <v>38</v>
      </c>
      <c r="B4546">
        <v>2017</v>
      </c>
      <c r="C4546">
        <v>7</v>
      </c>
      <c r="D4546">
        <v>16650</v>
      </c>
      <c r="E4546">
        <v>62</v>
      </c>
      <c r="F4546">
        <v>8780.44</v>
      </c>
      <c r="G4546">
        <v>5286.53</v>
      </c>
      <c r="H4546" t="str">
        <f>VLOOKUP(myynnit[[#This Row],[TuoteID]],ohjaus!$A$4:$B$20,2,FALSE)</f>
        <v>Rahi</v>
      </c>
    </row>
    <row r="4547" spans="1:8" x14ac:dyDescent="0.35">
      <c r="A4547" t="s">
        <v>38</v>
      </c>
      <c r="B4547">
        <v>2017</v>
      </c>
      <c r="C4547">
        <v>7</v>
      </c>
      <c r="D4547">
        <v>17892</v>
      </c>
      <c r="E4547">
        <v>97</v>
      </c>
      <c r="F4547">
        <v>14682.9</v>
      </c>
      <c r="G4547">
        <v>3574.93</v>
      </c>
      <c r="H4547" t="str">
        <f>VLOOKUP(myynnit[[#This Row],[TuoteID]],ohjaus!$A$4:$B$20,2,FALSE)</f>
        <v>Lepotuoli</v>
      </c>
    </row>
    <row r="4548" spans="1:8" x14ac:dyDescent="0.35">
      <c r="A4548" t="s">
        <v>38</v>
      </c>
      <c r="B4548">
        <v>2017</v>
      </c>
      <c r="C4548">
        <v>7</v>
      </c>
      <c r="D4548">
        <v>18342</v>
      </c>
      <c r="E4548">
        <v>121</v>
      </c>
      <c r="F4548">
        <v>92983.89</v>
      </c>
      <c r="G4548">
        <v>21936.639999999999</v>
      </c>
      <c r="H4548" t="str">
        <f>VLOOKUP(myynnit[[#This Row],[TuoteID]],ohjaus!$A$4:$B$20,2,FALSE)</f>
        <v>Työtuoli</v>
      </c>
    </row>
    <row r="4549" spans="1:8" x14ac:dyDescent="0.35">
      <c r="A4549" t="s">
        <v>38</v>
      </c>
      <c r="B4549">
        <v>2017</v>
      </c>
      <c r="C4549">
        <v>7</v>
      </c>
      <c r="D4549">
        <v>20177</v>
      </c>
      <c r="E4549">
        <v>37</v>
      </c>
      <c r="F4549">
        <v>3878.59</v>
      </c>
      <c r="G4549">
        <v>1457.39</v>
      </c>
      <c r="H4549" t="str">
        <f>VLOOKUP(myynnit[[#This Row],[TuoteID]],ohjaus!$A$4:$B$20,2,FALSE)</f>
        <v>Säkkituoli</v>
      </c>
    </row>
    <row r="4550" spans="1:8" x14ac:dyDescent="0.35">
      <c r="A4550" t="s">
        <v>38</v>
      </c>
      <c r="B4550">
        <v>2017</v>
      </c>
      <c r="C4550">
        <v>7</v>
      </c>
      <c r="D4550">
        <v>21179</v>
      </c>
      <c r="E4550">
        <v>24</v>
      </c>
      <c r="F4550">
        <v>2677.27</v>
      </c>
      <c r="G4550">
        <v>1502.28</v>
      </c>
      <c r="H4550" t="str">
        <f>VLOOKUP(myynnit[[#This Row],[TuoteID]],ohjaus!$A$4:$B$20,2,FALSE)</f>
        <v>Rahi</v>
      </c>
    </row>
    <row r="4551" spans="1:8" x14ac:dyDescent="0.35">
      <c r="A4551" t="s">
        <v>38</v>
      </c>
      <c r="B4551">
        <v>2017</v>
      </c>
      <c r="C4551">
        <v>7</v>
      </c>
      <c r="D4551">
        <v>21260</v>
      </c>
      <c r="E4551">
        <v>57</v>
      </c>
      <c r="F4551">
        <v>11066.66</v>
      </c>
      <c r="G4551">
        <v>2897.12</v>
      </c>
      <c r="H4551" t="str">
        <f>VLOOKUP(myynnit[[#This Row],[TuoteID]],ohjaus!$A$4:$B$20,2,FALSE)</f>
        <v>Lepotuoli</v>
      </c>
    </row>
    <row r="4552" spans="1:8" x14ac:dyDescent="0.35">
      <c r="A4552" t="s">
        <v>38</v>
      </c>
      <c r="B4552">
        <v>2017</v>
      </c>
      <c r="C4552">
        <v>7</v>
      </c>
      <c r="D4552">
        <v>22317</v>
      </c>
      <c r="E4552">
        <v>83</v>
      </c>
      <c r="F4552">
        <v>6360.34</v>
      </c>
      <c r="G4552">
        <v>2042.39</v>
      </c>
      <c r="H4552" t="str">
        <f>VLOOKUP(myynnit[[#This Row],[TuoteID]],ohjaus!$A$4:$B$20,2,FALSE)</f>
        <v>Säkkituoli</v>
      </c>
    </row>
    <row r="4553" spans="1:8" x14ac:dyDescent="0.35">
      <c r="A4553" t="s">
        <v>38</v>
      </c>
      <c r="B4553">
        <v>2017</v>
      </c>
      <c r="C4553">
        <v>7</v>
      </c>
      <c r="D4553">
        <v>22940</v>
      </c>
      <c r="E4553">
        <v>311</v>
      </c>
      <c r="F4553">
        <v>36379.040000000001</v>
      </c>
      <c r="G4553">
        <v>8393.5300000000007</v>
      </c>
      <c r="H4553" t="str">
        <f>VLOOKUP(myynnit[[#This Row],[TuoteID]],ohjaus!$A$4:$B$20,2,FALSE)</f>
        <v>Pinnatuoli</v>
      </c>
    </row>
    <row r="4554" spans="1:8" x14ac:dyDescent="0.35">
      <c r="A4554" t="s">
        <v>38</v>
      </c>
      <c r="B4554">
        <v>2017</v>
      </c>
      <c r="C4554">
        <v>7</v>
      </c>
      <c r="D4554">
        <v>23178</v>
      </c>
      <c r="E4554">
        <v>290</v>
      </c>
      <c r="F4554">
        <v>50623.56</v>
      </c>
      <c r="G4554">
        <v>9169.69</v>
      </c>
      <c r="H4554" t="str">
        <f>VLOOKUP(myynnit[[#This Row],[TuoteID]],ohjaus!$A$4:$B$20,2,FALSE)</f>
        <v>Pinnatuoli</v>
      </c>
    </row>
    <row r="4555" spans="1:8" x14ac:dyDescent="0.35">
      <c r="A4555" t="s">
        <v>38</v>
      </c>
      <c r="B4555">
        <v>2017</v>
      </c>
      <c r="C4555">
        <v>7</v>
      </c>
      <c r="D4555">
        <v>23600</v>
      </c>
      <c r="E4555">
        <v>1312</v>
      </c>
      <c r="F4555">
        <v>130069.43</v>
      </c>
      <c r="G4555">
        <v>33667.75</v>
      </c>
      <c r="H4555" t="str">
        <f>VLOOKUP(myynnit[[#This Row],[TuoteID]],ohjaus!$A$4:$B$20,2,FALSE)</f>
        <v>Pinnatuoli</v>
      </c>
    </row>
    <row r="4556" spans="1:8" x14ac:dyDescent="0.35">
      <c r="A4556" t="s">
        <v>38</v>
      </c>
      <c r="B4556">
        <v>2017</v>
      </c>
      <c r="C4556">
        <v>7</v>
      </c>
      <c r="D4556">
        <v>23756</v>
      </c>
      <c r="E4556">
        <v>98</v>
      </c>
      <c r="F4556">
        <v>15516.54</v>
      </c>
      <c r="G4556">
        <v>7343.14</v>
      </c>
      <c r="H4556" t="str">
        <f>VLOOKUP(myynnit[[#This Row],[TuoteID]],ohjaus!$A$4:$B$20,2,FALSE)</f>
        <v>Pianotuoli</v>
      </c>
    </row>
    <row r="4557" spans="1:8" x14ac:dyDescent="0.35">
      <c r="A4557" t="s">
        <v>38</v>
      </c>
      <c r="B4557">
        <v>2017</v>
      </c>
      <c r="C4557">
        <v>7</v>
      </c>
      <c r="D4557">
        <v>24326</v>
      </c>
      <c r="E4557">
        <v>57</v>
      </c>
      <c r="F4557">
        <v>8119.47</v>
      </c>
      <c r="G4557">
        <v>2121.48</v>
      </c>
      <c r="H4557" t="str">
        <f>VLOOKUP(myynnit[[#This Row],[TuoteID]],ohjaus!$A$4:$B$20,2,FALSE)</f>
        <v>Lepotuoli</v>
      </c>
    </row>
    <row r="4558" spans="1:8" x14ac:dyDescent="0.35">
      <c r="A4558" t="s">
        <v>37</v>
      </c>
      <c r="B4558">
        <v>2017</v>
      </c>
      <c r="C4558">
        <v>8</v>
      </c>
      <c r="D4558">
        <v>12184</v>
      </c>
      <c r="E4558">
        <v>81</v>
      </c>
      <c r="F4558">
        <v>9145.3700000000008</v>
      </c>
      <c r="G4558">
        <v>3869.22</v>
      </c>
      <c r="H4558" t="str">
        <f>VLOOKUP(myynnit[[#This Row],[TuoteID]],ohjaus!$A$4:$B$20,2,FALSE)</f>
        <v>Rahi</v>
      </c>
    </row>
    <row r="4559" spans="1:8" x14ac:dyDescent="0.35">
      <c r="A4559" t="s">
        <v>37</v>
      </c>
      <c r="B4559">
        <v>2017</v>
      </c>
      <c r="C4559">
        <v>8</v>
      </c>
      <c r="D4559">
        <v>12622</v>
      </c>
      <c r="E4559">
        <v>33</v>
      </c>
      <c r="F4559">
        <v>8976.52</v>
      </c>
      <c r="G4559">
        <v>4676.76</v>
      </c>
      <c r="H4559" t="str">
        <f>VLOOKUP(myynnit[[#This Row],[TuoteID]],ohjaus!$A$4:$B$20,2,FALSE)</f>
        <v>Pianotuoli</v>
      </c>
    </row>
    <row r="4560" spans="1:8" x14ac:dyDescent="0.35">
      <c r="A4560" t="s">
        <v>37</v>
      </c>
      <c r="B4560">
        <v>2017</v>
      </c>
      <c r="C4560">
        <v>8</v>
      </c>
      <c r="D4560">
        <v>13527</v>
      </c>
      <c r="E4560">
        <v>792</v>
      </c>
      <c r="F4560">
        <v>135087.28</v>
      </c>
      <c r="G4560">
        <v>28349.55</v>
      </c>
      <c r="H4560" t="str">
        <f>VLOOKUP(myynnit[[#This Row],[TuoteID]],ohjaus!$A$4:$B$20,2,FALSE)</f>
        <v>Pinnatuoli</v>
      </c>
    </row>
    <row r="4561" spans="1:8" x14ac:dyDescent="0.35">
      <c r="A4561" t="s">
        <v>37</v>
      </c>
      <c r="B4561">
        <v>2017</v>
      </c>
      <c r="C4561">
        <v>8</v>
      </c>
      <c r="D4561">
        <v>13618</v>
      </c>
      <c r="E4561">
        <v>13</v>
      </c>
      <c r="F4561">
        <v>5300.71</v>
      </c>
      <c r="G4561">
        <v>2404.2600000000002</v>
      </c>
      <c r="H4561" t="str">
        <f>VLOOKUP(myynnit[[#This Row],[TuoteID]],ohjaus!$A$4:$B$20,2,FALSE)</f>
        <v>Pianotuoli</v>
      </c>
    </row>
    <row r="4562" spans="1:8" x14ac:dyDescent="0.35">
      <c r="A4562" t="s">
        <v>37</v>
      </c>
      <c r="B4562">
        <v>2017</v>
      </c>
      <c r="C4562">
        <v>8</v>
      </c>
      <c r="D4562">
        <v>16024</v>
      </c>
      <c r="E4562">
        <v>124</v>
      </c>
      <c r="F4562">
        <v>51385.55</v>
      </c>
      <c r="G4562">
        <v>16247.65</v>
      </c>
      <c r="H4562" t="str">
        <f>VLOOKUP(myynnit[[#This Row],[TuoteID]],ohjaus!$A$4:$B$20,2,FALSE)</f>
        <v>Työtuoli</v>
      </c>
    </row>
    <row r="4563" spans="1:8" x14ac:dyDescent="0.35">
      <c r="A4563" t="s">
        <v>37</v>
      </c>
      <c r="B4563">
        <v>2017</v>
      </c>
      <c r="C4563">
        <v>8</v>
      </c>
      <c r="D4563">
        <v>16650</v>
      </c>
      <c r="E4563">
        <v>64</v>
      </c>
      <c r="F4563">
        <v>9719.99</v>
      </c>
      <c r="G4563">
        <v>5289.22</v>
      </c>
      <c r="H4563" t="str">
        <f>VLOOKUP(myynnit[[#This Row],[TuoteID]],ohjaus!$A$4:$B$20,2,FALSE)</f>
        <v>Rahi</v>
      </c>
    </row>
    <row r="4564" spans="1:8" x14ac:dyDescent="0.35">
      <c r="A4564" t="s">
        <v>37</v>
      </c>
      <c r="B4564">
        <v>2017</v>
      </c>
      <c r="C4564">
        <v>8</v>
      </c>
      <c r="D4564">
        <v>17892</v>
      </c>
      <c r="E4564">
        <v>74</v>
      </c>
      <c r="F4564">
        <v>9984.18</v>
      </c>
      <c r="G4564">
        <v>2510.0300000000002</v>
      </c>
      <c r="H4564" t="str">
        <f>VLOOKUP(myynnit[[#This Row],[TuoteID]],ohjaus!$A$4:$B$20,2,FALSE)</f>
        <v>Lepotuoli</v>
      </c>
    </row>
    <row r="4565" spans="1:8" x14ac:dyDescent="0.35">
      <c r="A4565" t="s">
        <v>37</v>
      </c>
      <c r="B4565">
        <v>2017</v>
      </c>
      <c r="C4565">
        <v>8</v>
      </c>
      <c r="D4565">
        <v>18342</v>
      </c>
      <c r="E4565">
        <v>199</v>
      </c>
      <c r="F4565">
        <v>156475.37</v>
      </c>
      <c r="G4565">
        <v>45940.74</v>
      </c>
      <c r="H4565" t="str">
        <f>VLOOKUP(myynnit[[#This Row],[TuoteID]],ohjaus!$A$4:$B$20,2,FALSE)</f>
        <v>Työtuoli</v>
      </c>
    </row>
    <row r="4566" spans="1:8" x14ac:dyDescent="0.35">
      <c r="A4566" t="s">
        <v>37</v>
      </c>
      <c r="B4566">
        <v>2017</v>
      </c>
      <c r="C4566">
        <v>8</v>
      </c>
      <c r="D4566">
        <v>20177</v>
      </c>
      <c r="E4566">
        <v>87</v>
      </c>
      <c r="F4566">
        <v>8622.19</v>
      </c>
      <c r="G4566">
        <v>3171.31</v>
      </c>
      <c r="H4566" t="str">
        <f>VLOOKUP(myynnit[[#This Row],[TuoteID]],ohjaus!$A$4:$B$20,2,FALSE)</f>
        <v>Säkkituoli</v>
      </c>
    </row>
    <row r="4567" spans="1:8" x14ac:dyDescent="0.35">
      <c r="A4567" t="s">
        <v>37</v>
      </c>
      <c r="B4567">
        <v>2017</v>
      </c>
      <c r="C4567">
        <v>8</v>
      </c>
      <c r="D4567">
        <v>21179</v>
      </c>
      <c r="E4567">
        <v>29</v>
      </c>
      <c r="F4567">
        <v>4011.52</v>
      </c>
      <c r="G4567">
        <v>2010.42</v>
      </c>
      <c r="H4567" t="str">
        <f>VLOOKUP(myynnit[[#This Row],[TuoteID]],ohjaus!$A$4:$B$20,2,FALSE)</f>
        <v>Rahi</v>
      </c>
    </row>
    <row r="4568" spans="1:8" x14ac:dyDescent="0.35">
      <c r="A4568" t="s">
        <v>37</v>
      </c>
      <c r="B4568">
        <v>2017</v>
      </c>
      <c r="C4568">
        <v>8</v>
      </c>
      <c r="D4568">
        <v>21260</v>
      </c>
      <c r="E4568">
        <v>86</v>
      </c>
      <c r="F4568">
        <v>17430.45</v>
      </c>
      <c r="G4568">
        <v>4760.2</v>
      </c>
      <c r="H4568" t="str">
        <f>VLOOKUP(myynnit[[#This Row],[TuoteID]],ohjaus!$A$4:$B$20,2,FALSE)</f>
        <v>Lepotuoli</v>
      </c>
    </row>
    <row r="4569" spans="1:8" x14ac:dyDescent="0.35">
      <c r="A4569" t="s">
        <v>37</v>
      </c>
      <c r="B4569">
        <v>2017</v>
      </c>
      <c r="C4569">
        <v>8</v>
      </c>
      <c r="D4569">
        <v>22317</v>
      </c>
      <c r="E4569">
        <v>50</v>
      </c>
      <c r="F4569">
        <v>4759.83</v>
      </c>
      <c r="G4569">
        <v>1962.68</v>
      </c>
      <c r="H4569" t="str">
        <f>VLOOKUP(myynnit[[#This Row],[TuoteID]],ohjaus!$A$4:$B$20,2,FALSE)</f>
        <v>Säkkituoli</v>
      </c>
    </row>
    <row r="4570" spans="1:8" x14ac:dyDescent="0.35">
      <c r="A4570" t="s">
        <v>37</v>
      </c>
      <c r="B4570">
        <v>2017</v>
      </c>
      <c r="C4570">
        <v>8</v>
      </c>
      <c r="D4570">
        <v>22940</v>
      </c>
      <c r="E4570">
        <v>948</v>
      </c>
      <c r="F4570">
        <v>121259.11</v>
      </c>
      <c r="G4570">
        <v>19782.72</v>
      </c>
      <c r="H4570" t="str">
        <f>VLOOKUP(myynnit[[#This Row],[TuoteID]],ohjaus!$A$4:$B$20,2,FALSE)</f>
        <v>Pinnatuoli</v>
      </c>
    </row>
    <row r="4571" spans="1:8" x14ac:dyDescent="0.35">
      <c r="A4571" t="s">
        <v>37</v>
      </c>
      <c r="B4571">
        <v>2017</v>
      </c>
      <c r="C4571">
        <v>8</v>
      </c>
      <c r="D4571">
        <v>23178</v>
      </c>
      <c r="E4571">
        <v>282</v>
      </c>
      <c r="F4571">
        <v>51431.29</v>
      </c>
      <c r="G4571">
        <v>11135.27</v>
      </c>
      <c r="H4571" t="str">
        <f>VLOOKUP(myynnit[[#This Row],[TuoteID]],ohjaus!$A$4:$B$20,2,FALSE)</f>
        <v>Pinnatuoli</v>
      </c>
    </row>
    <row r="4572" spans="1:8" x14ac:dyDescent="0.35">
      <c r="A4572" t="s">
        <v>37</v>
      </c>
      <c r="B4572">
        <v>2017</v>
      </c>
      <c r="C4572">
        <v>8</v>
      </c>
      <c r="D4572">
        <v>23600</v>
      </c>
      <c r="E4572">
        <v>1318</v>
      </c>
      <c r="F4572">
        <v>155039.45000000001</v>
      </c>
      <c r="G4572">
        <v>34874.910000000003</v>
      </c>
      <c r="H4572" t="str">
        <f>VLOOKUP(myynnit[[#This Row],[TuoteID]],ohjaus!$A$4:$B$20,2,FALSE)</f>
        <v>Pinnatuoli</v>
      </c>
    </row>
    <row r="4573" spans="1:8" x14ac:dyDescent="0.35">
      <c r="A4573" t="s">
        <v>37</v>
      </c>
      <c r="B4573">
        <v>2017</v>
      </c>
      <c r="C4573">
        <v>8</v>
      </c>
      <c r="D4573">
        <v>23756</v>
      </c>
      <c r="E4573">
        <v>116</v>
      </c>
      <c r="F4573">
        <v>22279.29</v>
      </c>
      <c r="G4573">
        <v>11157.15</v>
      </c>
      <c r="H4573" t="str">
        <f>VLOOKUP(myynnit[[#This Row],[TuoteID]],ohjaus!$A$4:$B$20,2,FALSE)</f>
        <v>Pianotuoli</v>
      </c>
    </row>
    <row r="4574" spans="1:8" x14ac:dyDescent="0.35">
      <c r="A4574" t="s">
        <v>37</v>
      </c>
      <c r="B4574">
        <v>2017</v>
      </c>
      <c r="C4574">
        <v>8</v>
      </c>
      <c r="D4574">
        <v>24326</v>
      </c>
      <c r="E4574">
        <v>106</v>
      </c>
      <c r="F4574">
        <v>15439.75</v>
      </c>
      <c r="G4574">
        <v>5020.2700000000004</v>
      </c>
      <c r="H4574" t="str">
        <f>VLOOKUP(myynnit[[#This Row],[TuoteID]],ohjaus!$A$4:$B$20,2,FALSE)</f>
        <v>Lepotuoli</v>
      </c>
    </row>
    <row r="4575" spans="1:8" x14ac:dyDescent="0.35">
      <c r="A4575" t="s">
        <v>40</v>
      </c>
      <c r="B4575">
        <v>2017</v>
      </c>
      <c r="C4575">
        <v>8</v>
      </c>
      <c r="D4575">
        <v>12184</v>
      </c>
      <c r="E4575">
        <v>32</v>
      </c>
      <c r="F4575">
        <v>4353.5600000000004</v>
      </c>
      <c r="G4575">
        <v>1908.19</v>
      </c>
      <c r="H4575" t="str">
        <f>VLOOKUP(myynnit[[#This Row],[TuoteID]],ohjaus!$A$4:$B$20,2,FALSE)</f>
        <v>Rahi</v>
      </c>
    </row>
    <row r="4576" spans="1:8" x14ac:dyDescent="0.35">
      <c r="A4576" t="s">
        <v>40</v>
      </c>
      <c r="B4576">
        <v>2017</v>
      </c>
      <c r="C4576">
        <v>8</v>
      </c>
      <c r="D4576">
        <v>12622</v>
      </c>
      <c r="E4576">
        <v>15</v>
      </c>
      <c r="F4576">
        <v>4343.8900000000003</v>
      </c>
      <c r="G4576">
        <v>1514.21</v>
      </c>
      <c r="H4576" t="str">
        <f>VLOOKUP(myynnit[[#This Row],[TuoteID]],ohjaus!$A$4:$B$20,2,FALSE)</f>
        <v>Pianotuoli</v>
      </c>
    </row>
    <row r="4577" spans="1:8" x14ac:dyDescent="0.35">
      <c r="A4577" t="s">
        <v>40</v>
      </c>
      <c r="B4577">
        <v>2017</v>
      </c>
      <c r="C4577">
        <v>8</v>
      </c>
      <c r="D4577">
        <v>13527</v>
      </c>
      <c r="E4577">
        <v>334</v>
      </c>
      <c r="F4577">
        <v>52558.11</v>
      </c>
      <c r="G4577">
        <v>8661</v>
      </c>
      <c r="H4577" t="str">
        <f>VLOOKUP(myynnit[[#This Row],[TuoteID]],ohjaus!$A$4:$B$20,2,FALSE)</f>
        <v>Pinnatuoli</v>
      </c>
    </row>
    <row r="4578" spans="1:8" x14ac:dyDescent="0.35">
      <c r="A4578" t="s">
        <v>40</v>
      </c>
      <c r="B4578">
        <v>2017</v>
      </c>
      <c r="C4578">
        <v>8</v>
      </c>
      <c r="D4578">
        <v>13618</v>
      </c>
      <c r="E4578">
        <v>8</v>
      </c>
      <c r="F4578">
        <v>2842.5</v>
      </c>
      <c r="G4578">
        <v>1333.76</v>
      </c>
      <c r="H4578" t="str">
        <f>VLOOKUP(myynnit[[#This Row],[TuoteID]],ohjaus!$A$4:$B$20,2,FALSE)</f>
        <v>Pianotuoli</v>
      </c>
    </row>
    <row r="4579" spans="1:8" x14ac:dyDescent="0.35">
      <c r="A4579" t="s">
        <v>40</v>
      </c>
      <c r="B4579">
        <v>2017</v>
      </c>
      <c r="C4579">
        <v>8</v>
      </c>
      <c r="D4579">
        <v>16024</v>
      </c>
      <c r="E4579">
        <v>97</v>
      </c>
      <c r="F4579">
        <v>37598.75</v>
      </c>
      <c r="G4579">
        <v>12577.97</v>
      </c>
      <c r="H4579" t="str">
        <f>VLOOKUP(myynnit[[#This Row],[TuoteID]],ohjaus!$A$4:$B$20,2,FALSE)</f>
        <v>Työtuoli</v>
      </c>
    </row>
    <row r="4580" spans="1:8" x14ac:dyDescent="0.35">
      <c r="A4580" t="s">
        <v>40</v>
      </c>
      <c r="B4580">
        <v>2017</v>
      </c>
      <c r="C4580">
        <v>8</v>
      </c>
      <c r="D4580">
        <v>16650</v>
      </c>
      <c r="E4580">
        <v>29</v>
      </c>
      <c r="F4580">
        <v>3990.61</v>
      </c>
      <c r="G4580">
        <v>2287.0700000000002</v>
      </c>
      <c r="H4580" t="str">
        <f>VLOOKUP(myynnit[[#This Row],[TuoteID]],ohjaus!$A$4:$B$20,2,FALSE)</f>
        <v>Rahi</v>
      </c>
    </row>
    <row r="4581" spans="1:8" x14ac:dyDescent="0.35">
      <c r="A4581" t="s">
        <v>40</v>
      </c>
      <c r="B4581">
        <v>2017</v>
      </c>
      <c r="C4581">
        <v>8</v>
      </c>
      <c r="D4581">
        <v>17892</v>
      </c>
      <c r="E4581">
        <v>43</v>
      </c>
      <c r="F4581">
        <v>6355.11</v>
      </c>
      <c r="G4581">
        <v>1333.53</v>
      </c>
      <c r="H4581" t="str">
        <f>VLOOKUP(myynnit[[#This Row],[TuoteID]],ohjaus!$A$4:$B$20,2,FALSE)</f>
        <v>Lepotuoli</v>
      </c>
    </row>
    <row r="4582" spans="1:8" x14ac:dyDescent="0.35">
      <c r="A4582" t="s">
        <v>40</v>
      </c>
      <c r="B4582">
        <v>2017</v>
      </c>
      <c r="C4582">
        <v>8</v>
      </c>
      <c r="D4582">
        <v>18342</v>
      </c>
      <c r="E4582">
        <v>14</v>
      </c>
      <c r="F4582">
        <v>13336.39</v>
      </c>
      <c r="G4582">
        <v>4209.0200000000004</v>
      </c>
      <c r="H4582" t="str">
        <f>VLOOKUP(myynnit[[#This Row],[TuoteID]],ohjaus!$A$4:$B$20,2,FALSE)</f>
        <v>Työtuoli</v>
      </c>
    </row>
    <row r="4583" spans="1:8" x14ac:dyDescent="0.35">
      <c r="A4583" t="s">
        <v>40</v>
      </c>
      <c r="B4583">
        <v>2017</v>
      </c>
      <c r="C4583">
        <v>8</v>
      </c>
      <c r="D4583">
        <v>20177</v>
      </c>
      <c r="E4583">
        <v>12</v>
      </c>
      <c r="F4583">
        <v>1362.32</v>
      </c>
      <c r="G4583">
        <v>532.91999999999996</v>
      </c>
      <c r="H4583" t="str">
        <f>VLOOKUP(myynnit[[#This Row],[TuoteID]],ohjaus!$A$4:$B$20,2,FALSE)</f>
        <v>Säkkituoli</v>
      </c>
    </row>
    <row r="4584" spans="1:8" x14ac:dyDescent="0.35">
      <c r="A4584" t="s">
        <v>40</v>
      </c>
      <c r="B4584">
        <v>2017</v>
      </c>
      <c r="C4584">
        <v>8</v>
      </c>
      <c r="D4584">
        <v>21179</v>
      </c>
      <c r="E4584">
        <v>46</v>
      </c>
      <c r="F4584">
        <v>5462.86</v>
      </c>
      <c r="G4584">
        <v>2761.83</v>
      </c>
      <c r="H4584" t="str">
        <f>VLOOKUP(myynnit[[#This Row],[TuoteID]],ohjaus!$A$4:$B$20,2,FALSE)</f>
        <v>Rahi</v>
      </c>
    </row>
    <row r="4585" spans="1:8" x14ac:dyDescent="0.35">
      <c r="A4585" t="s">
        <v>40</v>
      </c>
      <c r="B4585">
        <v>2017</v>
      </c>
      <c r="C4585">
        <v>8</v>
      </c>
      <c r="D4585">
        <v>21260</v>
      </c>
      <c r="E4585">
        <v>52</v>
      </c>
      <c r="F4585">
        <v>10464.82</v>
      </c>
      <c r="G4585">
        <v>2161.1799999999998</v>
      </c>
      <c r="H4585" t="str">
        <f>VLOOKUP(myynnit[[#This Row],[TuoteID]],ohjaus!$A$4:$B$20,2,FALSE)</f>
        <v>Lepotuoli</v>
      </c>
    </row>
    <row r="4586" spans="1:8" x14ac:dyDescent="0.35">
      <c r="A4586" t="s">
        <v>40</v>
      </c>
      <c r="B4586">
        <v>2017</v>
      </c>
      <c r="C4586">
        <v>8</v>
      </c>
      <c r="D4586">
        <v>22317</v>
      </c>
      <c r="E4586">
        <v>13</v>
      </c>
      <c r="F4586">
        <v>1317.07</v>
      </c>
      <c r="G4586">
        <v>686.17</v>
      </c>
      <c r="H4586" t="str">
        <f>VLOOKUP(myynnit[[#This Row],[TuoteID]],ohjaus!$A$4:$B$20,2,FALSE)</f>
        <v>Säkkituoli</v>
      </c>
    </row>
    <row r="4587" spans="1:8" x14ac:dyDescent="0.35">
      <c r="A4587" t="s">
        <v>40</v>
      </c>
      <c r="B4587">
        <v>2017</v>
      </c>
      <c r="C4587">
        <v>8</v>
      </c>
      <c r="D4587">
        <v>22940</v>
      </c>
      <c r="E4587">
        <v>201</v>
      </c>
      <c r="F4587">
        <v>26087.09</v>
      </c>
      <c r="G4587">
        <v>7849.36</v>
      </c>
      <c r="H4587" t="str">
        <f>VLOOKUP(myynnit[[#This Row],[TuoteID]],ohjaus!$A$4:$B$20,2,FALSE)</f>
        <v>Pinnatuoli</v>
      </c>
    </row>
    <row r="4588" spans="1:8" x14ac:dyDescent="0.35">
      <c r="A4588" t="s">
        <v>40</v>
      </c>
      <c r="B4588">
        <v>2017</v>
      </c>
      <c r="C4588">
        <v>8</v>
      </c>
      <c r="D4588">
        <v>23178</v>
      </c>
      <c r="E4588">
        <v>156</v>
      </c>
      <c r="F4588">
        <v>30069.77</v>
      </c>
      <c r="G4588">
        <v>7066.44</v>
      </c>
      <c r="H4588" t="str">
        <f>VLOOKUP(myynnit[[#This Row],[TuoteID]],ohjaus!$A$4:$B$20,2,FALSE)</f>
        <v>Pinnatuoli</v>
      </c>
    </row>
    <row r="4589" spans="1:8" x14ac:dyDescent="0.35">
      <c r="A4589" t="s">
        <v>40</v>
      </c>
      <c r="B4589">
        <v>2017</v>
      </c>
      <c r="C4589">
        <v>8</v>
      </c>
      <c r="D4589">
        <v>23600</v>
      </c>
      <c r="E4589">
        <v>523</v>
      </c>
      <c r="F4589">
        <v>54086.559999999998</v>
      </c>
      <c r="G4589">
        <v>15448.82</v>
      </c>
      <c r="H4589" t="str">
        <f>VLOOKUP(myynnit[[#This Row],[TuoteID]],ohjaus!$A$4:$B$20,2,FALSE)</f>
        <v>Pinnatuoli</v>
      </c>
    </row>
    <row r="4590" spans="1:8" x14ac:dyDescent="0.35">
      <c r="A4590" t="s">
        <v>40</v>
      </c>
      <c r="B4590">
        <v>2017</v>
      </c>
      <c r="C4590">
        <v>8</v>
      </c>
      <c r="D4590">
        <v>23756</v>
      </c>
      <c r="E4590">
        <v>45</v>
      </c>
      <c r="F4590">
        <v>7775.55</v>
      </c>
      <c r="G4590">
        <v>3113.02</v>
      </c>
      <c r="H4590" t="str">
        <f>VLOOKUP(myynnit[[#This Row],[TuoteID]],ohjaus!$A$4:$B$20,2,FALSE)</f>
        <v>Pianotuoli</v>
      </c>
    </row>
    <row r="4591" spans="1:8" x14ac:dyDescent="0.35">
      <c r="A4591" t="s">
        <v>40</v>
      </c>
      <c r="B4591">
        <v>2017</v>
      </c>
      <c r="C4591">
        <v>8</v>
      </c>
      <c r="D4591">
        <v>24326</v>
      </c>
      <c r="E4591">
        <v>32</v>
      </c>
      <c r="F4591">
        <v>4437.93</v>
      </c>
      <c r="G4591">
        <v>1408.22</v>
      </c>
      <c r="H4591" t="str">
        <f>VLOOKUP(myynnit[[#This Row],[TuoteID]],ohjaus!$A$4:$B$20,2,FALSE)</f>
        <v>Lepotuoli</v>
      </c>
    </row>
    <row r="4592" spans="1:8" x14ac:dyDescent="0.35">
      <c r="A4592" t="s">
        <v>39</v>
      </c>
      <c r="B4592">
        <v>2017</v>
      </c>
      <c r="C4592">
        <v>8</v>
      </c>
      <c r="D4592">
        <v>12184</v>
      </c>
      <c r="E4592">
        <v>68</v>
      </c>
      <c r="F4592">
        <v>9314.0400000000009</v>
      </c>
      <c r="G4592">
        <v>6674.63</v>
      </c>
      <c r="H4592" t="str">
        <f>VLOOKUP(myynnit[[#This Row],[TuoteID]],ohjaus!$A$4:$B$20,2,FALSE)</f>
        <v>Rahi</v>
      </c>
    </row>
    <row r="4593" spans="1:8" x14ac:dyDescent="0.35">
      <c r="A4593" t="s">
        <v>39</v>
      </c>
      <c r="B4593">
        <v>2017</v>
      </c>
      <c r="C4593">
        <v>8</v>
      </c>
      <c r="D4593">
        <v>12622</v>
      </c>
      <c r="E4593">
        <v>23</v>
      </c>
      <c r="F4593">
        <v>5129.4799999999996</v>
      </c>
      <c r="G4593">
        <v>3357.49</v>
      </c>
      <c r="H4593" t="str">
        <f>VLOOKUP(myynnit[[#This Row],[TuoteID]],ohjaus!$A$4:$B$20,2,FALSE)</f>
        <v>Pianotuoli</v>
      </c>
    </row>
    <row r="4594" spans="1:8" x14ac:dyDescent="0.35">
      <c r="A4594" t="s">
        <v>39</v>
      </c>
      <c r="B4594">
        <v>2017</v>
      </c>
      <c r="C4594">
        <v>8</v>
      </c>
      <c r="D4594">
        <v>13527</v>
      </c>
      <c r="E4594">
        <v>398</v>
      </c>
      <c r="F4594">
        <v>66515.45</v>
      </c>
      <c r="G4594">
        <v>17169.97</v>
      </c>
      <c r="H4594" t="str">
        <f>VLOOKUP(myynnit[[#This Row],[TuoteID]],ohjaus!$A$4:$B$20,2,FALSE)</f>
        <v>Pinnatuoli</v>
      </c>
    </row>
    <row r="4595" spans="1:8" x14ac:dyDescent="0.35">
      <c r="A4595" t="s">
        <v>39</v>
      </c>
      <c r="B4595">
        <v>2017</v>
      </c>
      <c r="C4595">
        <v>8</v>
      </c>
      <c r="D4595">
        <v>13618</v>
      </c>
      <c r="E4595">
        <v>12</v>
      </c>
      <c r="F4595">
        <v>4418.6099999999997</v>
      </c>
      <c r="G4595">
        <v>2682.3</v>
      </c>
      <c r="H4595" t="str">
        <f>VLOOKUP(myynnit[[#This Row],[TuoteID]],ohjaus!$A$4:$B$20,2,FALSE)</f>
        <v>Pianotuoli</v>
      </c>
    </row>
    <row r="4596" spans="1:8" x14ac:dyDescent="0.35">
      <c r="A4596" t="s">
        <v>39</v>
      </c>
      <c r="B4596">
        <v>2017</v>
      </c>
      <c r="C4596">
        <v>8</v>
      </c>
      <c r="D4596">
        <v>16024</v>
      </c>
      <c r="E4596">
        <v>208</v>
      </c>
      <c r="F4596">
        <v>93701.94</v>
      </c>
      <c r="G4596">
        <v>23621.32</v>
      </c>
      <c r="H4596" t="str">
        <f>VLOOKUP(myynnit[[#This Row],[TuoteID]],ohjaus!$A$4:$B$20,2,FALSE)</f>
        <v>Työtuoli</v>
      </c>
    </row>
    <row r="4597" spans="1:8" x14ac:dyDescent="0.35">
      <c r="A4597" t="s">
        <v>39</v>
      </c>
      <c r="B4597">
        <v>2017</v>
      </c>
      <c r="C4597">
        <v>8</v>
      </c>
      <c r="D4597">
        <v>16650</v>
      </c>
      <c r="E4597">
        <v>22</v>
      </c>
      <c r="F4597">
        <v>3320.21</v>
      </c>
      <c r="G4597">
        <v>1976.64</v>
      </c>
      <c r="H4597" t="str">
        <f>VLOOKUP(myynnit[[#This Row],[TuoteID]],ohjaus!$A$4:$B$20,2,FALSE)</f>
        <v>Rahi</v>
      </c>
    </row>
    <row r="4598" spans="1:8" x14ac:dyDescent="0.35">
      <c r="A4598" t="s">
        <v>39</v>
      </c>
      <c r="B4598">
        <v>2017</v>
      </c>
      <c r="C4598">
        <v>8</v>
      </c>
      <c r="D4598">
        <v>17892</v>
      </c>
      <c r="E4598">
        <v>113</v>
      </c>
      <c r="F4598">
        <v>17759.45</v>
      </c>
      <c r="G4598">
        <v>5644.97</v>
      </c>
      <c r="H4598" t="str">
        <f>VLOOKUP(myynnit[[#This Row],[TuoteID]],ohjaus!$A$4:$B$20,2,FALSE)</f>
        <v>Lepotuoli</v>
      </c>
    </row>
    <row r="4599" spans="1:8" x14ac:dyDescent="0.35">
      <c r="A4599" t="s">
        <v>39</v>
      </c>
      <c r="B4599">
        <v>2017</v>
      </c>
      <c r="C4599">
        <v>8</v>
      </c>
      <c r="D4599">
        <v>18342</v>
      </c>
      <c r="E4599">
        <v>138</v>
      </c>
      <c r="F4599">
        <v>119194.5</v>
      </c>
      <c r="G4599">
        <v>40556.410000000003</v>
      </c>
      <c r="H4599" t="str">
        <f>VLOOKUP(myynnit[[#This Row],[TuoteID]],ohjaus!$A$4:$B$20,2,FALSE)</f>
        <v>Työtuoli</v>
      </c>
    </row>
    <row r="4600" spans="1:8" x14ac:dyDescent="0.35">
      <c r="A4600" t="s">
        <v>39</v>
      </c>
      <c r="B4600">
        <v>2017</v>
      </c>
      <c r="C4600">
        <v>8</v>
      </c>
      <c r="D4600">
        <v>20177</v>
      </c>
      <c r="E4600">
        <v>33</v>
      </c>
      <c r="F4600">
        <v>3620.48</v>
      </c>
      <c r="G4600">
        <v>1600.62</v>
      </c>
      <c r="H4600" t="str">
        <f>VLOOKUP(myynnit[[#This Row],[TuoteID]],ohjaus!$A$4:$B$20,2,FALSE)</f>
        <v>Säkkituoli</v>
      </c>
    </row>
    <row r="4601" spans="1:8" x14ac:dyDescent="0.35">
      <c r="A4601" t="s">
        <v>39</v>
      </c>
      <c r="B4601">
        <v>2017</v>
      </c>
      <c r="C4601">
        <v>8</v>
      </c>
      <c r="D4601">
        <v>21179</v>
      </c>
      <c r="E4601">
        <v>64</v>
      </c>
      <c r="F4601">
        <v>9588.09</v>
      </c>
      <c r="G4601">
        <v>7459.22</v>
      </c>
      <c r="H4601" t="str">
        <f>VLOOKUP(myynnit[[#This Row],[TuoteID]],ohjaus!$A$4:$B$20,2,FALSE)</f>
        <v>Rahi</v>
      </c>
    </row>
    <row r="4602" spans="1:8" x14ac:dyDescent="0.35">
      <c r="A4602" t="s">
        <v>39</v>
      </c>
      <c r="B4602">
        <v>2017</v>
      </c>
      <c r="C4602">
        <v>8</v>
      </c>
      <c r="D4602">
        <v>21260</v>
      </c>
      <c r="E4602">
        <v>52</v>
      </c>
      <c r="F4602">
        <v>9389.48</v>
      </c>
      <c r="G4602">
        <v>2779.95</v>
      </c>
      <c r="H4602" t="str">
        <f>VLOOKUP(myynnit[[#This Row],[TuoteID]],ohjaus!$A$4:$B$20,2,FALSE)</f>
        <v>Lepotuoli</v>
      </c>
    </row>
    <row r="4603" spans="1:8" x14ac:dyDescent="0.35">
      <c r="A4603" t="s">
        <v>39</v>
      </c>
      <c r="B4603">
        <v>2017</v>
      </c>
      <c r="C4603">
        <v>8</v>
      </c>
      <c r="D4603">
        <v>22317</v>
      </c>
      <c r="E4603">
        <v>45</v>
      </c>
      <c r="F4603">
        <v>3667.93</v>
      </c>
      <c r="G4603">
        <v>1895.31</v>
      </c>
      <c r="H4603" t="str">
        <f>VLOOKUP(myynnit[[#This Row],[TuoteID]],ohjaus!$A$4:$B$20,2,FALSE)</f>
        <v>Säkkituoli</v>
      </c>
    </row>
    <row r="4604" spans="1:8" x14ac:dyDescent="0.35">
      <c r="A4604" t="s">
        <v>39</v>
      </c>
      <c r="B4604">
        <v>2017</v>
      </c>
      <c r="C4604">
        <v>8</v>
      </c>
      <c r="D4604">
        <v>22940</v>
      </c>
      <c r="E4604">
        <v>490</v>
      </c>
      <c r="F4604">
        <v>63058.559999999998</v>
      </c>
      <c r="G4604">
        <v>14236.98</v>
      </c>
      <c r="H4604" t="str">
        <f>VLOOKUP(myynnit[[#This Row],[TuoteID]],ohjaus!$A$4:$B$20,2,FALSE)</f>
        <v>Pinnatuoli</v>
      </c>
    </row>
    <row r="4605" spans="1:8" x14ac:dyDescent="0.35">
      <c r="A4605" t="s">
        <v>39</v>
      </c>
      <c r="B4605">
        <v>2017</v>
      </c>
      <c r="C4605">
        <v>8</v>
      </c>
      <c r="D4605">
        <v>23178</v>
      </c>
      <c r="E4605">
        <v>227</v>
      </c>
      <c r="F4605">
        <v>44863.91</v>
      </c>
      <c r="G4605">
        <v>9962.34</v>
      </c>
      <c r="H4605" t="str">
        <f>VLOOKUP(myynnit[[#This Row],[TuoteID]],ohjaus!$A$4:$B$20,2,FALSE)</f>
        <v>Pinnatuoli</v>
      </c>
    </row>
    <row r="4606" spans="1:8" x14ac:dyDescent="0.35">
      <c r="A4606" t="s">
        <v>39</v>
      </c>
      <c r="B4606">
        <v>2017</v>
      </c>
      <c r="C4606">
        <v>8</v>
      </c>
      <c r="D4606">
        <v>23600</v>
      </c>
      <c r="E4606">
        <v>513</v>
      </c>
      <c r="F4606">
        <v>54254.35</v>
      </c>
      <c r="G4606">
        <v>13637.43</v>
      </c>
      <c r="H4606" t="str">
        <f>VLOOKUP(myynnit[[#This Row],[TuoteID]],ohjaus!$A$4:$B$20,2,FALSE)</f>
        <v>Pinnatuoli</v>
      </c>
    </row>
    <row r="4607" spans="1:8" x14ac:dyDescent="0.35">
      <c r="A4607" t="s">
        <v>39</v>
      </c>
      <c r="B4607">
        <v>2017</v>
      </c>
      <c r="C4607">
        <v>8</v>
      </c>
      <c r="D4607">
        <v>23756</v>
      </c>
      <c r="E4607">
        <v>93</v>
      </c>
      <c r="F4607">
        <v>16781.53</v>
      </c>
      <c r="G4607">
        <v>9293.2800000000007</v>
      </c>
      <c r="H4607" t="str">
        <f>VLOOKUP(myynnit[[#This Row],[TuoteID]],ohjaus!$A$4:$B$20,2,FALSE)</f>
        <v>Pianotuoli</v>
      </c>
    </row>
    <row r="4608" spans="1:8" x14ac:dyDescent="0.35">
      <c r="A4608" t="s">
        <v>39</v>
      </c>
      <c r="B4608">
        <v>2017</v>
      </c>
      <c r="C4608">
        <v>8</v>
      </c>
      <c r="D4608">
        <v>24326</v>
      </c>
      <c r="E4608">
        <v>71</v>
      </c>
      <c r="F4608">
        <v>11336.06</v>
      </c>
      <c r="G4608">
        <v>3357.85</v>
      </c>
      <c r="H4608" t="str">
        <f>VLOOKUP(myynnit[[#This Row],[TuoteID]],ohjaus!$A$4:$B$20,2,FALSE)</f>
        <v>Lepotuoli</v>
      </c>
    </row>
    <row r="4609" spans="1:8" x14ac:dyDescent="0.35">
      <c r="A4609" t="s">
        <v>38</v>
      </c>
      <c r="B4609">
        <v>2017</v>
      </c>
      <c r="C4609">
        <v>8</v>
      </c>
      <c r="D4609">
        <v>12184</v>
      </c>
      <c r="E4609">
        <v>73</v>
      </c>
      <c r="F4609">
        <v>8045.44</v>
      </c>
      <c r="G4609">
        <v>4082.17</v>
      </c>
      <c r="H4609" t="str">
        <f>VLOOKUP(myynnit[[#This Row],[TuoteID]],ohjaus!$A$4:$B$20,2,FALSE)</f>
        <v>Rahi</v>
      </c>
    </row>
    <row r="4610" spans="1:8" x14ac:dyDescent="0.35">
      <c r="A4610" t="s">
        <v>38</v>
      </c>
      <c r="B4610">
        <v>2017</v>
      </c>
      <c r="C4610">
        <v>8</v>
      </c>
      <c r="D4610">
        <v>12622</v>
      </c>
      <c r="E4610">
        <v>56</v>
      </c>
      <c r="F4610">
        <v>16392.82</v>
      </c>
      <c r="G4610">
        <v>8445.18</v>
      </c>
      <c r="H4610" t="str">
        <f>VLOOKUP(myynnit[[#This Row],[TuoteID]],ohjaus!$A$4:$B$20,2,FALSE)</f>
        <v>Pianotuoli</v>
      </c>
    </row>
    <row r="4611" spans="1:8" x14ac:dyDescent="0.35">
      <c r="A4611" t="s">
        <v>38</v>
      </c>
      <c r="B4611">
        <v>2017</v>
      </c>
      <c r="C4611">
        <v>8</v>
      </c>
      <c r="D4611">
        <v>13527</v>
      </c>
      <c r="E4611">
        <v>345</v>
      </c>
      <c r="F4611">
        <v>54632.33</v>
      </c>
      <c r="G4611">
        <v>11615.1</v>
      </c>
      <c r="H4611" t="str">
        <f>VLOOKUP(myynnit[[#This Row],[TuoteID]],ohjaus!$A$4:$B$20,2,FALSE)</f>
        <v>Pinnatuoli</v>
      </c>
    </row>
    <row r="4612" spans="1:8" x14ac:dyDescent="0.35">
      <c r="A4612" t="s">
        <v>38</v>
      </c>
      <c r="B4612">
        <v>2017</v>
      </c>
      <c r="C4612">
        <v>8</v>
      </c>
      <c r="D4612">
        <v>13618</v>
      </c>
      <c r="E4612">
        <v>8</v>
      </c>
      <c r="F4612">
        <v>3417.64</v>
      </c>
      <c r="G4612">
        <v>1433.45</v>
      </c>
      <c r="H4612" t="str">
        <f>VLOOKUP(myynnit[[#This Row],[TuoteID]],ohjaus!$A$4:$B$20,2,FALSE)</f>
        <v>Pianotuoli</v>
      </c>
    </row>
    <row r="4613" spans="1:8" x14ac:dyDescent="0.35">
      <c r="A4613" t="s">
        <v>38</v>
      </c>
      <c r="B4613">
        <v>2017</v>
      </c>
      <c r="C4613">
        <v>8</v>
      </c>
      <c r="D4613">
        <v>16024</v>
      </c>
      <c r="E4613">
        <v>204</v>
      </c>
      <c r="F4613">
        <v>93745.52</v>
      </c>
      <c r="G4613">
        <v>26488.61</v>
      </c>
      <c r="H4613" t="str">
        <f>VLOOKUP(myynnit[[#This Row],[TuoteID]],ohjaus!$A$4:$B$20,2,FALSE)</f>
        <v>Työtuoli</v>
      </c>
    </row>
    <row r="4614" spans="1:8" x14ac:dyDescent="0.35">
      <c r="A4614" t="s">
        <v>38</v>
      </c>
      <c r="B4614">
        <v>2017</v>
      </c>
      <c r="C4614">
        <v>8</v>
      </c>
      <c r="D4614">
        <v>16650</v>
      </c>
      <c r="E4614">
        <v>41</v>
      </c>
      <c r="F4614">
        <v>7247.89</v>
      </c>
      <c r="G4614">
        <v>4020.74</v>
      </c>
      <c r="H4614" t="str">
        <f>VLOOKUP(myynnit[[#This Row],[TuoteID]],ohjaus!$A$4:$B$20,2,FALSE)</f>
        <v>Rahi</v>
      </c>
    </row>
    <row r="4615" spans="1:8" x14ac:dyDescent="0.35">
      <c r="A4615" t="s">
        <v>38</v>
      </c>
      <c r="B4615">
        <v>2017</v>
      </c>
      <c r="C4615">
        <v>8</v>
      </c>
      <c r="D4615">
        <v>17892</v>
      </c>
      <c r="E4615">
        <v>97</v>
      </c>
      <c r="F4615">
        <v>13745.25</v>
      </c>
      <c r="G4615">
        <v>3421.69</v>
      </c>
      <c r="H4615" t="str">
        <f>VLOOKUP(myynnit[[#This Row],[TuoteID]],ohjaus!$A$4:$B$20,2,FALSE)</f>
        <v>Lepotuoli</v>
      </c>
    </row>
    <row r="4616" spans="1:8" x14ac:dyDescent="0.35">
      <c r="A4616" t="s">
        <v>38</v>
      </c>
      <c r="B4616">
        <v>2017</v>
      </c>
      <c r="C4616">
        <v>8</v>
      </c>
      <c r="D4616">
        <v>18342</v>
      </c>
      <c r="E4616">
        <v>96</v>
      </c>
      <c r="F4616">
        <v>81591.429999999993</v>
      </c>
      <c r="G4616">
        <v>18499.419999999998</v>
      </c>
      <c r="H4616" t="str">
        <f>VLOOKUP(myynnit[[#This Row],[TuoteID]],ohjaus!$A$4:$B$20,2,FALSE)</f>
        <v>Työtuoli</v>
      </c>
    </row>
    <row r="4617" spans="1:8" x14ac:dyDescent="0.35">
      <c r="A4617" t="s">
        <v>38</v>
      </c>
      <c r="B4617">
        <v>2017</v>
      </c>
      <c r="C4617">
        <v>8</v>
      </c>
      <c r="D4617">
        <v>20177</v>
      </c>
      <c r="E4617">
        <v>76</v>
      </c>
      <c r="F4617">
        <v>8884.66</v>
      </c>
      <c r="G4617">
        <v>3524.08</v>
      </c>
      <c r="H4617" t="str">
        <f>VLOOKUP(myynnit[[#This Row],[TuoteID]],ohjaus!$A$4:$B$20,2,FALSE)</f>
        <v>Säkkituoli</v>
      </c>
    </row>
    <row r="4618" spans="1:8" x14ac:dyDescent="0.35">
      <c r="A4618" t="s">
        <v>38</v>
      </c>
      <c r="B4618">
        <v>2017</v>
      </c>
      <c r="C4618">
        <v>8</v>
      </c>
      <c r="D4618">
        <v>21179</v>
      </c>
      <c r="E4618">
        <v>41</v>
      </c>
      <c r="F4618">
        <v>4167.5</v>
      </c>
      <c r="G4618">
        <v>2147.33</v>
      </c>
      <c r="H4618" t="str">
        <f>VLOOKUP(myynnit[[#This Row],[TuoteID]],ohjaus!$A$4:$B$20,2,FALSE)</f>
        <v>Rahi</v>
      </c>
    </row>
    <row r="4619" spans="1:8" x14ac:dyDescent="0.35">
      <c r="A4619" t="s">
        <v>38</v>
      </c>
      <c r="B4619">
        <v>2017</v>
      </c>
      <c r="C4619">
        <v>8</v>
      </c>
      <c r="D4619">
        <v>21260</v>
      </c>
      <c r="E4619">
        <v>73</v>
      </c>
      <c r="F4619">
        <v>13506.13</v>
      </c>
      <c r="G4619">
        <v>3347.51</v>
      </c>
      <c r="H4619" t="str">
        <f>VLOOKUP(myynnit[[#This Row],[TuoteID]],ohjaus!$A$4:$B$20,2,FALSE)</f>
        <v>Lepotuoli</v>
      </c>
    </row>
    <row r="4620" spans="1:8" x14ac:dyDescent="0.35">
      <c r="A4620" t="s">
        <v>38</v>
      </c>
      <c r="B4620">
        <v>2017</v>
      </c>
      <c r="C4620">
        <v>8</v>
      </c>
      <c r="D4620">
        <v>22317</v>
      </c>
      <c r="E4620">
        <v>46</v>
      </c>
      <c r="F4620">
        <v>4541.7299999999996</v>
      </c>
      <c r="G4620">
        <v>1706.92</v>
      </c>
      <c r="H4620" t="str">
        <f>VLOOKUP(myynnit[[#This Row],[TuoteID]],ohjaus!$A$4:$B$20,2,FALSE)</f>
        <v>Säkkituoli</v>
      </c>
    </row>
    <row r="4621" spans="1:8" x14ac:dyDescent="0.35">
      <c r="A4621" t="s">
        <v>38</v>
      </c>
      <c r="B4621">
        <v>2017</v>
      </c>
      <c r="C4621">
        <v>8</v>
      </c>
      <c r="D4621">
        <v>22940</v>
      </c>
      <c r="E4621">
        <v>650</v>
      </c>
      <c r="F4621">
        <v>85059.09</v>
      </c>
      <c r="G4621">
        <v>18824.12</v>
      </c>
      <c r="H4621" t="str">
        <f>VLOOKUP(myynnit[[#This Row],[TuoteID]],ohjaus!$A$4:$B$20,2,FALSE)</f>
        <v>Pinnatuoli</v>
      </c>
    </row>
    <row r="4622" spans="1:8" x14ac:dyDescent="0.35">
      <c r="A4622" t="s">
        <v>38</v>
      </c>
      <c r="B4622">
        <v>2017</v>
      </c>
      <c r="C4622">
        <v>8</v>
      </c>
      <c r="D4622">
        <v>23178</v>
      </c>
      <c r="E4622">
        <v>221</v>
      </c>
      <c r="F4622">
        <v>41627.08</v>
      </c>
      <c r="G4622">
        <v>9899.3799999999992</v>
      </c>
      <c r="H4622" t="str">
        <f>VLOOKUP(myynnit[[#This Row],[TuoteID]],ohjaus!$A$4:$B$20,2,FALSE)</f>
        <v>Pinnatuoli</v>
      </c>
    </row>
    <row r="4623" spans="1:8" x14ac:dyDescent="0.35">
      <c r="A4623" t="s">
        <v>38</v>
      </c>
      <c r="B4623">
        <v>2017</v>
      </c>
      <c r="C4623">
        <v>8</v>
      </c>
      <c r="D4623">
        <v>23600</v>
      </c>
      <c r="E4623">
        <v>1201</v>
      </c>
      <c r="F4623">
        <v>133896.76999999999</v>
      </c>
      <c r="G4623">
        <v>36238.69</v>
      </c>
      <c r="H4623" t="str">
        <f>VLOOKUP(myynnit[[#This Row],[TuoteID]],ohjaus!$A$4:$B$20,2,FALSE)</f>
        <v>Pinnatuoli</v>
      </c>
    </row>
    <row r="4624" spans="1:8" x14ac:dyDescent="0.35">
      <c r="A4624" t="s">
        <v>38</v>
      </c>
      <c r="B4624">
        <v>2017</v>
      </c>
      <c r="C4624">
        <v>8</v>
      </c>
      <c r="D4624">
        <v>23756</v>
      </c>
      <c r="E4624">
        <v>98</v>
      </c>
      <c r="F4624">
        <v>14699.68</v>
      </c>
      <c r="G4624">
        <v>7592.95</v>
      </c>
      <c r="H4624" t="str">
        <f>VLOOKUP(myynnit[[#This Row],[TuoteID]],ohjaus!$A$4:$B$20,2,FALSE)</f>
        <v>Pianotuoli</v>
      </c>
    </row>
    <row r="4625" spans="1:8" x14ac:dyDescent="0.35">
      <c r="A4625" t="s">
        <v>38</v>
      </c>
      <c r="B4625">
        <v>2017</v>
      </c>
      <c r="C4625">
        <v>8</v>
      </c>
      <c r="D4625">
        <v>24326</v>
      </c>
      <c r="E4625">
        <v>146</v>
      </c>
      <c r="F4625">
        <v>19712.97</v>
      </c>
      <c r="G4625">
        <v>5026.32</v>
      </c>
      <c r="H4625" t="str">
        <f>VLOOKUP(myynnit[[#This Row],[TuoteID]],ohjaus!$A$4:$B$20,2,FALSE)</f>
        <v>Lepotuoli</v>
      </c>
    </row>
    <row r="4626" spans="1:8" x14ac:dyDescent="0.35">
      <c r="A4626" t="s">
        <v>37</v>
      </c>
      <c r="B4626">
        <v>2017</v>
      </c>
      <c r="C4626">
        <v>9</v>
      </c>
      <c r="D4626">
        <v>12184</v>
      </c>
      <c r="E4626">
        <v>43</v>
      </c>
      <c r="F4626">
        <v>5752.69</v>
      </c>
      <c r="G4626">
        <v>2518.81</v>
      </c>
      <c r="H4626" t="str">
        <f>VLOOKUP(myynnit[[#This Row],[TuoteID]],ohjaus!$A$4:$B$20,2,FALSE)</f>
        <v>Rahi</v>
      </c>
    </row>
    <row r="4627" spans="1:8" x14ac:dyDescent="0.35">
      <c r="A4627" t="s">
        <v>37</v>
      </c>
      <c r="B4627">
        <v>2017</v>
      </c>
      <c r="C4627">
        <v>9</v>
      </c>
      <c r="D4627">
        <v>12622</v>
      </c>
      <c r="E4627">
        <v>41</v>
      </c>
      <c r="F4627">
        <v>9091.94</v>
      </c>
      <c r="G4627">
        <v>4453.78</v>
      </c>
      <c r="H4627" t="str">
        <f>VLOOKUP(myynnit[[#This Row],[TuoteID]],ohjaus!$A$4:$B$20,2,FALSE)</f>
        <v>Pianotuoli</v>
      </c>
    </row>
    <row r="4628" spans="1:8" x14ac:dyDescent="0.35">
      <c r="A4628" t="s">
        <v>37</v>
      </c>
      <c r="B4628">
        <v>2017</v>
      </c>
      <c r="C4628">
        <v>9</v>
      </c>
      <c r="D4628">
        <v>13527</v>
      </c>
      <c r="E4628">
        <v>614</v>
      </c>
      <c r="F4628">
        <v>91011.75</v>
      </c>
      <c r="G4628">
        <v>17988.91</v>
      </c>
      <c r="H4628" t="str">
        <f>VLOOKUP(myynnit[[#This Row],[TuoteID]],ohjaus!$A$4:$B$20,2,FALSE)</f>
        <v>Pinnatuoli</v>
      </c>
    </row>
    <row r="4629" spans="1:8" x14ac:dyDescent="0.35">
      <c r="A4629" t="s">
        <v>37</v>
      </c>
      <c r="B4629">
        <v>2017</v>
      </c>
      <c r="C4629">
        <v>9</v>
      </c>
      <c r="D4629">
        <v>13618</v>
      </c>
      <c r="E4629">
        <v>20</v>
      </c>
      <c r="F4629">
        <v>6406.8</v>
      </c>
      <c r="G4629">
        <v>3061.83</v>
      </c>
      <c r="H4629" t="str">
        <f>VLOOKUP(myynnit[[#This Row],[TuoteID]],ohjaus!$A$4:$B$20,2,FALSE)</f>
        <v>Pianotuoli</v>
      </c>
    </row>
    <row r="4630" spans="1:8" x14ac:dyDescent="0.35">
      <c r="A4630" t="s">
        <v>37</v>
      </c>
      <c r="B4630">
        <v>2017</v>
      </c>
      <c r="C4630">
        <v>9</v>
      </c>
      <c r="D4630">
        <v>16024</v>
      </c>
      <c r="E4630">
        <v>160</v>
      </c>
      <c r="F4630">
        <v>61393.65</v>
      </c>
      <c r="G4630">
        <v>16513.88</v>
      </c>
      <c r="H4630" t="str">
        <f>VLOOKUP(myynnit[[#This Row],[TuoteID]],ohjaus!$A$4:$B$20,2,FALSE)</f>
        <v>Työtuoli</v>
      </c>
    </row>
    <row r="4631" spans="1:8" x14ac:dyDescent="0.35">
      <c r="A4631" t="s">
        <v>37</v>
      </c>
      <c r="B4631">
        <v>2017</v>
      </c>
      <c r="C4631">
        <v>9</v>
      </c>
      <c r="D4631">
        <v>16650</v>
      </c>
      <c r="E4631">
        <v>30</v>
      </c>
      <c r="F4631">
        <v>4068.28</v>
      </c>
      <c r="G4631">
        <v>1767.39</v>
      </c>
      <c r="H4631" t="str">
        <f>VLOOKUP(myynnit[[#This Row],[TuoteID]],ohjaus!$A$4:$B$20,2,FALSE)</f>
        <v>Rahi</v>
      </c>
    </row>
    <row r="4632" spans="1:8" x14ac:dyDescent="0.35">
      <c r="A4632" t="s">
        <v>37</v>
      </c>
      <c r="B4632">
        <v>2017</v>
      </c>
      <c r="C4632">
        <v>9</v>
      </c>
      <c r="D4632">
        <v>17892</v>
      </c>
      <c r="E4632">
        <v>159</v>
      </c>
      <c r="F4632">
        <v>22902.83</v>
      </c>
      <c r="G4632">
        <v>5674.58</v>
      </c>
      <c r="H4632" t="str">
        <f>VLOOKUP(myynnit[[#This Row],[TuoteID]],ohjaus!$A$4:$B$20,2,FALSE)</f>
        <v>Lepotuoli</v>
      </c>
    </row>
    <row r="4633" spans="1:8" x14ac:dyDescent="0.35">
      <c r="A4633" t="s">
        <v>37</v>
      </c>
      <c r="B4633">
        <v>2017</v>
      </c>
      <c r="C4633">
        <v>9</v>
      </c>
      <c r="D4633">
        <v>18342</v>
      </c>
      <c r="E4633">
        <v>134</v>
      </c>
      <c r="F4633">
        <v>101828.21</v>
      </c>
      <c r="G4633">
        <v>29086.99</v>
      </c>
      <c r="H4633" t="str">
        <f>VLOOKUP(myynnit[[#This Row],[TuoteID]],ohjaus!$A$4:$B$20,2,FALSE)</f>
        <v>Työtuoli</v>
      </c>
    </row>
    <row r="4634" spans="1:8" x14ac:dyDescent="0.35">
      <c r="A4634" t="s">
        <v>37</v>
      </c>
      <c r="B4634">
        <v>2017</v>
      </c>
      <c r="C4634">
        <v>9</v>
      </c>
      <c r="D4634">
        <v>20177</v>
      </c>
      <c r="E4634">
        <v>140</v>
      </c>
      <c r="F4634">
        <v>14158.63</v>
      </c>
      <c r="G4634">
        <v>5810.58</v>
      </c>
      <c r="H4634" t="str">
        <f>VLOOKUP(myynnit[[#This Row],[TuoteID]],ohjaus!$A$4:$B$20,2,FALSE)</f>
        <v>Säkkituoli</v>
      </c>
    </row>
    <row r="4635" spans="1:8" x14ac:dyDescent="0.35">
      <c r="A4635" t="s">
        <v>37</v>
      </c>
      <c r="B4635">
        <v>2017</v>
      </c>
      <c r="C4635">
        <v>9</v>
      </c>
      <c r="D4635">
        <v>21179</v>
      </c>
      <c r="E4635">
        <v>82</v>
      </c>
      <c r="F4635">
        <v>10074.620000000001</v>
      </c>
      <c r="G4635">
        <v>5046.7299999999996</v>
      </c>
      <c r="H4635" t="str">
        <f>VLOOKUP(myynnit[[#This Row],[TuoteID]],ohjaus!$A$4:$B$20,2,FALSE)</f>
        <v>Rahi</v>
      </c>
    </row>
    <row r="4636" spans="1:8" x14ac:dyDescent="0.35">
      <c r="A4636" t="s">
        <v>37</v>
      </c>
      <c r="B4636">
        <v>2017</v>
      </c>
      <c r="C4636">
        <v>9</v>
      </c>
      <c r="D4636">
        <v>21260</v>
      </c>
      <c r="E4636">
        <v>52</v>
      </c>
      <c r="F4636">
        <v>10351.68</v>
      </c>
      <c r="G4636">
        <v>2917.37</v>
      </c>
      <c r="H4636" t="str">
        <f>VLOOKUP(myynnit[[#This Row],[TuoteID]],ohjaus!$A$4:$B$20,2,FALSE)</f>
        <v>Lepotuoli</v>
      </c>
    </row>
    <row r="4637" spans="1:8" x14ac:dyDescent="0.35">
      <c r="A4637" t="s">
        <v>37</v>
      </c>
      <c r="B4637">
        <v>2017</v>
      </c>
      <c r="C4637">
        <v>9</v>
      </c>
      <c r="D4637">
        <v>22317</v>
      </c>
      <c r="E4637">
        <v>104</v>
      </c>
      <c r="F4637">
        <v>9370.07</v>
      </c>
      <c r="G4637">
        <v>3393.06</v>
      </c>
      <c r="H4637" t="str">
        <f>VLOOKUP(myynnit[[#This Row],[TuoteID]],ohjaus!$A$4:$B$20,2,FALSE)</f>
        <v>Säkkituoli</v>
      </c>
    </row>
    <row r="4638" spans="1:8" x14ac:dyDescent="0.35">
      <c r="A4638" t="s">
        <v>37</v>
      </c>
      <c r="B4638">
        <v>2017</v>
      </c>
      <c r="C4638">
        <v>9</v>
      </c>
      <c r="D4638">
        <v>22940</v>
      </c>
      <c r="E4638">
        <v>443</v>
      </c>
      <c r="F4638">
        <v>52398.19</v>
      </c>
      <c r="G4638">
        <v>8715.67</v>
      </c>
      <c r="H4638" t="str">
        <f>VLOOKUP(myynnit[[#This Row],[TuoteID]],ohjaus!$A$4:$B$20,2,FALSE)</f>
        <v>Pinnatuoli</v>
      </c>
    </row>
    <row r="4639" spans="1:8" x14ac:dyDescent="0.35">
      <c r="A4639" t="s">
        <v>37</v>
      </c>
      <c r="B4639">
        <v>2017</v>
      </c>
      <c r="C4639">
        <v>9</v>
      </c>
      <c r="D4639">
        <v>23178</v>
      </c>
      <c r="E4639">
        <v>323</v>
      </c>
      <c r="F4639">
        <v>53362.09</v>
      </c>
      <c r="G4639">
        <v>10742.73</v>
      </c>
      <c r="H4639" t="str">
        <f>VLOOKUP(myynnit[[#This Row],[TuoteID]],ohjaus!$A$4:$B$20,2,FALSE)</f>
        <v>Pinnatuoli</v>
      </c>
    </row>
    <row r="4640" spans="1:8" x14ac:dyDescent="0.35">
      <c r="A4640" t="s">
        <v>37</v>
      </c>
      <c r="B4640">
        <v>2017</v>
      </c>
      <c r="C4640">
        <v>9</v>
      </c>
      <c r="D4640">
        <v>23600</v>
      </c>
      <c r="E4640">
        <v>1302</v>
      </c>
      <c r="F4640">
        <v>154776.9</v>
      </c>
      <c r="G4640">
        <v>35496.32</v>
      </c>
      <c r="H4640" t="str">
        <f>VLOOKUP(myynnit[[#This Row],[TuoteID]],ohjaus!$A$4:$B$20,2,FALSE)</f>
        <v>Pinnatuoli</v>
      </c>
    </row>
    <row r="4641" spans="1:8" x14ac:dyDescent="0.35">
      <c r="A4641" t="s">
        <v>37</v>
      </c>
      <c r="B4641">
        <v>2017</v>
      </c>
      <c r="C4641">
        <v>9</v>
      </c>
      <c r="D4641">
        <v>23756</v>
      </c>
      <c r="E4641">
        <v>139</v>
      </c>
      <c r="F4641">
        <v>27743.01</v>
      </c>
      <c r="G4641">
        <v>13551.52</v>
      </c>
      <c r="H4641" t="str">
        <f>VLOOKUP(myynnit[[#This Row],[TuoteID]],ohjaus!$A$4:$B$20,2,FALSE)</f>
        <v>Pianotuoli</v>
      </c>
    </row>
    <row r="4642" spans="1:8" x14ac:dyDescent="0.35">
      <c r="A4642" t="s">
        <v>37</v>
      </c>
      <c r="B4642">
        <v>2017</v>
      </c>
      <c r="C4642">
        <v>9</v>
      </c>
      <c r="D4642">
        <v>24326</v>
      </c>
      <c r="E4642">
        <v>153</v>
      </c>
      <c r="F4642">
        <v>20692.7</v>
      </c>
      <c r="G4642">
        <v>5572</v>
      </c>
      <c r="H4642" t="str">
        <f>VLOOKUP(myynnit[[#This Row],[TuoteID]],ohjaus!$A$4:$B$20,2,FALSE)</f>
        <v>Lepotuoli</v>
      </c>
    </row>
    <row r="4643" spans="1:8" x14ac:dyDescent="0.35">
      <c r="A4643" t="s">
        <v>40</v>
      </c>
      <c r="B4643">
        <v>2017</v>
      </c>
      <c r="C4643">
        <v>9</v>
      </c>
      <c r="D4643">
        <v>12184</v>
      </c>
      <c r="E4643">
        <v>19</v>
      </c>
      <c r="F4643">
        <v>1928.39</v>
      </c>
      <c r="G4643">
        <v>940.54</v>
      </c>
      <c r="H4643" t="str">
        <f>VLOOKUP(myynnit[[#This Row],[TuoteID]],ohjaus!$A$4:$B$20,2,FALSE)</f>
        <v>Rahi</v>
      </c>
    </row>
    <row r="4644" spans="1:8" x14ac:dyDescent="0.35">
      <c r="A4644" t="s">
        <v>40</v>
      </c>
      <c r="B4644">
        <v>2017</v>
      </c>
      <c r="C4644">
        <v>9</v>
      </c>
      <c r="D4644">
        <v>12622</v>
      </c>
      <c r="E4644">
        <v>12</v>
      </c>
      <c r="F4644">
        <v>3232.31</v>
      </c>
      <c r="G4644">
        <v>1311.03</v>
      </c>
      <c r="H4644" t="str">
        <f>VLOOKUP(myynnit[[#This Row],[TuoteID]],ohjaus!$A$4:$B$20,2,FALSE)</f>
        <v>Pianotuoli</v>
      </c>
    </row>
    <row r="4645" spans="1:8" x14ac:dyDescent="0.35">
      <c r="A4645" t="s">
        <v>40</v>
      </c>
      <c r="B4645">
        <v>2017</v>
      </c>
      <c r="C4645">
        <v>9</v>
      </c>
      <c r="D4645">
        <v>13527</v>
      </c>
      <c r="E4645">
        <v>360</v>
      </c>
      <c r="F4645">
        <v>55785.85</v>
      </c>
      <c r="G4645">
        <v>8388.83</v>
      </c>
      <c r="H4645" t="str">
        <f>VLOOKUP(myynnit[[#This Row],[TuoteID]],ohjaus!$A$4:$B$20,2,FALSE)</f>
        <v>Pinnatuoli</v>
      </c>
    </row>
    <row r="4646" spans="1:8" x14ac:dyDescent="0.35">
      <c r="A4646" t="s">
        <v>40</v>
      </c>
      <c r="B4646">
        <v>2017</v>
      </c>
      <c r="C4646">
        <v>9</v>
      </c>
      <c r="D4646">
        <v>13618</v>
      </c>
      <c r="E4646">
        <v>10</v>
      </c>
      <c r="F4646">
        <v>3344.94</v>
      </c>
      <c r="G4646">
        <v>1608.79</v>
      </c>
      <c r="H4646" t="str">
        <f>VLOOKUP(myynnit[[#This Row],[TuoteID]],ohjaus!$A$4:$B$20,2,FALSE)</f>
        <v>Pianotuoli</v>
      </c>
    </row>
    <row r="4647" spans="1:8" x14ac:dyDescent="0.35">
      <c r="A4647" t="s">
        <v>40</v>
      </c>
      <c r="B4647">
        <v>2017</v>
      </c>
      <c r="C4647">
        <v>9</v>
      </c>
      <c r="D4647">
        <v>16024</v>
      </c>
      <c r="E4647">
        <v>106</v>
      </c>
      <c r="F4647">
        <v>43703.839999999997</v>
      </c>
      <c r="G4647">
        <v>12340.89</v>
      </c>
      <c r="H4647" t="str">
        <f>VLOOKUP(myynnit[[#This Row],[TuoteID]],ohjaus!$A$4:$B$20,2,FALSE)</f>
        <v>Työtuoli</v>
      </c>
    </row>
    <row r="4648" spans="1:8" x14ac:dyDescent="0.35">
      <c r="A4648" t="s">
        <v>40</v>
      </c>
      <c r="B4648">
        <v>2017</v>
      </c>
      <c r="C4648">
        <v>9</v>
      </c>
      <c r="D4648">
        <v>16650</v>
      </c>
      <c r="E4648">
        <v>15</v>
      </c>
      <c r="F4648">
        <v>2799.39</v>
      </c>
      <c r="G4648">
        <v>1643.78</v>
      </c>
      <c r="H4648" t="str">
        <f>VLOOKUP(myynnit[[#This Row],[TuoteID]],ohjaus!$A$4:$B$20,2,FALSE)</f>
        <v>Rahi</v>
      </c>
    </row>
    <row r="4649" spans="1:8" x14ac:dyDescent="0.35">
      <c r="A4649" t="s">
        <v>40</v>
      </c>
      <c r="B4649">
        <v>2017</v>
      </c>
      <c r="C4649">
        <v>9</v>
      </c>
      <c r="D4649">
        <v>17892</v>
      </c>
      <c r="E4649">
        <v>41</v>
      </c>
      <c r="F4649">
        <v>6265.25</v>
      </c>
      <c r="G4649">
        <v>1384.25</v>
      </c>
      <c r="H4649" t="str">
        <f>VLOOKUP(myynnit[[#This Row],[TuoteID]],ohjaus!$A$4:$B$20,2,FALSE)</f>
        <v>Lepotuoli</v>
      </c>
    </row>
    <row r="4650" spans="1:8" x14ac:dyDescent="0.35">
      <c r="A4650" t="s">
        <v>40</v>
      </c>
      <c r="B4650">
        <v>2017</v>
      </c>
      <c r="C4650">
        <v>9</v>
      </c>
      <c r="D4650">
        <v>18342</v>
      </c>
      <c r="E4650">
        <v>27</v>
      </c>
      <c r="F4650">
        <v>21438.53</v>
      </c>
      <c r="G4650">
        <v>6486.99</v>
      </c>
      <c r="H4650" t="str">
        <f>VLOOKUP(myynnit[[#This Row],[TuoteID]],ohjaus!$A$4:$B$20,2,FALSE)</f>
        <v>Työtuoli</v>
      </c>
    </row>
    <row r="4651" spans="1:8" x14ac:dyDescent="0.35">
      <c r="A4651" t="s">
        <v>40</v>
      </c>
      <c r="B4651">
        <v>2017</v>
      </c>
      <c r="C4651">
        <v>9</v>
      </c>
      <c r="D4651">
        <v>20177</v>
      </c>
      <c r="E4651">
        <v>31</v>
      </c>
      <c r="F4651">
        <v>2782.59</v>
      </c>
      <c r="G4651">
        <v>1214.0899999999999</v>
      </c>
      <c r="H4651" t="str">
        <f>VLOOKUP(myynnit[[#This Row],[TuoteID]],ohjaus!$A$4:$B$20,2,FALSE)</f>
        <v>Säkkituoli</v>
      </c>
    </row>
    <row r="4652" spans="1:8" x14ac:dyDescent="0.35">
      <c r="A4652" t="s">
        <v>40</v>
      </c>
      <c r="B4652">
        <v>2017</v>
      </c>
      <c r="C4652">
        <v>9</v>
      </c>
      <c r="D4652">
        <v>21179</v>
      </c>
      <c r="E4652">
        <v>41</v>
      </c>
      <c r="F4652">
        <v>4615.05</v>
      </c>
      <c r="G4652">
        <v>2404.54</v>
      </c>
      <c r="H4652" t="str">
        <f>VLOOKUP(myynnit[[#This Row],[TuoteID]],ohjaus!$A$4:$B$20,2,FALSE)</f>
        <v>Rahi</v>
      </c>
    </row>
    <row r="4653" spans="1:8" x14ac:dyDescent="0.35">
      <c r="A4653" t="s">
        <v>40</v>
      </c>
      <c r="B4653">
        <v>2017</v>
      </c>
      <c r="C4653">
        <v>9</v>
      </c>
      <c r="D4653">
        <v>21260</v>
      </c>
      <c r="E4653">
        <v>45</v>
      </c>
      <c r="F4653">
        <v>8468.9699999999993</v>
      </c>
      <c r="G4653">
        <v>2326.83</v>
      </c>
      <c r="H4653" t="str">
        <f>VLOOKUP(myynnit[[#This Row],[TuoteID]],ohjaus!$A$4:$B$20,2,FALSE)</f>
        <v>Lepotuoli</v>
      </c>
    </row>
    <row r="4654" spans="1:8" x14ac:dyDescent="0.35">
      <c r="A4654" t="s">
        <v>40</v>
      </c>
      <c r="B4654">
        <v>2017</v>
      </c>
      <c r="C4654">
        <v>9</v>
      </c>
      <c r="D4654">
        <v>22317</v>
      </c>
      <c r="E4654">
        <v>7</v>
      </c>
      <c r="F4654">
        <v>651.78</v>
      </c>
      <c r="G4654">
        <v>302.31</v>
      </c>
      <c r="H4654" t="str">
        <f>VLOOKUP(myynnit[[#This Row],[TuoteID]],ohjaus!$A$4:$B$20,2,FALSE)</f>
        <v>Säkkituoli</v>
      </c>
    </row>
    <row r="4655" spans="1:8" x14ac:dyDescent="0.35">
      <c r="A4655" t="s">
        <v>40</v>
      </c>
      <c r="B4655">
        <v>2017</v>
      </c>
      <c r="C4655">
        <v>9</v>
      </c>
      <c r="D4655">
        <v>22940</v>
      </c>
      <c r="E4655">
        <v>205</v>
      </c>
      <c r="F4655">
        <v>26241.77</v>
      </c>
      <c r="G4655">
        <v>8022.5</v>
      </c>
      <c r="H4655" t="str">
        <f>VLOOKUP(myynnit[[#This Row],[TuoteID]],ohjaus!$A$4:$B$20,2,FALSE)</f>
        <v>Pinnatuoli</v>
      </c>
    </row>
    <row r="4656" spans="1:8" x14ac:dyDescent="0.35">
      <c r="A4656" t="s">
        <v>40</v>
      </c>
      <c r="B4656">
        <v>2017</v>
      </c>
      <c r="C4656">
        <v>9</v>
      </c>
      <c r="D4656">
        <v>23178</v>
      </c>
      <c r="E4656">
        <v>253</v>
      </c>
      <c r="F4656">
        <v>41043.440000000002</v>
      </c>
      <c r="G4656">
        <v>10578.11</v>
      </c>
      <c r="H4656" t="str">
        <f>VLOOKUP(myynnit[[#This Row],[TuoteID]],ohjaus!$A$4:$B$20,2,FALSE)</f>
        <v>Pinnatuoli</v>
      </c>
    </row>
    <row r="4657" spans="1:8" x14ac:dyDescent="0.35">
      <c r="A4657" t="s">
        <v>40</v>
      </c>
      <c r="B4657">
        <v>2017</v>
      </c>
      <c r="C4657">
        <v>9</v>
      </c>
      <c r="D4657">
        <v>23600</v>
      </c>
      <c r="E4657">
        <v>536</v>
      </c>
      <c r="F4657">
        <v>61166.559999999998</v>
      </c>
      <c r="G4657">
        <v>15960.05</v>
      </c>
      <c r="H4657" t="str">
        <f>VLOOKUP(myynnit[[#This Row],[TuoteID]],ohjaus!$A$4:$B$20,2,FALSE)</f>
        <v>Pinnatuoli</v>
      </c>
    </row>
    <row r="4658" spans="1:8" x14ac:dyDescent="0.35">
      <c r="A4658" t="s">
        <v>40</v>
      </c>
      <c r="B4658">
        <v>2017</v>
      </c>
      <c r="C4658">
        <v>9</v>
      </c>
      <c r="D4658">
        <v>23756</v>
      </c>
      <c r="E4658">
        <v>87</v>
      </c>
      <c r="F4658">
        <v>17319.47</v>
      </c>
      <c r="G4658">
        <v>8056</v>
      </c>
      <c r="H4658" t="str">
        <f>VLOOKUP(myynnit[[#This Row],[TuoteID]],ohjaus!$A$4:$B$20,2,FALSE)</f>
        <v>Pianotuoli</v>
      </c>
    </row>
    <row r="4659" spans="1:8" x14ac:dyDescent="0.35">
      <c r="A4659" t="s">
        <v>40</v>
      </c>
      <c r="B4659">
        <v>2017</v>
      </c>
      <c r="C4659">
        <v>9</v>
      </c>
      <c r="D4659">
        <v>24326</v>
      </c>
      <c r="E4659">
        <v>34</v>
      </c>
      <c r="F4659">
        <v>4871.17</v>
      </c>
      <c r="G4659">
        <v>1573.28</v>
      </c>
      <c r="H4659" t="str">
        <f>VLOOKUP(myynnit[[#This Row],[TuoteID]],ohjaus!$A$4:$B$20,2,FALSE)</f>
        <v>Lepotuoli</v>
      </c>
    </row>
    <row r="4660" spans="1:8" x14ac:dyDescent="0.35">
      <c r="A4660" t="s">
        <v>39</v>
      </c>
      <c r="B4660">
        <v>2017</v>
      </c>
      <c r="C4660">
        <v>9</v>
      </c>
      <c r="D4660">
        <v>12184</v>
      </c>
      <c r="E4660">
        <v>92</v>
      </c>
      <c r="F4660">
        <v>14966.12</v>
      </c>
      <c r="G4660">
        <v>10419.33</v>
      </c>
      <c r="H4660" t="str">
        <f>VLOOKUP(myynnit[[#This Row],[TuoteID]],ohjaus!$A$4:$B$20,2,FALSE)</f>
        <v>Rahi</v>
      </c>
    </row>
    <row r="4661" spans="1:8" x14ac:dyDescent="0.35">
      <c r="A4661" t="s">
        <v>39</v>
      </c>
      <c r="B4661">
        <v>2017</v>
      </c>
      <c r="C4661">
        <v>9</v>
      </c>
      <c r="D4661">
        <v>12622</v>
      </c>
      <c r="E4661">
        <v>46</v>
      </c>
      <c r="F4661">
        <v>13455.94</v>
      </c>
      <c r="G4661">
        <v>8611.24</v>
      </c>
      <c r="H4661" t="str">
        <f>VLOOKUP(myynnit[[#This Row],[TuoteID]],ohjaus!$A$4:$B$20,2,FALSE)</f>
        <v>Pianotuoli</v>
      </c>
    </row>
    <row r="4662" spans="1:8" x14ac:dyDescent="0.35">
      <c r="A4662" t="s">
        <v>39</v>
      </c>
      <c r="B4662">
        <v>2017</v>
      </c>
      <c r="C4662">
        <v>9</v>
      </c>
      <c r="D4662">
        <v>13527</v>
      </c>
      <c r="E4662">
        <v>374</v>
      </c>
      <c r="F4662">
        <v>67516.639999999999</v>
      </c>
      <c r="G4662">
        <v>19113.29</v>
      </c>
      <c r="H4662" t="str">
        <f>VLOOKUP(myynnit[[#This Row],[TuoteID]],ohjaus!$A$4:$B$20,2,FALSE)</f>
        <v>Pinnatuoli</v>
      </c>
    </row>
    <row r="4663" spans="1:8" x14ac:dyDescent="0.35">
      <c r="A4663" t="s">
        <v>39</v>
      </c>
      <c r="B4663">
        <v>2017</v>
      </c>
      <c r="C4663">
        <v>9</v>
      </c>
      <c r="D4663">
        <v>13618</v>
      </c>
      <c r="E4663">
        <v>20</v>
      </c>
      <c r="F4663">
        <v>6550.18</v>
      </c>
      <c r="G4663">
        <v>3568.32</v>
      </c>
      <c r="H4663" t="str">
        <f>VLOOKUP(myynnit[[#This Row],[TuoteID]],ohjaus!$A$4:$B$20,2,FALSE)</f>
        <v>Pianotuoli</v>
      </c>
    </row>
    <row r="4664" spans="1:8" x14ac:dyDescent="0.35">
      <c r="A4664" t="s">
        <v>39</v>
      </c>
      <c r="B4664">
        <v>2017</v>
      </c>
      <c r="C4664">
        <v>9</v>
      </c>
      <c r="D4664">
        <v>16024</v>
      </c>
      <c r="E4664">
        <v>278</v>
      </c>
      <c r="F4664">
        <v>129029.36</v>
      </c>
      <c r="G4664">
        <v>43348.17</v>
      </c>
      <c r="H4664" t="str">
        <f>VLOOKUP(myynnit[[#This Row],[TuoteID]],ohjaus!$A$4:$B$20,2,FALSE)</f>
        <v>Työtuoli</v>
      </c>
    </row>
    <row r="4665" spans="1:8" x14ac:dyDescent="0.35">
      <c r="A4665" t="s">
        <v>39</v>
      </c>
      <c r="B4665">
        <v>2017</v>
      </c>
      <c r="C4665">
        <v>9</v>
      </c>
      <c r="D4665">
        <v>16650</v>
      </c>
      <c r="E4665">
        <v>18</v>
      </c>
      <c r="F4665">
        <v>3361.96</v>
      </c>
      <c r="G4665">
        <v>2132.94</v>
      </c>
      <c r="H4665" t="str">
        <f>VLOOKUP(myynnit[[#This Row],[TuoteID]],ohjaus!$A$4:$B$20,2,FALSE)</f>
        <v>Rahi</v>
      </c>
    </row>
    <row r="4666" spans="1:8" x14ac:dyDescent="0.35">
      <c r="A4666" t="s">
        <v>39</v>
      </c>
      <c r="B4666">
        <v>2017</v>
      </c>
      <c r="C4666">
        <v>9</v>
      </c>
      <c r="D4666">
        <v>17892</v>
      </c>
      <c r="E4666">
        <v>46</v>
      </c>
      <c r="F4666">
        <v>7193.11</v>
      </c>
      <c r="G4666">
        <v>2269.08</v>
      </c>
      <c r="H4666" t="str">
        <f>VLOOKUP(myynnit[[#This Row],[TuoteID]],ohjaus!$A$4:$B$20,2,FALSE)</f>
        <v>Lepotuoli</v>
      </c>
    </row>
    <row r="4667" spans="1:8" x14ac:dyDescent="0.35">
      <c r="A4667" t="s">
        <v>39</v>
      </c>
      <c r="B4667">
        <v>2017</v>
      </c>
      <c r="C4667">
        <v>9</v>
      </c>
      <c r="D4667">
        <v>18342</v>
      </c>
      <c r="E4667">
        <v>162</v>
      </c>
      <c r="F4667">
        <v>151532.19</v>
      </c>
      <c r="G4667">
        <v>45455.48</v>
      </c>
      <c r="H4667" t="str">
        <f>VLOOKUP(myynnit[[#This Row],[TuoteID]],ohjaus!$A$4:$B$20,2,FALSE)</f>
        <v>Työtuoli</v>
      </c>
    </row>
    <row r="4668" spans="1:8" x14ac:dyDescent="0.35">
      <c r="A4668" t="s">
        <v>39</v>
      </c>
      <c r="B4668">
        <v>2017</v>
      </c>
      <c r="C4668">
        <v>9</v>
      </c>
      <c r="D4668">
        <v>20177</v>
      </c>
      <c r="E4668">
        <v>80</v>
      </c>
      <c r="F4668">
        <v>6884.33</v>
      </c>
      <c r="G4668">
        <v>3443.78</v>
      </c>
      <c r="H4668" t="str">
        <f>VLOOKUP(myynnit[[#This Row],[TuoteID]],ohjaus!$A$4:$B$20,2,FALSE)</f>
        <v>Säkkituoli</v>
      </c>
    </row>
    <row r="4669" spans="1:8" x14ac:dyDescent="0.35">
      <c r="A4669" t="s">
        <v>39</v>
      </c>
      <c r="B4669">
        <v>2017</v>
      </c>
      <c r="C4669">
        <v>9</v>
      </c>
      <c r="D4669">
        <v>21179</v>
      </c>
      <c r="E4669">
        <v>41</v>
      </c>
      <c r="F4669">
        <v>4476.05</v>
      </c>
      <c r="G4669">
        <v>3481.94</v>
      </c>
      <c r="H4669" t="str">
        <f>VLOOKUP(myynnit[[#This Row],[TuoteID]],ohjaus!$A$4:$B$20,2,FALSE)</f>
        <v>Rahi</v>
      </c>
    </row>
    <row r="4670" spans="1:8" x14ac:dyDescent="0.35">
      <c r="A4670" t="s">
        <v>39</v>
      </c>
      <c r="B4670">
        <v>2017</v>
      </c>
      <c r="C4670">
        <v>9</v>
      </c>
      <c r="D4670">
        <v>21260</v>
      </c>
      <c r="E4670">
        <v>63</v>
      </c>
      <c r="F4670">
        <v>11950.71</v>
      </c>
      <c r="G4670">
        <v>3744.11</v>
      </c>
      <c r="H4670" t="str">
        <f>VLOOKUP(myynnit[[#This Row],[TuoteID]],ohjaus!$A$4:$B$20,2,FALSE)</f>
        <v>Lepotuoli</v>
      </c>
    </row>
    <row r="4671" spans="1:8" x14ac:dyDescent="0.35">
      <c r="A4671" t="s">
        <v>39</v>
      </c>
      <c r="B4671">
        <v>2017</v>
      </c>
      <c r="C4671">
        <v>9</v>
      </c>
      <c r="D4671">
        <v>22317</v>
      </c>
      <c r="E4671">
        <v>34</v>
      </c>
      <c r="F4671">
        <v>2551.48</v>
      </c>
      <c r="G4671">
        <v>1033.6400000000001</v>
      </c>
      <c r="H4671" t="str">
        <f>VLOOKUP(myynnit[[#This Row],[TuoteID]],ohjaus!$A$4:$B$20,2,FALSE)</f>
        <v>Säkkituoli</v>
      </c>
    </row>
    <row r="4672" spans="1:8" x14ac:dyDescent="0.35">
      <c r="A4672" t="s">
        <v>39</v>
      </c>
      <c r="B4672">
        <v>2017</v>
      </c>
      <c r="C4672">
        <v>9</v>
      </c>
      <c r="D4672">
        <v>22940</v>
      </c>
      <c r="E4672">
        <v>280</v>
      </c>
      <c r="F4672">
        <v>36712.79</v>
      </c>
      <c r="G4672">
        <v>10338.799999999999</v>
      </c>
      <c r="H4672" t="str">
        <f>VLOOKUP(myynnit[[#This Row],[TuoteID]],ohjaus!$A$4:$B$20,2,FALSE)</f>
        <v>Pinnatuoli</v>
      </c>
    </row>
    <row r="4673" spans="1:8" x14ac:dyDescent="0.35">
      <c r="A4673" t="s">
        <v>39</v>
      </c>
      <c r="B4673">
        <v>2017</v>
      </c>
      <c r="C4673">
        <v>9</v>
      </c>
      <c r="D4673">
        <v>23178</v>
      </c>
      <c r="E4673">
        <v>267</v>
      </c>
      <c r="F4673">
        <v>51980.35</v>
      </c>
      <c r="G4673">
        <v>11917.96</v>
      </c>
      <c r="H4673" t="str">
        <f>VLOOKUP(myynnit[[#This Row],[TuoteID]],ohjaus!$A$4:$B$20,2,FALSE)</f>
        <v>Pinnatuoli</v>
      </c>
    </row>
    <row r="4674" spans="1:8" x14ac:dyDescent="0.35">
      <c r="A4674" t="s">
        <v>39</v>
      </c>
      <c r="B4674">
        <v>2017</v>
      </c>
      <c r="C4674">
        <v>9</v>
      </c>
      <c r="D4674">
        <v>23600</v>
      </c>
      <c r="E4674">
        <v>648</v>
      </c>
      <c r="F4674">
        <v>67649.77</v>
      </c>
      <c r="G4674">
        <v>18269.169999999998</v>
      </c>
      <c r="H4674" t="str">
        <f>VLOOKUP(myynnit[[#This Row],[TuoteID]],ohjaus!$A$4:$B$20,2,FALSE)</f>
        <v>Pinnatuoli</v>
      </c>
    </row>
    <row r="4675" spans="1:8" x14ac:dyDescent="0.35">
      <c r="A4675" t="s">
        <v>39</v>
      </c>
      <c r="B4675">
        <v>2017</v>
      </c>
      <c r="C4675">
        <v>9</v>
      </c>
      <c r="D4675">
        <v>23756</v>
      </c>
      <c r="E4675">
        <v>59</v>
      </c>
      <c r="F4675">
        <v>9426.39</v>
      </c>
      <c r="G4675">
        <v>5373.7</v>
      </c>
      <c r="H4675" t="str">
        <f>VLOOKUP(myynnit[[#This Row],[TuoteID]],ohjaus!$A$4:$B$20,2,FALSE)</f>
        <v>Pianotuoli</v>
      </c>
    </row>
    <row r="4676" spans="1:8" x14ac:dyDescent="0.35">
      <c r="A4676" t="s">
        <v>39</v>
      </c>
      <c r="B4676">
        <v>2017</v>
      </c>
      <c r="C4676">
        <v>9</v>
      </c>
      <c r="D4676">
        <v>24326</v>
      </c>
      <c r="E4676">
        <v>103</v>
      </c>
      <c r="F4676">
        <v>14973.24</v>
      </c>
      <c r="G4676">
        <v>3966.71</v>
      </c>
      <c r="H4676" t="str">
        <f>VLOOKUP(myynnit[[#This Row],[TuoteID]],ohjaus!$A$4:$B$20,2,FALSE)</f>
        <v>Lepotuoli</v>
      </c>
    </row>
    <row r="4677" spans="1:8" x14ac:dyDescent="0.35">
      <c r="A4677" t="s">
        <v>38</v>
      </c>
      <c r="B4677">
        <v>2017</v>
      </c>
      <c r="C4677">
        <v>9</v>
      </c>
      <c r="D4677">
        <v>12184</v>
      </c>
      <c r="E4677">
        <v>73</v>
      </c>
      <c r="F4677">
        <v>8657.86</v>
      </c>
      <c r="G4677">
        <v>5560.7</v>
      </c>
      <c r="H4677" t="str">
        <f>VLOOKUP(myynnit[[#This Row],[TuoteID]],ohjaus!$A$4:$B$20,2,FALSE)</f>
        <v>Rahi</v>
      </c>
    </row>
    <row r="4678" spans="1:8" x14ac:dyDescent="0.35">
      <c r="A4678" t="s">
        <v>38</v>
      </c>
      <c r="B4678">
        <v>2017</v>
      </c>
      <c r="C4678">
        <v>9</v>
      </c>
      <c r="D4678">
        <v>12622</v>
      </c>
      <c r="E4678">
        <v>23</v>
      </c>
      <c r="F4678">
        <v>6301.25</v>
      </c>
      <c r="G4678">
        <v>2528.35</v>
      </c>
      <c r="H4678" t="str">
        <f>VLOOKUP(myynnit[[#This Row],[TuoteID]],ohjaus!$A$4:$B$20,2,FALSE)</f>
        <v>Pianotuoli</v>
      </c>
    </row>
    <row r="4679" spans="1:8" x14ac:dyDescent="0.35">
      <c r="A4679" t="s">
        <v>38</v>
      </c>
      <c r="B4679">
        <v>2017</v>
      </c>
      <c r="C4679">
        <v>9</v>
      </c>
      <c r="D4679">
        <v>13527</v>
      </c>
      <c r="E4679">
        <v>262</v>
      </c>
      <c r="F4679">
        <v>39952.550000000003</v>
      </c>
      <c r="G4679">
        <v>7928.82</v>
      </c>
      <c r="H4679" t="str">
        <f>VLOOKUP(myynnit[[#This Row],[TuoteID]],ohjaus!$A$4:$B$20,2,FALSE)</f>
        <v>Pinnatuoli</v>
      </c>
    </row>
    <row r="4680" spans="1:8" x14ac:dyDescent="0.35">
      <c r="A4680" t="s">
        <v>38</v>
      </c>
      <c r="B4680">
        <v>2017</v>
      </c>
      <c r="C4680">
        <v>9</v>
      </c>
      <c r="D4680">
        <v>13618</v>
      </c>
      <c r="E4680">
        <v>13</v>
      </c>
      <c r="F4680">
        <v>4633.8</v>
      </c>
      <c r="G4680">
        <v>2438.23</v>
      </c>
      <c r="H4680" t="str">
        <f>VLOOKUP(myynnit[[#This Row],[TuoteID]],ohjaus!$A$4:$B$20,2,FALSE)</f>
        <v>Pianotuoli</v>
      </c>
    </row>
    <row r="4681" spans="1:8" x14ac:dyDescent="0.35">
      <c r="A4681" t="s">
        <v>38</v>
      </c>
      <c r="B4681">
        <v>2017</v>
      </c>
      <c r="C4681">
        <v>9</v>
      </c>
      <c r="D4681">
        <v>16024</v>
      </c>
      <c r="E4681">
        <v>204</v>
      </c>
      <c r="F4681">
        <v>88177.93</v>
      </c>
      <c r="G4681">
        <v>21207.16</v>
      </c>
      <c r="H4681" t="str">
        <f>VLOOKUP(myynnit[[#This Row],[TuoteID]],ohjaus!$A$4:$B$20,2,FALSE)</f>
        <v>Työtuoli</v>
      </c>
    </row>
    <row r="4682" spans="1:8" x14ac:dyDescent="0.35">
      <c r="A4682" t="s">
        <v>38</v>
      </c>
      <c r="B4682">
        <v>2017</v>
      </c>
      <c r="C4682">
        <v>9</v>
      </c>
      <c r="D4682">
        <v>16650</v>
      </c>
      <c r="E4682">
        <v>30</v>
      </c>
      <c r="F4682">
        <v>3985.94</v>
      </c>
      <c r="G4682">
        <v>2376.69</v>
      </c>
      <c r="H4682" t="str">
        <f>VLOOKUP(myynnit[[#This Row],[TuoteID]],ohjaus!$A$4:$B$20,2,FALSE)</f>
        <v>Rahi</v>
      </c>
    </row>
    <row r="4683" spans="1:8" x14ac:dyDescent="0.35">
      <c r="A4683" t="s">
        <v>38</v>
      </c>
      <c r="B4683">
        <v>2017</v>
      </c>
      <c r="C4683">
        <v>9</v>
      </c>
      <c r="D4683">
        <v>17892</v>
      </c>
      <c r="E4683">
        <v>52</v>
      </c>
      <c r="F4683">
        <v>6945.17</v>
      </c>
      <c r="G4683">
        <v>1619.07</v>
      </c>
      <c r="H4683" t="str">
        <f>VLOOKUP(myynnit[[#This Row],[TuoteID]],ohjaus!$A$4:$B$20,2,FALSE)</f>
        <v>Lepotuoli</v>
      </c>
    </row>
    <row r="4684" spans="1:8" x14ac:dyDescent="0.35">
      <c r="A4684" t="s">
        <v>38</v>
      </c>
      <c r="B4684">
        <v>2017</v>
      </c>
      <c r="C4684">
        <v>9</v>
      </c>
      <c r="D4684">
        <v>18342</v>
      </c>
      <c r="E4684">
        <v>78</v>
      </c>
      <c r="F4684">
        <v>66486.42</v>
      </c>
      <c r="G4684">
        <v>17752.060000000001</v>
      </c>
      <c r="H4684" t="str">
        <f>VLOOKUP(myynnit[[#This Row],[TuoteID]],ohjaus!$A$4:$B$20,2,FALSE)</f>
        <v>Työtuoli</v>
      </c>
    </row>
    <row r="4685" spans="1:8" x14ac:dyDescent="0.35">
      <c r="A4685" t="s">
        <v>38</v>
      </c>
      <c r="B4685">
        <v>2017</v>
      </c>
      <c r="C4685">
        <v>9</v>
      </c>
      <c r="D4685">
        <v>20177</v>
      </c>
      <c r="E4685">
        <v>75</v>
      </c>
      <c r="F4685">
        <v>7950.97</v>
      </c>
      <c r="G4685">
        <v>3349.17</v>
      </c>
      <c r="H4685" t="str">
        <f>VLOOKUP(myynnit[[#This Row],[TuoteID]],ohjaus!$A$4:$B$20,2,FALSE)</f>
        <v>Säkkituoli</v>
      </c>
    </row>
    <row r="4686" spans="1:8" x14ac:dyDescent="0.35">
      <c r="A4686" t="s">
        <v>38</v>
      </c>
      <c r="B4686">
        <v>2017</v>
      </c>
      <c r="C4686">
        <v>9</v>
      </c>
      <c r="D4686">
        <v>21179</v>
      </c>
      <c r="E4686">
        <v>59</v>
      </c>
      <c r="F4686">
        <v>7229.61</v>
      </c>
      <c r="G4686">
        <v>3700.93</v>
      </c>
      <c r="H4686" t="str">
        <f>VLOOKUP(myynnit[[#This Row],[TuoteID]],ohjaus!$A$4:$B$20,2,FALSE)</f>
        <v>Rahi</v>
      </c>
    </row>
    <row r="4687" spans="1:8" x14ac:dyDescent="0.35">
      <c r="A4687" t="s">
        <v>38</v>
      </c>
      <c r="B4687">
        <v>2017</v>
      </c>
      <c r="C4687">
        <v>9</v>
      </c>
      <c r="D4687">
        <v>21260</v>
      </c>
      <c r="E4687">
        <v>67</v>
      </c>
      <c r="F4687">
        <v>11569.75</v>
      </c>
      <c r="G4687">
        <v>2519.92</v>
      </c>
      <c r="H4687" t="str">
        <f>VLOOKUP(myynnit[[#This Row],[TuoteID]],ohjaus!$A$4:$B$20,2,FALSE)</f>
        <v>Lepotuoli</v>
      </c>
    </row>
    <row r="4688" spans="1:8" x14ac:dyDescent="0.35">
      <c r="A4688" t="s">
        <v>38</v>
      </c>
      <c r="B4688">
        <v>2017</v>
      </c>
      <c r="C4688">
        <v>9</v>
      </c>
      <c r="D4688">
        <v>22317</v>
      </c>
      <c r="E4688">
        <v>72</v>
      </c>
      <c r="F4688">
        <v>5359.5</v>
      </c>
      <c r="G4688">
        <v>1744.35</v>
      </c>
      <c r="H4688" t="str">
        <f>VLOOKUP(myynnit[[#This Row],[TuoteID]],ohjaus!$A$4:$B$20,2,FALSE)</f>
        <v>Säkkituoli</v>
      </c>
    </row>
    <row r="4689" spans="1:8" x14ac:dyDescent="0.35">
      <c r="A4689" t="s">
        <v>38</v>
      </c>
      <c r="B4689">
        <v>2017</v>
      </c>
      <c r="C4689">
        <v>9</v>
      </c>
      <c r="D4689">
        <v>22940</v>
      </c>
      <c r="E4689">
        <v>294</v>
      </c>
      <c r="F4689">
        <v>37720.800000000003</v>
      </c>
      <c r="G4689">
        <v>6678.72</v>
      </c>
      <c r="H4689" t="str">
        <f>VLOOKUP(myynnit[[#This Row],[TuoteID]],ohjaus!$A$4:$B$20,2,FALSE)</f>
        <v>Pinnatuoli</v>
      </c>
    </row>
    <row r="4690" spans="1:8" x14ac:dyDescent="0.35">
      <c r="A4690" t="s">
        <v>38</v>
      </c>
      <c r="B4690">
        <v>2017</v>
      </c>
      <c r="C4690">
        <v>9</v>
      </c>
      <c r="D4690">
        <v>23178</v>
      </c>
      <c r="E4690">
        <v>312</v>
      </c>
      <c r="F4690">
        <v>57988.92</v>
      </c>
      <c r="G4690">
        <v>13434.27</v>
      </c>
      <c r="H4690" t="str">
        <f>VLOOKUP(myynnit[[#This Row],[TuoteID]],ohjaus!$A$4:$B$20,2,FALSE)</f>
        <v>Pinnatuoli</v>
      </c>
    </row>
    <row r="4691" spans="1:8" x14ac:dyDescent="0.35">
      <c r="A4691" t="s">
        <v>38</v>
      </c>
      <c r="B4691">
        <v>2017</v>
      </c>
      <c r="C4691">
        <v>9</v>
      </c>
      <c r="D4691">
        <v>23600</v>
      </c>
      <c r="E4691">
        <v>1328</v>
      </c>
      <c r="F4691">
        <v>149679</v>
      </c>
      <c r="G4691">
        <v>32033.26</v>
      </c>
      <c r="H4691" t="str">
        <f>VLOOKUP(myynnit[[#This Row],[TuoteID]],ohjaus!$A$4:$B$20,2,FALSE)</f>
        <v>Pinnatuoli</v>
      </c>
    </row>
    <row r="4692" spans="1:8" x14ac:dyDescent="0.35">
      <c r="A4692" t="s">
        <v>38</v>
      </c>
      <c r="B4692">
        <v>2017</v>
      </c>
      <c r="C4692">
        <v>9</v>
      </c>
      <c r="D4692">
        <v>23756</v>
      </c>
      <c r="E4692">
        <v>132</v>
      </c>
      <c r="F4692">
        <v>22617.73</v>
      </c>
      <c r="G4692">
        <v>11518.01</v>
      </c>
      <c r="H4692" t="str">
        <f>VLOOKUP(myynnit[[#This Row],[TuoteID]],ohjaus!$A$4:$B$20,2,FALSE)</f>
        <v>Pianotuoli</v>
      </c>
    </row>
    <row r="4693" spans="1:8" x14ac:dyDescent="0.35">
      <c r="A4693" t="s">
        <v>38</v>
      </c>
      <c r="B4693">
        <v>2017</v>
      </c>
      <c r="C4693">
        <v>9</v>
      </c>
      <c r="D4693">
        <v>24326</v>
      </c>
      <c r="E4693">
        <v>51</v>
      </c>
      <c r="F4693">
        <v>7468.68</v>
      </c>
      <c r="G4693">
        <v>2176.48</v>
      </c>
      <c r="H4693" t="str">
        <f>VLOOKUP(myynnit[[#This Row],[TuoteID]],ohjaus!$A$4:$B$20,2,FALSE)</f>
        <v>Lepotuoli</v>
      </c>
    </row>
    <row r="4694" spans="1:8" x14ac:dyDescent="0.35">
      <c r="A4694" t="s">
        <v>37</v>
      </c>
      <c r="B4694">
        <v>2017</v>
      </c>
      <c r="C4694">
        <v>10</v>
      </c>
      <c r="D4694">
        <v>12184</v>
      </c>
      <c r="E4694">
        <v>109</v>
      </c>
      <c r="F4694">
        <v>13695.87</v>
      </c>
      <c r="G4694">
        <v>5923.61</v>
      </c>
      <c r="H4694" t="str">
        <f>VLOOKUP(myynnit[[#This Row],[TuoteID]],ohjaus!$A$4:$B$20,2,FALSE)</f>
        <v>Rahi</v>
      </c>
    </row>
    <row r="4695" spans="1:8" x14ac:dyDescent="0.35">
      <c r="A4695" t="s">
        <v>37</v>
      </c>
      <c r="B4695">
        <v>2017</v>
      </c>
      <c r="C4695">
        <v>10</v>
      </c>
      <c r="D4695">
        <v>12622</v>
      </c>
      <c r="E4695">
        <v>31</v>
      </c>
      <c r="F4695">
        <v>9747.99</v>
      </c>
      <c r="G4695">
        <v>4482.3999999999996</v>
      </c>
      <c r="H4695" t="str">
        <f>VLOOKUP(myynnit[[#This Row],[TuoteID]],ohjaus!$A$4:$B$20,2,FALSE)</f>
        <v>Pianotuoli</v>
      </c>
    </row>
    <row r="4696" spans="1:8" x14ac:dyDescent="0.35">
      <c r="A4696" t="s">
        <v>37</v>
      </c>
      <c r="B4696">
        <v>2017</v>
      </c>
      <c r="C4696">
        <v>10</v>
      </c>
      <c r="D4696">
        <v>13527</v>
      </c>
      <c r="E4696">
        <v>550</v>
      </c>
      <c r="F4696">
        <v>91098.62</v>
      </c>
      <c r="G4696">
        <v>14691.49</v>
      </c>
      <c r="H4696" t="str">
        <f>VLOOKUP(myynnit[[#This Row],[TuoteID]],ohjaus!$A$4:$B$20,2,FALSE)</f>
        <v>Pinnatuoli</v>
      </c>
    </row>
    <row r="4697" spans="1:8" x14ac:dyDescent="0.35">
      <c r="A4697" t="s">
        <v>37</v>
      </c>
      <c r="B4697">
        <v>2017</v>
      </c>
      <c r="C4697">
        <v>10</v>
      </c>
      <c r="D4697">
        <v>13618</v>
      </c>
      <c r="E4697">
        <v>16</v>
      </c>
      <c r="F4697">
        <v>6821.28</v>
      </c>
      <c r="G4697">
        <v>3249.18</v>
      </c>
      <c r="H4697" t="str">
        <f>VLOOKUP(myynnit[[#This Row],[TuoteID]],ohjaus!$A$4:$B$20,2,FALSE)</f>
        <v>Pianotuoli</v>
      </c>
    </row>
    <row r="4698" spans="1:8" x14ac:dyDescent="0.35">
      <c r="A4698" t="s">
        <v>37</v>
      </c>
      <c r="B4698">
        <v>2017</v>
      </c>
      <c r="C4698">
        <v>10</v>
      </c>
      <c r="D4698">
        <v>16024</v>
      </c>
      <c r="E4698">
        <v>263</v>
      </c>
      <c r="F4698">
        <v>100862.76</v>
      </c>
      <c r="G4698">
        <v>28785.61</v>
      </c>
      <c r="H4698" t="str">
        <f>VLOOKUP(myynnit[[#This Row],[TuoteID]],ohjaus!$A$4:$B$20,2,FALSE)</f>
        <v>Työtuoli</v>
      </c>
    </row>
    <row r="4699" spans="1:8" x14ac:dyDescent="0.35">
      <c r="A4699" t="s">
        <v>37</v>
      </c>
      <c r="B4699">
        <v>2017</v>
      </c>
      <c r="C4699">
        <v>10</v>
      </c>
      <c r="D4699">
        <v>16650</v>
      </c>
      <c r="E4699">
        <v>46</v>
      </c>
      <c r="F4699">
        <v>6757.23</v>
      </c>
      <c r="G4699">
        <v>3656.84</v>
      </c>
      <c r="H4699" t="str">
        <f>VLOOKUP(myynnit[[#This Row],[TuoteID]],ohjaus!$A$4:$B$20,2,FALSE)</f>
        <v>Rahi</v>
      </c>
    </row>
    <row r="4700" spans="1:8" x14ac:dyDescent="0.35">
      <c r="A4700" t="s">
        <v>37</v>
      </c>
      <c r="B4700">
        <v>2017</v>
      </c>
      <c r="C4700">
        <v>10</v>
      </c>
      <c r="D4700">
        <v>17892</v>
      </c>
      <c r="E4700">
        <v>163</v>
      </c>
      <c r="F4700">
        <v>20729.86</v>
      </c>
      <c r="G4700">
        <v>6200.85</v>
      </c>
      <c r="H4700" t="str">
        <f>VLOOKUP(myynnit[[#This Row],[TuoteID]],ohjaus!$A$4:$B$20,2,FALSE)</f>
        <v>Lepotuoli</v>
      </c>
    </row>
    <row r="4701" spans="1:8" x14ac:dyDescent="0.35">
      <c r="A4701" t="s">
        <v>37</v>
      </c>
      <c r="B4701">
        <v>2017</v>
      </c>
      <c r="C4701">
        <v>10</v>
      </c>
      <c r="D4701">
        <v>18342</v>
      </c>
      <c r="E4701">
        <v>261</v>
      </c>
      <c r="F4701">
        <v>201293.93</v>
      </c>
      <c r="G4701">
        <v>49858.83</v>
      </c>
      <c r="H4701" t="str">
        <f>VLOOKUP(myynnit[[#This Row],[TuoteID]],ohjaus!$A$4:$B$20,2,FALSE)</f>
        <v>Työtuoli</v>
      </c>
    </row>
    <row r="4702" spans="1:8" x14ac:dyDescent="0.35">
      <c r="A4702" t="s">
        <v>37</v>
      </c>
      <c r="B4702">
        <v>2017</v>
      </c>
      <c r="C4702">
        <v>10</v>
      </c>
      <c r="D4702">
        <v>20177</v>
      </c>
      <c r="E4702">
        <v>122</v>
      </c>
      <c r="F4702">
        <v>12333.98</v>
      </c>
      <c r="G4702">
        <v>4834.97</v>
      </c>
      <c r="H4702" t="str">
        <f>VLOOKUP(myynnit[[#This Row],[TuoteID]],ohjaus!$A$4:$B$20,2,FALSE)</f>
        <v>Säkkituoli</v>
      </c>
    </row>
    <row r="4703" spans="1:8" x14ac:dyDescent="0.35">
      <c r="A4703" t="s">
        <v>37</v>
      </c>
      <c r="B4703">
        <v>2017</v>
      </c>
      <c r="C4703">
        <v>10</v>
      </c>
      <c r="D4703">
        <v>21179</v>
      </c>
      <c r="E4703">
        <v>46</v>
      </c>
      <c r="F4703">
        <v>5681.19</v>
      </c>
      <c r="G4703">
        <v>3070.21</v>
      </c>
      <c r="H4703" t="str">
        <f>VLOOKUP(myynnit[[#This Row],[TuoteID]],ohjaus!$A$4:$B$20,2,FALSE)</f>
        <v>Rahi</v>
      </c>
    </row>
    <row r="4704" spans="1:8" x14ac:dyDescent="0.35">
      <c r="A4704" t="s">
        <v>37</v>
      </c>
      <c r="B4704">
        <v>2017</v>
      </c>
      <c r="C4704">
        <v>10</v>
      </c>
      <c r="D4704">
        <v>21260</v>
      </c>
      <c r="E4704">
        <v>66</v>
      </c>
      <c r="F4704">
        <v>14321.93</v>
      </c>
      <c r="G4704">
        <v>4074.97</v>
      </c>
      <c r="H4704" t="str">
        <f>VLOOKUP(myynnit[[#This Row],[TuoteID]],ohjaus!$A$4:$B$20,2,FALSE)</f>
        <v>Lepotuoli</v>
      </c>
    </row>
    <row r="4705" spans="1:8" x14ac:dyDescent="0.35">
      <c r="A4705" t="s">
        <v>37</v>
      </c>
      <c r="B4705">
        <v>2017</v>
      </c>
      <c r="C4705">
        <v>10</v>
      </c>
      <c r="D4705">
        <v>22317</v>
      </c>
      <c r="E4705">
        <v>124</v>
      </c>
      <c r="F4705">
        <v>9910.01</v>
      </c>
      <c r="G4705">
        <v>3735.97</v>
      </c>
      <c r="H4705" t="str">
        <f>VLOOKUP(myynnit[[#This Row],[TuoteID]],ohjaus!$A$4:$B$20,2,FALSE)</f>
        <v>Säkkituoli</v>
      </c>
    </row>
    <row r="4706" spans="1:8" x14ac:dyDescent="0.35">
      <c r="A4706" t="s">
        <v>37</v>
      </c>
      <c r="B4706">
        <v>2017</v>
      </c>
      <c r="C4706">
        <v>10</v>
      </c>
      <c r="D4706">
        <v>22940</v>
      </c>
      <c r="E4706">
        <v>951</v>
      </c>
      <c r="F4706">
        <v>130436.81</v>
      </c>
      <c r="G4706">
        <v>26400.43</v>
      </c>
      <c r="H4706" t="str">
        <f>VLOOKUP(myynnit[[#This Row],[TuoteID]],ohjaus!$A$4:$B$20,2,FALSE)</f>
        <v>Pinnatuoli</v>
      </c>
    </row>
    <row r="4707" spans="1:8" x14ac:dyDescent="0.35">
      <c r="A4707" t="s">
        <v>37</v>
      </c>
      <c r="B4707">
        <v>2017</v>
      </c>
      <c r="C4707">
        <v>10</v>
      </c>
      <c r="D4707">
        <v>23178</v>
      </c>
      <c r="E4707">
        <v>469</v>
      </c>
      <c r="F4707">
        <v>76882.58</v>
      </c>
      <c r="G4707">
        <v>14043.01</v>
      </c>
      <c r="H4707" t="str">
        <f>VLOOKUP(myynnit[[#This Row],[TuoteID]],ohjaus!$A$4:$B$20,2,FALSE)</f>
        <v>Pinnatuoli</v>
      </c>
    </row>
    <row r="4708" spans="1:8" x14ac:dyDescent="0.35">
      <c r="A4708" t="s">
        <v>37</v>
      </c>
      <c r="B4708">
        <v>2017</v>
      </c>
      <c r="C4708">
        <v>10</v>
      </c>
      <c r="D4708">
        <v>23600</v>
      </c>
      <c r="E4708">
        <v>647</v>
      </c>
      <c r="F4708">
        <v>70374.240000000005</v>
      </c>
      <c r="G4708">
        <v>16694.97</v>
      </c>
      <c r="H4708" t="str">
        <f>VLOOKUP(myynnit[[#This Row],[TuoteID]],ohjaus!$A$4:$B$20,2,FALSE)</f>
        <v>Pinnatuoli</v>
      </c>
    </row>
    <row r="4709" spans="1:8" x14ac:dyDescent="0.35">
      <c r="A4709" t="s">
        <v>37</v>
      </c>
      <c r="B4709">
        <v>2017</v>
      </c>
      <c r="C4709">
        <v>10</v>
      </c>
      <c r="D4709">
        <v>23756</v>
      </c>
      <c r="E4709">
        <v>127</v>
      </c>
      <c r="F4709">
        <v>21692.98</v>
      </c>
      <c r="G4709">
        <v>9106.02</v>
      </c>
      <c r="H4709" t="str">
        <f>VLOOKUP(myynnit[[#This Row],[TuoteID]],ohjaus!$A$4:$B$20,2,FALSE)</f>
        <v>Pianotuoli</v>
      </c>
    </row>
    <row r="4710" spans="1:8" x14ac:dyDescent="0.35">
      <c r="A4710" t="s">
        <v>37</v>
      </c>
      <c r="B4710">
        <v>2017</v>
      </c>
      <c r="C4710">
        <v>10</v>
      </c>
      <c r="D4710">
        <v>24326</v>
      </c>
      <c r="E4710">
        <v>103</v>
      </c>
      <c r="F4710">
        <v>16016.16</v>
      </c>
      <c r="G4710">
        <v>4332.47</v>
      </c>
      <c r="H4710" t="str">
        <f>VLOOKUP(myynnit[[#This Row],[TuoteID]],ohjaus!$A$4:$B$20,2,FALSE)</f>
        <v>Lepotuoli</v>
      </c>
    </row>
    <row r="4711" spans="1:8" x14ac:dyDescent="0.35">
      <c r="A4711" t="s">
        <v>40</v>
      </c>
      <c r="B4711">
        <v>2017</v>
      </c>
      <c r="C4711">
        <v>10</v>
      </c>
      <c r="D4711">
        <v>12184</v>
      </c>
      <c r="E4711">
        <v>26</v>
      </c>
      <c r="F4711">
        <v>3503.56</v>
      </c>
      <c r="G4711">
        <v>1505.44</v>
      </c>
      <c r="H4711" t="str">
        <f>VLOOKUP(myynnit[[#This Row],[TuoteID]],ohjaus!$A$4:$B$20,2,FALSE)</f>
        <v>Rahi</v>
      </c>
    </row>
    <row r="4712" spans="1:8" x14ac:dyDescent="0.35">
      <c r="A4712" t="s">
        <v>40</v>
      </c>
      <c r="B4712">
        <v>2017</v>
      </c>
      <c r="C4712">
        <v>10</v>
      </c>
      <c r="D4712">
        <v>12622</v>
      </c>
      <c r="E4712">
        <v>8</v>
      </c>
      <c r="F4712">
        <v>1875.95</v>
      </c>
      <c r="G4712">
        <v>889.95</v>
      </c>
      <c r="H4712" t="str">
        <f>VLOOKUP(myynnit[[#This Row],[TuoteID]],ohjaus!$A$4:$B$20,2,FALSE)</f>
        <v>Pianotuoli</v>
      </c>
    </row>
    <row r="4713" spans="1:8" x14ac:dyDescent="0.35">
      <c r="A4713" t="s">
        <v>40</v>
      </c>
      <c r="B4713">
        <v>2017</v>
      </c>
      <c r="C4713">
        <v>10</v>
      </c>
      <c r="D4713">
        <v>13527</v>
      </c>
      <c r="E4713">
        <v>170</v>
      </c>
      <c r="F4713">
        <v>27137.07</v>
      </c>
      <c r="G4713">
        <v>4985.79</v>
      </c>
      <c r="H4713" t="str">
        <f>VLOOKUP(myynnit[[#This Row],[TuoteID]],ohjaus!$A$4:$B$20,2,FALSE)</f>
        <v>Pinnatuoli</v>
      </c>
    </row>
    <row r="4714" spans="1:8" x14ac:dyDescent="0.35">
      <c r="A4714" t="s">
        <v>40</v>
      </c>
      <c r="B4714">
        <v>2017</v>
      </c>
      <c r="C4714">
        <v>10</v>
      </c>
      <c r="D4714">
        <v>13618</v>
      </c>
      <c r="E4714">
        <v>5</v>
      </c>
      <c r="F4714">
        <v>2186.6799999999998</v>
      </c>
      <c r="G4714">
        <v>940.68</v>
      </c>
      <c r="H4714" t="str">
        <f>VLOOKUP(myynnit[[#This Row],[TuoteID]],ohjaus!$A$4:$B$20,2,FALSE)</f>
        <v>Pianotuoli</v>
      </c>
    </row>
    <row r="4715" spans="1:8" x14ac:dyDescent="0.35">
      <c r="A4715" t="s">
        <v>40</v>
      </c>
      <c r="B4715">
        <v>2017</v>
      </c>
      <c r="C4715">
        <v>10</v>
      </c>
      <c r="D4715">
        <v>16024</v>
      </c>
      <c r="E4715">
        <v>186</v>
      </c>
      <c r="F4715">
        <v>85901.13</v>
      </c>
      <c r="G4715">
        <v>27377.22</v>
      </c>
      <c r="H4715" t="str">
        <f>VLOOKUP(myynnit[[#This Row],[TuoteID]],ohjaus!$A$4:$B$20,2,FALSE)</f>
        <v>Työtuoli</v>
      </c>
    </row>
    <row r="4716" spans="1:8" x14ac:dyDescent="0.35">
      <c r="A4716" t="s">
        <v>40</v>
      </c>
      <c r="B4716">
        <v>2017</v>
      </c>
      <c r="C4716">
        <v>10</v>
      </c>
      <c r="D4716">
        <v>16650</v>
      </c>
      <c r="E4716">
        <v>13</v>
      </c>
      <c r="F4716">
        <v>1835.63</v>
      </c>
      <c r="G4716">
        <v>1044.3699999999999</v>
      </c>
      <c r="H4716" t="str">
        <f>VLOOKUP(myynnit[[#This Row],[TuoteID]],ohjaus!$A$4:$B$20,2,FALSE)</f>
        <v>Rahi</v>
      </c>
    </row>
    <row r="4717" spans="1:8" x14ac:dyDescent="0.35">
      <c r="A4717" t="s">
        <v>40</v>
      </c>
      <c r="B4717">
        <v>2017</v>
      </c>
      <c r="C4717">
        <v>10</v>
      </c>
      <c r="D4717">
        <v>17892</v>
      </c>
      <c r="E4717">
        <v>69</v>
      </c>
      <c r="F4717">
        <v>10395.35</v>
      </c>
      <c r="G4717">
        <v>2268.66</v>
      </c>
      <c r="H4717" t="str">
        <f>VLOOKUP(myynnit[[#This Row],[TuoteID]],ohjaus!$A$4:$B$20,2,FALSE)</f>
        <v>Lepotuoli</v>
      </c>
    </row>
    <row r="4718" spans="1:8" x14ac:dyDescent="0.35">
      <c r="A4718" t="s">
        <v>40</v>
      </c>
      <c r="B4718">
        <v>2017</v>
      </c>
      <c r="C4718">
        <v>10</v>
      </c>
      <c r="D4718">
        <v>18342</v>
      </c>
      <c r="E4718">
        <v>14</v>
      </c>
      <c r="F4718">
        <v>12183.46</v>
      </c>
      <c r="G4718">
        <v>3458.61</v>
      </c>
      <c r="H4718" t="str">
        <f>VLOOKUP(myynnit[[#This Row],[TuoteID]],ohjaus!$A$4:$B$20,2,FALSE)</f>
        <v>Työtuoli</v>
      </c>
    </row>
    <row r="4719" spans="1:8" x14ac:dyDescent="0.35">
      <c r="A4719" t="s">
        <v>40</v>
      </c>
      <c r="B4719">
        <v>2017</v>
      </c>
      <c r="C4719">
        <v>10</v>
      </c>
      <c r="D4719">
        <v>20177</v>
      </c>
      <c r="E4719">
        <v>29</v>
      </c>
      <c r="F4719">
        <v>2836.4</v>
      </c>
      <c r="G4719">
        <v>1233.8900000000001</v>
      </c>
      <c r="H4719" t="str">
        <f>VLOOKUP(myynnit[[#This Row],[TuoteID]],ohjaus!$A$4:$B$20,2,FALSE)</f>
        <v>Säkkituoli</v>
      </c>
    </row>
    <row r="4720" spans="1:8" x14ac:dyDescent="0.35">
      <c r="A4720" t="s">
        <v>40</v>
      </c>
      <c r="B4720">
        <v>2017</v>
      </c>
      <c r="C4720">
        <v>10</v>
      </c>
      <c r="D4720">
        <v>21179</v>
      </c>
      <c r="E4720">
        <v>48</v>
      </c>
      <c r="F4720">
        <v>6009.54</v>
      </c>
      <c r="G4720">
        <v>3030.87</v>
      </c>
      <c r="H4720" t="str">
        <f>VLOOKUP(myynnit[[#This Row],[TuoteID]],ohjaus!$A$4:$B$20,2,FALSE)</f>
        <v>Rahi</v>
      </c>
    </row>
    <row r="4721" spans="1:8" x14ac:dyDescent="0.35">
      <c r="A4721" t="s">
        <v>40</v>
      </c>
      <c r="B4721">
        <v>2017</v>
      </c>
      <c r="C4721">
        <v>10</v>
      </c>
      <c r="D4721">
        <v>21260</v>
      </c>
      <c r="E4721">
        <v>58</v>
      </c>
      <c r="F4721">
        <v>10370.56</v>
      </c>
      <c r="G4721">
        <v>2433.4499999999998</v>
      </c>
      <c r="H4721" t="str">
        <f>VLOOKUP(myynnit[[#This Row],[TuoteID]],ohjaus!$A$4:$B$20,2,FALSE)</f>
        <v>Lepotuoli</v>
      </c>
    </row>
    <row r="4722" spans="1:8" x14ac:dyDescent="0.35">
      <c r="A4722" t="s">
        <v>40</v>
      </c>
      <c r="B4722">
        <v>2017</v>
      </c>
      <c r="C4722">
        <v>10</v>
      </c>
      <c r="D4722">
        <v>22317</v>
      </c>
      <c r="E4722">
        <v>19</v>
      </c>
      <c r="F4722">
        <v>1431.61</v>
      </c>
      <c r="G4722">
        <v>573.88</v>
      </c>
      <c r="H4722" t="str">
        <f>VLOOKUP(myynnit[[#This Row],[TuoteID]],ohjaus!$A$4:$B$20,2,FALSE)</f>
        <v>Säkkituoli</v>
      </c>
    </row>
    <row r="4723" spans="1:8" x14ac:dyDescent="0.35">
      <c r="A4723" t="s">
        <v>40</v>
      </c>
      <c r="B4723">
        <v>2017</v>
      </c>
      <c r="C4723">
        <v>10</v>
      </c>
      <c r="D4723">
        <v>22940</v>
      </c>
      <c r="E4723">
        <v>86</v>
      </c>
      <c r="F4723">
        <v>10088.129999999999</v>
      </c>
      <c r="G4723">
        <v>2656.74</v>
      </c>
      <c r="H4723" t="str">
        <f>VLOOKUP(myynnit[[#This Row],[TuoteID]],ohjaus!$A$4:$B$20,2,FALSE)</f>
        <v>Pinnatuoli</v>
      </c>
    </row>
    <row r="4724" spans="1:8" x14ac:dyDescent="0.35">
      <c r="A4724" t="s">
        <v>40</v>
      </c>
      <c r="B4724">
        <v>2017</v>
      </c>
      <c r="C4724">
        <v>10</v>
      </c>
      <c r="D4724">
        <v>23178</v>
      </c>
      <c r="E4724">
        <v>179</v>
      </c>
      <c r="F4724">
        <v>31450.97</v>
      </c>
      <c r="G4724">
        <v>7425.75</v>
      </c>
      <c r="H4724" t="str">
        <f>VLOOKUP(myynnit[[#This Row],[TuoteID]],ohjaus!$A$4:$B$20,2,FALSE)</f>
        <v>Pinnatuoli</v>
      </c>
    </row>
    <row r="4725" spans="1:8" x14ac:dyDescent="0.35">
      <c r="A4725" t="s">
        <v>40</v>
      </c>
      <c r="B4725">
        <v>2017</v>
      </c>
      <c r="C4725">
        <v>10</v>
      </c>
      <c r="D4725">
        <v>23600</v>
      </c>
      <c r="E4725">
        <v>468</v>
      </c>
      <c r="F4725">
        <v>49503.46</v>
      </c>
      <c r="G4725">
        <v>12634.29</v>
      </c>
      <c r="H4725" t="str">
        <f>VLOOKUP(myynnit[[#This Row],[TuoteID]],ohjaus!$A$4:$B$20,2,FALSE)</f>
        <v>Pinnatuoli</v>
      </c>
    </row>
    <row r="4726" spans="1:8" x14ac:dyDescent="0.35">
      <c r="A4726" t="s">
        <v>40</v>
      </c>
      <c r="B4726">
        <v>2017</v>
      </c>
      <c r="C4726">
        <v>10</v>
      </c>
      <c r="D4726">
        <v>23756</v>
      </c>
      <c r="E4726">
        <v>56</v>
      </c>
      <c r="F4726">
        <v>11113.24</v>
      </c>
      <c r="G4726">
        <v>4469.26</v>
      </c>
      <c r="H4726" t="str">
        <f>VLOOKUP(myynnit[[#This Row],[TuoteID]],ohjaus!$A$4:$B$20,2,FALSE)</f>
        <v>Pianotuoli</v>
      </c>
    </row>
    <row r="4727" spans="1:8" x14ac:dyDescent="0.35">
      <c r="A4727" t="s">
        <v>40</v>
      </c>
      <c r="B4727">
        <v>2017</v>
      </c>
      <c r="C4727">
        <v>10</v>
      </c>
      <c r="D4727">
        <v>24326</v>
      </c>
      <c r="E4727">
        <v>19</v>
      </c>
      <c r="F4727">
        <v>2851.84</v>
      </c>
      <c r="G4727">
        <v>899.44</v>
      </c>
      <c r="H4727" t="str">
        <f>VLOOKUP(myynnit[[#This Row],[TuoteID]],ohjaus!$A$4:$B$20,2,FALSE)</f>
        <v>Lepotuoli</v>
      </c>
    </row>
    <row r="4728" spans="1:8" x14ac:dyDescent="0.35">
      <c r="A4728" t="s">
        <v>39</v>
      </c>
      <c r="B4728">
        <v>2017</v>
      </c>
      <c r="C4728">
        <v>10</v>
      </c>
      <c r="D4728">
        <v>12184</v>
      </c>
      <c r="E4728">
        <v>71</v>
      </c>
      <c r="F4728">
        <v>8689.33</v>
      </c>
      <c r="G4728">
        <v>6324.31</v>
      </c>
      <c r="H4728" t="str">
        <f>VLOOKUP(myynnit[[#This Row],[TuoteID]],ohjaus!$A$4:$B$20,2,FALSE)</f>
        <v>Rahi</v>
      </c>
    </row>
    <row r="4729" spans="1:8" x14ac:dyDescent="0.35">
      <c r="A4729" t="s">
        <v>39</v>
      </c>
      <c r="B4729">
        <v>2017</v>
      </c>
      <c r="C4729">
        <v>10</v>
      </c>
      <c r="D4729">
        <v>12622</v>
      </c>
      <c r="E4729">
        <v>56</v>
      </c>
      <c r="F4729">
        <v>18211.03</v>
      </c>
      <c r="G4729">
        <v>8766.6299999999992</v>
      </c>
      <c r="H4729" t="str">
        <f>VLOOKUP(myynnit[[#This Row],[TuoteID]],ohjaus!$A$4:$B$20,2,FALSE)</f>
        <v>Pianotuoli</v>
      </c>
    </row>
    <row r="4730" spans="1:8" x14ac:dyDescent="0.35">
      <c r="A4730" t="s">
        <v>39</v>
      </c>
      <c r="B4730">
        <v>2017</v>
      </c>
      <c r="C4730">
        <v>10</v>
      </c>
      <c r="D4730">
        <v>13527</v>
      </c>
      <c r="E4730">
        <v>376</v>
      </c>
      <c r="F4730">
        <v>55305.21</v>
      </c>
      <c r="G4730">
        <v>11794.13</v>
      </c>
      <c r="H4730" t="str">
        <f>VLOOKUP(myynnit[[#This Row],[TuoteID]],ohjaus!$A$4:$B$20,2,FALSE)</f>
        <v>Pinnatuoli</v>
      </c>
    </row>
    <row r="4731" spans="1:8" x14ac:dyDescent="0.35">
      <c r="A4731" t="s">
        <v>39</v>
      </c>
      <c r="B4731">
        <v>2017</v>
      </c>
      <c r="C4731">
        <v>10</v>
      </c>
      <c r="D4731">
        <v>13618</v>
      </c>
      <c r="E4731">
        <v>13</v>
      </c>
      <c r="F4731">
        <v>4662.18</v>
      </c>
      <c r="G4731">
        <v>2455.8000000000002</v>
      </c>
      <c r="H4731" t="str">
        <f>VLOOKUP(myynnit[[#This Row],[TuoteID]],ohjaus!$A$4:$B$20,2,FALSE)</f>
        <v>Pianotuoli</v>
      </c>
    </row>
    <row r="4732" spans="1:8" x14ac:dyDescent="0.35">
      <c r="A4732" t="s">
        <v>39</v>
      </c>
      <c r="B4732">
        <v>2017</v>
      </c>
      <c r="C4732">
        <v>10</v>
      </c>
      <c r="D4732">
        <v>16024</v>
      </c>
      <c r="E4732">
        <v>242</v>
      </c>
      <c r="F4732">
        <v>116940.77</v>
      </c>
      <c r="G4732">
        <v>31108.68</v>
      </c>
      <c r="H4732" t="str">
        <f>VLOOKUP(myynnit[[#This Row],[TuoteID]],ohjaus!$A$4:$B$20,2,FALSE)</f>
        <v>Työtuoli</v>
      </c>
    </row>
    <row r="4733" spans="1:8" x14ac:dyDescent="0.35">
      <c r="A4733" t="s">
        <v>39</v>
      </c>
      <c r="B4733">
        <v>2017</v>
      </c>
      <c r="C4733">
        <v>10</v>
      </c>
      <c r="D4733">
        <v>16650</v>
      </c>
      <c r="E4733">
        <v>29</v>
      </c>
      <c r="F4733">
        <v>5786.77</v>
      </c>
      <c r="G4733">
        <v>3338.78</v>
      </c>
      <c r="H4733" t="str">
        <f>VLOOKUP(myynnit[[#This Row],[TuoteID]],ohjaus!$A$4:$B$20,2,FALSE)</f>
        <v>Rahi</v>
      </c>
    </row>
    <row r="4734" spans="1:8" x14ac:dyDescent="0.35">
      <c r="A4734" t="s">
        <v>39</v>
      </c>
      <c r="B4734">
        <v>2017</v>
      </c>
      <c r="C4734">
        <v>10</v>
      </c>
      <c r="D4734">
        <v>17892</v>
      </c>
      <c r="E4734">
        <v>118</v>
      </c>
      <c r="F4734">
        <v>17919.18</v>
      </c>
      <c r="G4734">
        <v>4824.32</v>
      </c>
      <c r="H4734" t="str">
        <f>VLOOKUP(myynnit[[#This Row],[TuoteID]],ohjaus!$A$4:$B$20,2,FALSE)</f>
        <v>Lepotuoli</v>
      </c>
    </row>
    <row r="4735" spans="1:8" x14ac:dyDescent="0.35">
      <c r="A4735" t="s">
        <v>39</v>
      </c>
      <c r="B4735">
        <v>2017</v>
      </c>
      <c r="C4735">
        <v>10</v>
      </c>
      <c r="D4735">
        <v>18342</v>
      </c>
      <c r="E4735">
        <v>186</v>
      </c>
      <c r="F4735">
        <v>148540.71</v>
      </c>
      <c r="G4735">
        <v>37819.620000000003</v>
      </c>
      <c r="H4735" t="str">
        <f>VLOOKUP(myynnit[[#This Row],[TuoteID]],ohjaus!$A$4:$B$20,2,FALSE)</f>
        <v>Työtuoli</v>
      </c>
    </row>
    <row r="4736" spans="1:8" x14ac:dyDescent="0.35">
      <c r="A4736" t="s">
        <v>39</v>
      </c>
      <c r="B4736">
        <v>2017</v>
      </c>
      <c r="C4736">
        <v>10</v>
      </c>
      <c r="D4736">
        <v>20177</v>
      </c>
      <c r="E4736">
        <v>41</v>
      </c>
      <c r="F4736">
        <v>3751.93</v>
      </c>
      <c r="G4736">
        <v>1674.32</v>
      </c>
      <c r="H4736" t="str">
        <f>VLOOKUP(myynnit[[#This Row],[TuoteID]],ohjaus!$A$4:$B$20,2,FALSE)</f>
        <v>Säkkituoli</v>
      </c>
    </row>
    <row r="4737" spans="1:8" x14ac:dyDescent="0.35">
      <c r="A4737" t="s">
        <v>39</v>
      </c>
      <c r="B4737">
        <v>2017</v>
      </c>
      <c r="C4737">
        <v>10</v>
      </c>
      <c r="D4737">
        <v>21179</v>
      </c>
      <c r="E4737">
        <v>73</v>
      </c>
      <c r="F4737">
        <v>10914.48</v>
      </c>
      <c r="G4737">
        <v>7224.44</v>
      </c>
      <c r="H4737" t="str">
        <f>VLOOKUP(myynnit[[#This Row],[TuoteID]],ohjaus!$A$4:$B$20,2,FALSE)</f>
        <v>Rahi</v>
      </c>
    </row>
    <row r="4738" spans="1:8" x14ac:dyDescent="0.35">
      <c r="A4738" t="s">
        <v>39</v>
      </c>
      <c r="B4738">
        <v>2017</v>
      </c>
      <c r="C4738">
        <v>10</v>
      </c>
      <c r="D4738">
        <v>21260</v>
      </c>
      <c r="E4738">
        <v>64</v>
      </c>
      <c r="F4738">
        <v>13560.05</v>
      </c>
      <c r="G4738">
        <v>3647.29</v>
      </c>
      <c r="H4738" t="str">
        <f>VLOOKUP(myynnit[[#This Row],[TuoteID]],ohjaus!$A$4:$B$20,2,FALSE)</f>
        <v>Lepotuoli</v>
      </c>
    </row>
    <row r="4739" spans="1:8" x14ac:dyDescent="0.35">
      <c r="A4739" t="s">
        <v>39</v>
      </c>
      <c r="B4739">
        <v>2017</v>
      </c>
      <c r="C4739">
        <v>10</v>
      </c>
      <c r="D4739">
        <v>22317</v>
      </c>
      <c r="E4739">
        <v>26</v>
      </c>
      <c r="F4739">
        <v>2180.2399999999998</v>
      </c>
      <c r="G4739">
        <v>847.73</v>
      </c>
      <c r="H4739" t="str">
        <f>VLOOKUP(myynnit[[#This Row],[TuoteID]],ohjaus!$A$4:$B$20,2,FALSE)</f>
        <v>Säkkituoli</v>
      </c>
    </row>
    <row r="4740" spans="1:8" x14ac:dyDescent="0.35">
      <c r="A4740" t="s">
        <v>39</v>
      </c>
      <c r="B4740">
        <v>2017</v>
      </c>
      <c r="C4740">
        <v>10</v>
      </c>
      <c r="D4740">
        <v>22940</v>
      </c>
      <c r="E4740">
        <v>660</v>
      </c>
      <c r="F4740">
        <v>78882.539999999994</v>
      </c>
      <c r="G4740">
        <v>22561.89</v>
      </c>
      <c r="H4740" t="str">
        <f>VLOOKUP(myynnit[[#This Row],[TuoteID]],ohjaus!$A$4:$B$20,2,FALSE)</f>
        <v>Pinnatuoli</v>
      </c>
    </row>
    <row r="4741" spans="1:8" x14ac:dyDescent="0.35">
      <c r="A4741" t="s">
        <v>39</v>
      </c>
      <c r="B4741">
        <v>2017</v>
      </c>
      <c r="C4741">
        <v>10</v>
      </c>
      <c r="D4741">
        <v>23178</v>
      </c>
      <c r="E4741">
        <v>259</v>
      </c>
      <c r="F4741">
        <v>41597.75</v>
      </c>
      <c r="G4741">
        <v>11265.28</v>
      </c>
      <c r="H4741" t="str">
        <f>VLOOKUP(myynnit[[#This Row],[TuoteID]],ohjaus!$A$4:$B$20,2,FALSE)</f>
        <v>Pinnatuoli</v>
      </c>
    </row>
    <row r="4742" spans="1:8" x14ac:dyDescent="0.35">
      <c r="A4742" t="s">
        <v>39</v>
      </c>
      <c r="B4742">
        <v>2017</v>
      </c>
      <c r="C4742">
        <v>10</v>
      </c>
      <c r="D4742">
        <v>23600</v>
      </c>
      <c r="E4742">
        <v>576</v>
      </c>
      <c r="F4742">
        <v>60661.38</v>
      </c>
      <c r="G4742">
        <v>19672.240000000002</v>
      </c>
      <c r="H4742" t="str">
        <f>VLOOKUP(myynnit[[#This Row],[TuoteID]],ohjaus!$A$4:$B$20,2,FALSE)</f>
        <v>Pinnatuoli</v>
      </c>
    </row>
    <row r="4743" spans="1:8" x14ac:dyDescent="0.35">
      <c r="A4743" t="s">
        <v>39</v>
      </c>
      <c r="B4743">
        <v>2017</v>
      </c>
      <c r="C4743">
        <v>10</v>
      </c>
      <c r="D4743">
        <v>23756</v>
      </c>
      <c r="E4743">
        <v>90</v>
      </c>
      <c r="F4743">
        <v>15992.54</v>
      </c>
      <c r="G4743">
        <v>8745.7099999999991</v>
      </c>
      <c r="H4743" t="str">
        <f>VLOOKUP(myynnit[[#This Row],[TuoteID]],ohjaus!$A$4:$B$20,2,FALSE)</f>
        <v>Pianotuoli</v>
      </c>
    </row>
    <row r="4744" spans="1:8" x14ac:dyDescent="0.35">
      <c r="A4744" t="s">
        <v>39</v>
      </c>
      <c r="B4744">
        <v>2017</v>
      </c>
      <c r="C4744">
        <v>10</v>
      </c>
      <c r="D4744">
        <v>24326</v>
      </c>
      <c r="E4744">
        <v>141</v>
      </c>
      <c r="F4744">
        <v>21759.69</v>
      </c>
      <c r="G4744">
        <v>5889.27</v>
      </c>
      <c r="H4744" t="str">
        <f>VLOOKUP(myynnit[[#This Row],[TuoteID]],ohjaus!$A$4:$B$20,2,FALSE)</f>
        <v>Lepotuoli</v>
      </c>
    </row>
    <row r="4745" spans="1:8" x14ac:dyDescent="0.35">
      <c r="A4745" t="s">
        <v>38</v>
      </c>
      <c r="B4745">
        <v>2017</v>
      </c>
      <c r="C4745">
        <v>10</v>
      </c>
      <c r="D4745">
        <v>12184</v>
      </c>
      <c r="E4745">
        <v>83</v>
      </c>
      <c r="F4745">
        <v>10789.38</v>
      </c>
      <c r="G4745">
        <v>5488.47</v>
      </c>
      <c r="H4745" t="str">
        <f>VLOOKUP(myynnit[[#This Row],[TuoteID]],ohjaus!$A$4:$B$20,2,FALSE)</f>
        <v>Rahi</v>
      </c>
    </row>
    <row r="4746" spans="1:8" x14ac:dyDescent="0.35">
      <c r="A4746" t="s">
        <v>38</v>
      </c>
      <c r="B4746">
        <v>2017</v>
      </c>
      <c r="C4746">
        <v>10</v>
      </c>
      <c r="D4746">
        <v>12622</v>
      </c>
      <c r="E4746">
        <v>65</v>
      </c>
      <c r="F4746">
        <v>15641.26</v>
      </c>
      <c r="G4746">
        <v>7986.38</v>
      </c>
      <c r="H4746" t="str">
        <f>VLOOKUP(myynnit[[#This Row],[TuoteID]],ohjaus!$A$4:$B$20,2,FALSE)</f>
        <v>Pianotuoli</v>
      </c>
    </row>
    <row r="4747" spans="1:8" x14ac:dyDescent="0.35">
      <c r="A4747" t="s">
        <v>38</v>
      </c>
      <c r="B4747">
        <v>2017</v>
      </c>
      <c r="C4747">
        <v>10</v>
      </c>
      <c r="D4747">
        <v>13527</v>
      </c>
      <c r="E4747">
        <v>535</v>
      </c>
      <c r="F4747">
        <v>79997.84</v>
      </c>
      <c r="G4747">
        <v>17854.78</v>
      </c>
      <c r="H4747" t="str">
        <f>VLOOKUP(myynnit[[#This Row],[TuoteID]],ohjaus!$A$4:$B$20,2,FALSE)</f>
        <v>Pinnatuoli</v>
      </c>
    </row>
    <row r="4748" spans="1:8" x14ac:dyDescent="0.35">
      <c r="A4748" t="s">
        <v>38</v>
      </c>
      <c r="B4748">
        <v>2017</v>
      </c>
      <c r="C4748">
        <v>10</v>
      </c>
      <c r="D4748">
        <v>13618</v>
      </c>
      <c r="E4748">
        <v>10</v>
      </c>
      <c r="F4748">
        <v>3675.45</v>
      </c>
      <c r="G4748">
        <v>1931.46</v>
      </c>
      <c r="H4748" t="str">
        <f>VLOOKUP(myynnit[[#This Row],[TuoteID]],ohjaus!$A$4:$B$20,2,FALSE)</f>
        <v>Pianotuoli</v>
      </c>
    </row>
    <row r="4749" spans="1:8" x14ac:dyDescent="0.35">
      <c r="A4749" t="s">
        <v>38</v>
      </c>
      <c r="B4749">
        <v>2017</v>
      </c>
      <c r="C4749">
        <v>10</v>
      </c>
      <c r="D4749">
        <v>16024</v>
      </c>
      <c r="E4749">
        <v>142</v>
      </c>
      <c r="F4749">
        <v>61828.55</v>
      </c>
      <c r="G4749">
        <v>13927.43</v>
      </c>
      <c r="H4749" t="str">
        <f>VLOOKUP(myynnit[[#This Row],[TuoteID]],ohjaus!$A$4:$B$20,2,FALSE)</f>
        <v>Työtuoli</v>
      </c>
    </row>
    <row r="4750" spans="1:8" x14ac:dyDescent="0.35">
      <c r="A4750" t="s">
        <v>38</v>
      </c>
      <c r="B4750">
        <v>2017</v>
      </c>
      <c r="C4750">
        <v>10</v>
      </c>
      <c r="D4750">
        <v>16650</v>
      </c>
      <c r="E4750">
        <v>35</v>
      </c>
      <c r="F4750">
        <v>5212.5200000000004</v>
      </c>
      <c r="G4750">
        <v>2790.19</v>
      </c>
      <c r="H4750" t="str">
        <f>VLOOKUP(myynnit[[#This Row],[TuoteID]],ohjaus!$A$4:$B$20,2,FALSE)</f>
        <v>Rahi</v>
      </c>
    </row>
    <row r="4751" spans="1:8" x14ac:dyDescent="0.35">
      <c r="A4751" t="s">
        <v>38</v>
      </c>
      <c r="B4751">
        <v>2017</v>
      </c>
      <c r="C4751">
        <v>10</v>
      </c>
      <c r="D4751">
        <v>17892</v>
      </c>
      <c r="E4751">
        <v>51</v>
      </c>
      <c r="F4751">
        <v>6528.7</v>
      </c>
      <c r="G4751">
        <v>1592.75</v>
      </c>
      <c r="H4751" t="str">
        <f>VLOOKUP(myynnit[[#This Row],[TuoteID]],ohjaus!$A$4:$B$20,2,FALSE)</f>
        <v>Lepotuoli</v>
      </c>
    </row>
    <row r="4752" spans="1:8" x14ac:dyDescent="0.35">
      <c r="A4752" t="s">
        <v>38</v>
      </c>
      <c r="B4752">
        <v>2017</v>
      </c>
      <c r="C4752">
        <v>10</v>
      </c>
      <c r="D4752">
        <v>18342</v>
      </c>
      <c r="E4752">
        <v>118</v>
      </c>
      <c r="F4752">
        <v>87512.67</v>
      </c>
      <c r="G4752">
        <v>18831.37</v>
      </c>
      <c r="H4752" t="str">
        <f>VLOOKUP(myynnit[[#This Row],[TuoteID]],ohjaus!$A$4:$B$20,2,FALSE)</f>
        <v>Työtuoli</v>
      </c>
    </row>
    <row r="4753" spans="1:8" x14ac:dyDescent="0.35">
      <c r="A4753" t="s">
        <v>38</v>
      </c>
      <c r="B4753">
        <v>2017</v>
      </c>
      <c r="C4753">
        <v>10</v>
      </c>
      <c r="D4753">
        <v>20177</v>
      </c>
      <c r="E4753">
        <v>58</v>
      </c>
      <c r="F4753">
        <v>5945.31</v>
      </c>
      <c r="G4753">
        <v>2534.63</v>
      </c>
      <c r="H4753" t="str">
        <f>VLOOKUP(myynnit[[#This Row],[TuoteID]],ohjaus!$A$4:$B$20,2,FALSE)</f>
        <v>Säkkituoli</v>
      </c>
    </row>
    <row r="4754" spans="1:8" x14ac:dyDescent="0.35">
      <c r="A4754" t="s">
        <v>38</v>
      </c>
      <c r="B4754">
        <v>2017</v>
      </c>
      <c r="C4754">
        <v>10</v>
      </c>
      <c r="D4754">
        <v>21179</v>
      </c>
      <c r="E4754">
        <v>39</v>
      </c>
      <c r="F4754">
        <v>4255.99</v>
      </c>
      <c r="G4754">
        <v>2721.19</v>
      </c>
      <c r="H4754" t="str">
        <f>VLOOKUP(myynnit[[#This Row],[TuoteID]],ohjaus!$A$4:$B$20,2,FALSE)</f>
        <v>Rahi</v>
      </c>
    </row>
    <row r="4755" spans="1:8" x14ac:dyDescent="0.35">
      <c r="A4755" t="s">
        <v>38</v>
      </c>
      <c r="B4755">
        <v>2017</v>
      </c>
      <c r="C4755">
        <v>10</v>
      </c>
      <c r="D4755">
        <v>21260</v>
      </c>
      <c r="E4755">
        <v>82</v>
      </c>
      <c r="F4755">
        <v>17202.72</v>
      </c>
      <c r="G4755">
        <v>4226.4799999999996</v>
      </c>
      <c r="H4755" t="str">
        <f>VLOOKUP(myynnit[[#This Row],[TuoteID]],ohjaus!$A$4:$B$20,2,FALSE)</f>
        <v>Lepotuoli</v>
      </c>
    </row>
    <row r="4756" spans="1:8" x14ac:dyDescent="0.35">
      <c r="A4756" t="s">
        <v>38</v>
      </c>
      <c r="B4756">
        <v>2017</v>
      </c>
      <c r="C4756">
        <v>10</v>
      </c>
      <c r="D4756">
        <v>22317</v>
      </c>
      <c r="E4756">
        <v>57</v>
      </c>
      <c r="F4756">
        <v>5547.47</v>
      </c>
      <c r="G4756">
        <v>2032.57</v>
      </c>
      <c r="H4756" t="str">
        <f>VLOOKUP(myynnit[[#This Row],[TuoteID]],ohjaus!$A$4:$B$20,2,FALSE)</f>
        <v>Säkkituoli</v>
      </c>
    </row>
    <row r="4757" spans="1:8" x14ac:dyDescent="0.35">
      <c r="A4757" t="s">
        <v>38</v>
      </c>
      <c r="B4757">
        <v>2017</v>
      </c>
      <c r="C4757">
        <v>10</v>
      </c>
      <c r="D4757">
        <v>22940</v>
      </c>
      <c r="E4757">
        <v>711</v>
      </c>
      <c r="F4757">
        <v>83270.58</v>
      </c>
      <c r="G4757">
        <v>15436.5</v>
      </c>
      <c r="H4757" t="str">
        <f>VLOOKUP(myynnit[[#This Row],[TuoteID]],ohjaus!$A$4:$B$20,2,FALSE)</f>
        <v>Pinnatuoli</v>
      </c>
    </row>
    <row r="4758" spans="1:8" x14ac:dyDescent="0.35">
      <c r="A4758" t="s">
        <v>38</v>
      </c>
      <c r="B4758">
        <v>2017</v>
      </c>
      <c r="C4758">
        <v>10</v>
      </c>
      <c r="D4758">
        <v>23178</v>
      </c>
      <c r="E4758">
        <v>290</v>
      </c>
      <c r="F4758">
        <v>54534.35</v>
      </c>
      <c r="G4758">
        <v>11267.44</v>
      </c>
      <c r="H4758" t="str">
        <f>VLOOKUP(myynnit[[#This Row],[TuoteID]],ohjaus!$A$4:$B$20,2,FALSE)</f>
        <v>Pinnatuoli</v>
      </c>
    </row>
    <row r="4759" spans="1:8" x14ac:dyDescent="0.35">
      <c r="A4759" t="s">
        <v>38</v>
      </c>
      <c r="B4759">
        <v>2017</v>
      </c>
      <c r="C4759">
        <v>10</v>
      </c>
      <c r="D4759">
        <v>23600</v>
      </c>
      <c r="E4759">
        <v>695</v>
      </c>
      <c r="F4759">
        <v>71360.66</v>
      </c>
      <c r="G4759">
        <v>15541.43</v>
      </c>
      <c r="H4759" t="str">
        <f>VLOOKUP(myynnit[[#This Row],[TuoteID]],ohjaus!$A$4:$B$20,2,FALSE)</f>
        <v>Pinnatuoli</v>
      </c>
    </row>
    <row r="4760" spans="1:8" x14ac:dyDescent="0.35">
      <c r="A4760" t="s">
        <v>38</v>
      </c>
      <c r="B4760">
        <v>2017</v>
      </c>
      <c r="C4760">
        <v>10</v>
      </c>
      <c r="D4760">
        <v>23756</v>
      </c>
      <c r="E4760">
        <v>92</v>
      </c>
      <c r="F4760">
        <v>15433.06</v>
      </c>
      <c r="G4760">
        <v>7833.18</v>
      </c>
      <c r="H4760" t="str">
        <f>VLOOKUP(myynnit[[#This Row],[TuoteID]],ohjaus!$A$4:$B$20,2,FALSE)</f>
        <v>Pianotuoli</v>
      </c>
    </row>
    <row r="4761" spans="1:8" x14ac:dyDescent="0.35">
      <c r="A4761" t="s">
        <v>38</v>
      </c>
      <c r="B4761">
        <v>2017</v>
      </c>
      <c r="C4761">
        <v>10</v>
      </c>
      <c r="D4761">
        <v>24326</v>
      </c>
      <c r="E4761">
        <v>135</v>
      </c>
      <c r="F4761">
        <v>19628.89</v>
      </c>
      <c r="G4761">
        <v>5587.67</v>
      </c>
      <c r="H4761" t="str">
        <f>VLOOKUP(myynnit[[#This Row],[TuoteID]],ohjaus!$A$4:$B$20,2,FALSE)</f>
        <v>Lepotuoli</v>
      </c>
    </row>
    <row r="4762" spans="1:8" x14ac:dyDescent="0.35">
      <c r="A4762" t="s">
        <v>37</v>
      </c>
      <c r="B4762">
        <v>2017</v>
      </c>
      <c r="C4762">
        <v>11</v>
      </c>
      <c r="D4762">
        <v>12184</v>
      </c>
      <c r="E4762">
        <v>85</v>
      </c>
      <c r="F4762">
        <v>11982.18</v>
      </c>
      <c r="G4762">
        <v>5543.41</v>
      </c>
      <c r="H4762" t="str">
        <f>VLOOKUP(myynnit[[#This Row],[TuoteID]],ohjaus!$A$4:$B$20,2,FALSE)</f>
        <v>Rahi</v>
      </c>
    </row>
    <row r="4763" spans="1:8" x14ac:dyDescent="0.35">
      <c r="A4763" t="s">
        <v>37</v>
      </c>
      <c r="B4763">
        <v>2017</v>
      </c>
      <c r="C4763">
        <v>11</v>
      </c>
      <c r="D4763">
        <v>12622</v>
      </c>
      <c r="E4763">
        <v>61</v>
      </c>
      <c r="F4763">
        <v>16701.97</v>
      </c>
      <c r="G4763">
        <v>6745.76</v>
      </c>
      <c r="H4763" t="str">
        <f>VLOOKUP(myynnit[[#This Row],[TuoteID]],ohjaus!$A$4:$B$20,2,FALSE)</f>
        <v>Pianotuoli</v>
      </c>
    </row>
    <row r="4764" spans="1:8" x14ac:dyDescent="0.35">
      <c r="A4764" t="s">
        <v>37</v>
      </c>
      <c r="B4764">
        <v>2017</v>
      </c>
      <c r="C4764">
        <v>11</v>
      </c>
      <c r="D4764">
        <v>13527</v>
      </c>
      <c r="E4764">
        <v>449</v>
      </c>
      <c r="F4764">
        <v>73998.95</v>
      </c>
      <c r="G4764">
        <v>15820</v>
      </c>
      <c r="H4764" t="str">
        <f>VLOOKUP(myynnit[[#This Row],[TuoteID]],ohjaus!$A$4:$B$20,2,FALSE)</f>
        <v>Pinnatuoli</v>
      </c>
    </row>
    <row r="4765" spans="1:8" x14ac:dyDescent="0.35">
      <c r="A4765" t="s">
        <v>37</v>
      </c>
      <c r="B4765">
        <v>2017</v>
      </c>
      <c r="C4765">
        <v>11</v>
      </c>
      <c r="D4765">
        <v>13618</v>
      </c>
      <c r="E4765">
        <v>22</v>
      </c>
      <c r="F4765">
        <v>8534.83</v>
      </c>
      <c r="G4765">
        <v>4393.0600000000004</v>
      </c>
      <c r="H4765" t="str">
        <f>VLOOKUP(myynnit[[#This Row],[TuoteID]],ohjaus!$A$4:$B$20,2,FALSE)</f>
        <v>Pianotuoli</v>
      </c>
    </row>
    <row r="4766" spans="1:8" x14ac:dyDescent="0.35">
      <c r="A4766" t="s">
        <v>37</v>
      </c>
      <c r="B4766">
        <v>2017</v>
      </c>
      <c r="C4766">
        <v>11</v>
      </c>
      <c r="D4766">
        <v>16024</v>
      </c>
      <c r="E4766">
        <v>154</v>
      </c>
      <c r="F4766">
        <v>68461.7</v>
      </c>
      <c r="G4766">
        <v>21326.12</v>
      </c>
      <c r="H4766" t="str">
        <f>VLOOKUP(myynnit[[#This Row],[TuoteID]],ohjaus!$A$4:$B$20,2,FALSE)</f>
        <v>Työtuoli</v>
      </c>
    </row>
    <row r="4767" spans="1:8" x14ac:dyDescent="0.35">
      <c r="A4767" t="s">
        <v>37</v>
      </c>
      <c r="B4767">
        <v>2017</v>
      </c>
      <c r="C4767">
        <v>11</v>
      </c>
      <c r="D4767">
        <v>16650</v>
      </c>
      <c r="E4767">
        <v>50</v>
      </c>
      <c r="F4767">
        <v>8136.41</v>
      </c>
      <c r="G4767">
        <v>3904.78</v>
      </c>
      <c r="H4767" t="str">
        <f>VLOOKUP(myynnit[[#This Row],[TuoteID]],ohjaus!$A$4:$B$20,2,FALSE)</f>
        <v>Rahi</v>
      </c>
    </row>
    <row r="4768" spans="1:8" x14ac:dyDescent="0.35">
      <c r="A4768" t="s">
        <v>37</v>
      </c>
      <c r="B4768">
        <v>2017</v>
      </c>
      <c r="C4768">
        <v>11</v>
      </c>
      <c r="D4768">
        <v>17892</v>
      </c>
      <c r="E4768">
        <v>152</v>
      </c>
      <c r="F4768">
        <v>22831.27</v>
      </c>
      <c r="G4768">
        <v>6141.74</v>
      </c>
      <c r="H4768" t="str">
        <f>VLOOKUP(myynnit[[#This Row],[TuoteID]],ohjaus!$A$4:$B$20,2,FALSE)</f>
        <v>Lepotuoli</v>
      </c>
    </row>
    <row r="4769" spans="1:8" x14ac:dyDescent="0.35">
      <c r="A4769" t="s">
        <v>37</v>
      </c>
      <c r="B4769">
        <v>2017</v>
      </c>
      <c r="C4769">
        <v>11</v>
      </c>
      <c r="D4769">
        <v>18342</v>
      </c>
      <c r="E4769">
        <v>198</v>
      </c>
      <c r="F4769">
        <v>160849.68</v>
      </c>
      <c r="G4769">
        <v>49555.17</v>
      </c>
      <c r="H4769" t="str">
        <f>VLOOKUP(myynnit[[#This Row],[TuoteID]],ohjaus!$A$4:$B$20,2,FALSE)</f>
        <v>Työtuoli</v>
      </c>
    </row>
    <row r="4770" spans="1:8" x14ac:dyDescent="0.35">
      <c r="A4770" t="s">
        <v>37</v>
      </c>
      <c r="B4770">
        <v>2017</v>
      </c>
      <c r="C4770">
        <v>11</v>
      </c>
      <c r="D4770">
        <v>20177</v>
      </c>
      <c r="E4770">
        <v>88</v>
      </c>
      <c r="F4770">
        <v>8561.57</v>
      </c>
      <c r="G4770">
        <v>3680.57</v>
      </c>
      <c r="H4770" t="str">
        <f>VLOOKUP(myynnit[[#This Row],[TuoteID]],ohjaus!$A$4:$B$20,2,FALSE)</f>
        <v>Säkkituoli</v>
      </c>
    </row>
    <row r="4771" spans="1:8" x14ac:dyDescent="0.35">
      <c r="A4771" t="s">
        <v>37</v>
      </c>
      <c r="B4771">
        <v>2017</v>
      </c>
      <c r="C4771">
        <v>11</v>
      </c>
      <c r="D4771">
        <v>21179</v>
      </c>
      <c r="E4771">
        <v>30</v>
      </c>
      <c r="F4771">
        <v>4298.34</v>
      </c>
      <c r="G4771">
        <v>2163.81</v>
      </c>
      <c r="H4771" t="str">
        <f>VLOOKUP(myynnit[[#This Row],[TuoteID]],ohjaus!$A$4:$B$20,2,FALSE)</f>
        <v>Rahi</v>
      </c>
    </row>
    <row r="4772" spans="1:8" x14ac:dyDescent="0.35">
      <c r="A4772" t="s">
        <v>37</v>
      </c>
      <c r="B4772">
        <v>2017</v>
      </c>
      <c r="C4772">
        <v>11</v>
      </c>
      <c r="D4772">
        <v>21260</v>
      </c>
      <c r="E4772">
        <v>71</v>
      </c>
      <c r="F4772">
        <v>13367.71</v>
      </c>
      <c r="G4772">
        <v>3623.37</v>
      </c>
      <c r="H4772" t="str">
        <f>VLOOKUP(myynnit[[#This Row],[TuoteID]],ohjaus!$A$4:$B$20,2,FALSE)</f>
        <v>Lepotuoli</v>
      </c>
    </row>
    <row r="4773" spans="1:8" x14ac:dyDescent="0.35">
      <c r="A4773" t="s">
        <v>37</v>
      </c>
      <c r="B4773">
        <v>2017</v>
      </c>
      <c r="C4773">
        <v>11</v>
      </c>
      <c r="D4773">
        <v>22317</v>
      </c>
      <c r="E4773">
        <v>86</v>
      </c>
      <c r="F4773">
        <v>7895.08</v>
      </c>
      <c r="G4773">
        <v>3052.66</v>
      </c>
      <c r="H4773" t="str">
        <f>VLOOKUP(myynnit[[#This Row],[TuoteID]],ohjaus!$A$4:$B$20,2,FALSE)</f>
        <v>Säkkituoli</v>
      </c>
    </row>
    <row r="4774" spans="1:8" x14ac:dyDescent="0.35">
      <c r="A4774" t="s">
        <v>37</v>
      </c>
      <c r="B4774">
        <v>2017</v>
      </c>
      <c r="C4774">
        <v>11</v>
      </c>
      <c r="D4774">
        <v>22940</v>
      </c>
      <c r="E4774">
        <v>461</v>
      </c>
      <c r="F4774">
        <v>62488.25</v>
      </c>
      <c r="G4774">
        <v>10018.07</v>
      </c>
      <c r="H4774" t="str">
        <f>VLOOKUP(myynnit[[#This Row],[TuoteID]],ohjaus!$A$4:$B$20,2,FALSE)</f>
        <v>Pinnatuoli</v>
      </c>
    </row>
    <row r="4775" spans="1:8" x14ac:dyDescent="0.35">
      <c r="A4775" t="s">
        <v>37</v>
      </c>
      <c r="B4775">
        <v>2017</v>
      </c>
      <c r="C4775">
        <v>11</v>
      </c>
      <c r="D4775">
        <v>23178</v>
      </c>
      <c r="E4775">
        <v>329</v>
      </c>
      <c r="F4775">
        <v>52735.16</v>
      </c>
      <c r="G4775">
        <v>11192.17</v>
      </c>
      <c r="H4775" t="str">
        <f>VLOOKUP(myynnit[[#This Row],[TuoteID]],ohjaus!$A$4:$B$20,2,FALSE)</f>
        <v>Pinnatuoli</v>
      </c>
    </row>
    <row r="4776" spans="1:8" x14ac:dyDescent="0.35">
      <c r="A4776" t="s">
        <v>37</v>
      </c>
      <c r="B4776">
        <v>2017</v>
      </c>
      <c r="C4776">
        <v>11</v>
      </c>
      <c r="D4776">
        <v>23600</v>
      </c>
      <c r="E4776">
        <v>833</v>
      </c>
      <c r="F4776">
        <v>100144.13</v>
      </c>
      <c r="G4776">
        <v>24760.9</v>
      </c>
      <c r="H4776" t="str">
        <f>VLOOKUP(myynnit[[#This Row],[TuoteID]],ohjaus!$A$4:$B$20,2,FALSE)</f>
        <v>Pinnatuoli</v>
      </c>
    </row>
    <row r="4777" spans="1:8" x14ac:dyDescent="0.35">
      <c r="A4777" t="s">
        <v>37</v>
      </c>
      <c r="B4777">
        <v>2017</v>
      </c>
      <c r="C4777">
        <v>11</v>
      </c>
      <c r="D4777">
        <v>23756</v>
      </c>
      <c r="E4777">
        <v>52</v>
      </c>
      <c r="F4777">
        <v>9652.31</v>
      </c>
      <c r="G4777">
        <v>4099.99</v>
      </c>
      <c r="H4777" t="str">
        <f>VLOOKUP(myynnit[[#This Row],[TuoteID]],ohjaus!$A$4:$B$20,2,FALSE)</f>
        <v>Pianotuoli</v>
      </c>
    </row>
    <row r="4778" spans="1:8" x14ac:dyDescent="0.35">
      <c r="A4778" t="s">
        <v>37</v>
      </c>
      <c r="B4778">
        <v>2017</v>
      </c>
      <c r="C4778">
        <v>11</v>
      </c>
      <c r="D4778">
        <v>24326</v>
      </c>
      <c r="E4778">
        <v>144</v>
      </c>
      <c r="F4778">
        <v>20766.02</v>
      </c>
      <c r="G4778">
        <v>6770.39</v>
      </c>
      <c r="H4778" t="str">
        <f>VLOOKUP(myynnit[[#This Row],[TuoteID]],ohjaus!$A$4:$B$20,2,FALSE)</f>
        <v>Lepotuoli</v>
      </c>
    </row>
    <row r="4779" spans="1:8" x14ac:dyDescent="0.35">
      <c r="A4779" t="s">
        <v>40</v>
      </c>
      <c r="B4779">
        <v>2017</v>
      </c>
      <c r="C4779">
        <v>11</v>
      </c>
      <c r="D4779">
        <v>12184</v>
      </c>
      <c r="E4779">
        <v>25</v>
      </c>
      <c r="F4779">
        <v>2532.31</v>
      </c>
      <c r="G4779">
        <v>1158.81</v>
      </c>
      <c r="H4779" t="str">
        <f>VLOOKUP(myynnit[[#This Row],[TuoteID]],ohjaus!$A$4:$B$20,2,FALSE)</f>
        <v>Rahi</v>
      </c>
    </row>
    <row r="4780" spans="1:8" x14ac:dyDescent="0.35">
      <c r="A4780" t="s">
        <v>40</v>
      </c>
      <c r="B4780">
        <v>2017</v>
      </c>
      <c r="C4780">
        <v>11</v>
      </c>
      <c r="D4780">
        <v>12622</v>
      </c>
      <c r="E4780">
        <v>21</v>
      </c>
      <c r="F4780">
        <v>5326.96</v>
      </c>
      <c r="G4780">
        <v>2228.39</v>
      </c>
      <c r="H4780" t="str">
        <f>VLOOKUP(myynnit[[#This Row],[TuoteID]],ohjaus!$A$4:$B$20,2,FALSE)</f>
        <v>Pianotuoli</v>
      </c>
    </row>
    <row r="4781" spans="1:8" x14ac:dyDescent="0.35">
      <c r="A4781" t="s">
        <v>40</v>
      </c>
      <c r="B4781">
        <v>2017</v>
      </c>
      <c r="C4781">
        <v>11</v>
      </c>
      <c r="D4781">
        <v>13527</v>
      </c>
      <c r="E4781">
        <v>154</v>
      </c>
      <c r="F4781">
        <v>23050.05</v>
      </c>
      <c r="G4781">
        <v>3635.06</v>
      </c>
      <c r="H4781" t="str">
        <f>VLOOKUP(myynnit[[#This Row],[TuoteID]],ohjaus!$A$4:$B$20,2,FALSE)</f>
        <v>Pinnatuoli</v>
      </c>
    </row>
    <row r="4782" spans="1:8" x14ac:dyDescent="0.35">
      <c r="A4782" t="s">
        <v>40</v>
      </c>
      <c r="B4782">
        <v>2017</v>
      </c>
      <c r="C4782">
        <v>11</v>
      </c>
      <c r="D4782">
        <v>13618</v>
      </c>
      <c r="E4782">
        <v>8</v>
      </c>
      <c r="F4782">
        <v>3361.89</v>
      </c>
      <c r="G4782">
        <v>1511.11</v>
      </c>
      <c r="H4782" t="str">
        <f>VLOOKUP(myynnit[[#This Row],[TuoteID]],ohjaus!$A$4:$B$20,2,FALSE)</f>
        <v>Pianotuoli</v>
      </c>
    </row>
    <row r="4783" spans="1:8" x14ac:dyDescent="0.35">
      <c r="A4783" t="s">
        <v>40</v>
      </c>
      <c r="B4783">
        <v>2017</v>
      </c>
      <c r="C4783">
        <v>11</v>
      </c>
      <c r="D4783">
        <v>16024</v>
      </c>
      <c r="E4783">
        <v>129</v>
      </c>
      <c r="F4783">
        <v>58904.93</v>
      </c>
      <c r="G4783">
        <v>19774.97</v>
      </c>
      <c r="H4783" t="str">
        <f>VLOOKUP(myynnit[[#This Row],[TuoteID]],ohjaus!$A$4:$B$20,2,FALSE)</f>
        <v>Työtuoli</v>
      </c>
    </row>
    <row r="4784" spans="1:8" x14ac:dyDescent="0.35">
      <c r="A4784" t="s">
        <v>40</v>
      </c>
      <c r="B4784">
        <v>2017</v>
      </c>
      <c r="C4784">
        <v>11</v>
      </c>
      <c r="D4784">
        <v>16650</v>
      </c>
      <c r="E4784">
        <v>15</v>
      </c>
      <c r="F4784">
        <v>2910.42</v>
      </c>
      <c r="G4784">
        <v>1978</v>
      </c>
      <c r="H4784" t="str">
        <f>VLOOKUP(myynnit[[#This Row],[TuoteID]],ohjaus!$A$4:$B$20,2,FALSE)</f>
        <v>Rahi</v>
      </c>
    </row>
    <row r="4785" spans="1:8" x14ac:dyDescent="0.35">
      <c r="A4785" t="s">
        <v>40</v>
      </c>
      <c r="B4785">
        <v>2017</v>
      </c>
      <c r="C4785">
        <v>11</v>
      </c>
      <c r="D4785">
        <v>17892</v>
      </c>
      <c r="E4785">
        <v>40</v>
      </c>
      <c r="F4785">
        <v>5201.91</v>
      </c>
      <c r="G4785">
        <v>1079</v>
      </c>
      <c r="H4785" t="str">
        <f>VLOOKUP(myynnit[[#This Row],[TuoteID]],ohjaus!$A$4:$B$20,2,FALSE)</f>
        <v>Lepotuoli</v>
      </c>
    </row>
    <row r="4786" spans="1:8" x14ac:dyDescent="0.35">
      <c r="A4786" t="s">
        <v>40</v>
      </c>
      <c r="B4786">
        <v>2017</v>
      </c>
      <c r="C4786">
        <v>11</v>
      </c>
      <c r="D4786">
        <v>18342</v>
      </c>
      <c r="E4786">
        <v>33</v>
      </c>
      <c r="F4786">
        <v>25793.91</v>
      </c>
      <c r="G4786">
        <v>6960.3</v>
      </c>
      <c r="H4786" t="str">
        <f>VLOOKUP(myynnit[[#This Row],[TuoteID]],ohjaus!$A$4:$B$20,2,FALSE)</f>
        <v>Työtuoli</v>
      </c>
    </row>
    <row r="4787" spans="1:8" x14ac:dyDescent="0.35">
      <c r="A4787" t="s">
        <v>40</v>
      </c>
      <c r="B4787">
        <v>2017</v>
      </c>
      <c r="C4787">
        <v>11</v>
      </c>
      <c r="D4787">
        <v>20177</v>
      </c>
      <c r="E4787">
        <v>24</v>
      </c>
      <c r="F4787">
        <v>2361.42</v>
      </c>
      <c r="G4787">
        <v>820.78</v>
      </c>
      <c r="H4787" t="str">
        <f>VLOOKUP(myynnit[[#This Row],[TuoteID]],ohjaus!$A$4:$B$20,2,FALSE)</f>
        <v>Säkkituoli</v>
      </c>
    </row>
    <row r="4788" spans="1:8" x14ac:dyDescent="0.35">
      <c r="A4788" t="s">
        <v>40</v>
      </c>
      <c r="B4788">
        <v>2017</v>
      </c>
      <c r="C4788">
        <v>11</v>
      </c>
      <c r="D4788">
        <v>21179</v>
      </c>
      <c r="E4788">
        <v>28</v>
      </c>
      <c r="F4788">
        <v>3448.8</v>
      </c>
      <c r="G4788">
        <v>2200.5700000000002</v>
      </c>
      <c r="H4788" t="str">
        <f>VLOOKUP(myynnit[[#This Row],[TuoteID]],ohjaus!$A$4:$B$20,2,FALSE)</f>
        <v>Rahi</v>
      </c>
    </row>
    <row r="4789" spans="1:8" x14ac:dyDescent="0.35">
      <c r="A4789" t="s">
        <v>40</v>
      </c>
      <c r="B4789">
        <v>2017</v>
      </c>
      <c r="C4789">
        <v>11</v>
      </c>
      <c r="D4789">
        <v>21260</v>
      </c>
      <c r="E4789">
        <v>37</v>
      </c>
      <c r="F4789">
        <v>7679.22</v>
      </c>
      <c r="G4789">
        <v>1704.39</v>
      </c>
      <c r="H4789" t="str">
        <f>VLOOKUP(myynnit[[#This Row],[TuoteID]],ohjaus!$A$4:$B$20,2,FALSE)</f>
        <v>Lepotuoli</v>
      </c>
    </row>
    <row r="4790" spans="1:8" x14ac:dyDescent="0.35">
      <c r="A4790" t="s">
        <v>40</v>
      </c>
      <c r="B4790">
        <v>2017</v>
      </c>
      <c r="C4790">
        <v>11</v>
      </c>
      <c r="D4790">
        <v>22317</v>
      </c>
      <c r="E4790">
        <v>9</v>
      </c>
      <c r="F4790">
        <v>818.16</v>
      </c>
      <c r="G4790">
        <v>381.04</v>
      </c>
      <c r="H4790" t="str">
        <f>VLOOKUP(myynnit[[#This Row],[TuoteID]],ohjaus!$A$4:$B$20,2,FALSE)</f>
        <v>Säkkituoli</v>
      </c>
    </row>
    <row r="4791" spans="1:8" x14ac:dyDescent="0.35">
      <c r="A4791" t="s">
        <v>40</v>
      </c>
      <c r="B4791">
        <v>2017</v>
      </c>
      <c r="C4791">
        <v>11</v>
      </c>
      <c r="D4791">
        <v>22940</v>
      </c>
      <c r="E4791">
        <v>236</v>
      </c>
      <c r="F4791">
        <v>32161.35</v>
      </c>
      <c r="G4791">
        <v>7931.8</v>
      </c>
      <c r="H4791" t="str">
        <f>VLOOKUP(myynnit[[#This Row],[TuoteID]],ohjaus!$A$4:$B$20,2,FALSE)</f>
        <v>Pinnatuoli</v>
      </c>
    </row>
    <row r="4792" spans="1:8" x14ac:dyDescent="0.35">
      <c r="A4792" t="s">
        <v>40</v>
      </c>
      <c r="B4792">
        <v>2017</v>
      </c>
      <c r="C4792">
        <v>11</v>
      </c>
      <c r="D4792">
        <v>23178</v>
      </c>
      <c r="E4792">
        <v>139</v>
      </c>
      <c r="F4792">
        <v>22389.11</v>
      </c>
      <c r="G4792">
        <v>6452.62</v>
      </c>
      <c r="H4792" t="str">
        <f>VLOOKUP(myynnit[[#This Row],[TuoteID]],ohjaus!$A$4:$B$20,2,FALSE)</f>
        <v>Pinnatuoli</v>
      </c>
    </row>
    <row r="4793" spans="1:8" x14ac:dyDescent="0.35">
      <c r="A4793" t="s">
        <v>40</v>
      </c>
      <c r="B4793">
        <v>2017</v>
      </c>
      <c r="C4793">
        <v>11</v>
      </c>
      <c r="D4793">
        <v>23600</v>
      </c>
      <c r="E4793">
        <v>332</v>
      </c>
      <c r="F4793">
        <v>34100.36</v>
      </c>
      <c r="G4793">
        <v>8678.15</v>
      </c>
      <c r="H4793" t="str">
        <f>VLOOKUP(myynnit[[#This Row],[TuoteID]],ohjaus!$A$4:$B$20,2,FALSE)</f>
        <v>Pinnatuoli</v>
      </c>
    </row>
    <row r="4794" spans="1:8" x14ac:dyDescent="0.35">
      <c r="A4794" t="s">
        <v>40</v>
      </c>
      <c r="B4794">
        <v>2017</v>
      </c>
      <c r="C4794">
        <v>11</v>
      </c>
      <c r="D4794">
        <v>23756</v>
      </c>
      <c r="E4794">
        <v>84</v>
      </c>
      <c r="F4794">
        <v>14062.36</v>
      </c>
      <c r="G4794">
        <v>5455.57</v>
      </c>
      <c r="H4794" t="str">
        <f>VLOOKUP(myynnit[[#This Row],[TuoteID]],ohjaus!$A$4:$B$20,2,FALSE)</f>
        <v>Pianotuoli</v>
      </c>
    </row>
    <row r="4795" spans="1:8" x14ac:dyDescent="0.35">
      <c r="A4795" t="s">
        <v>40</v>
      </c>
      <c r="B4795">
        <v>2017</v>
      </c>
      <c r="C4795">
        <v>11</v>
      </c>
      <c r="D4795">
        <v>24326</v>
      </c>
      <c r="E4795">
        <v>26</v>
      </c>
      <c r="F4795">
        <v>3334.16</v>
      </c>
      <c r="G4795">
        <v>902.55</v>
      </c>
      <c r="H4795" t="str">
        <f>VLOOKUP(myynnit[[#This Row],[TuoteID]],ohjaus!$A$4:$B$20,2,FALSE)</f>
        <v>Lepotuoli</v>
      </c>
    </row>
    <row r="4796" spans="1:8" x14ac:dyDescent="0.35">
      <c r="A4796" t="s">
        <v>39</v>
      </c>
      <c r="B4796">
        <v>2017</v>
      </c>
      <c r="C4796">
        <v>11</v>
      </c>
      <c r="D4796">
        <v>12184</v>
      </c>
      <c r="E4796">
        <v>60</v>
      </c>
      <c r="F4796">
        <v>6041.41</v>
      </c>
      <c r="G4796">
        <v>4245.3900000000003</v>
      </c>
      <c r="H4796" t="str">
        <f>VLOOKUP(myynnit[[#This Row],[TuoteID]],ohjaus!$A$4:$B$20,2,FALSE)</f>
        <v>Rahi</v>
      </c>
    </row>
    <row r="4797" spans="1:8" x14ac:dyDescent="0.35">
      <c r="A4797" t="s">
        <v>39</v>
      </c>
      <c r="B4797">
        <v>2017</v>
      </c>
      <c r="C4797">
        <v>11</v>
      </c>
      <c r="D4797">
        <v>12622</v>
      </c>
      <c r="E4797">
        <v>35</v>
      </c>
      <c r="F4797">
        <v>9540.1299999999992</v>
      </c>
      <c r="G4797">
        <v>4659.93</v>
      </c>
      <c r="H4797" t="str">
        <f>VLOOKUP(myynnit[[#This Row],[TuoteID]],ohjaus!$A$4:$B$20,2,FALSE)</f>
        <v>Pianotuoli</v>
      </c>
    </row>
    <row r="4798" spans="1:8" x14ac:dyDescent="0.35">
      <c r="A4798" t="s">
        <v>39</v>
      </c>
      <c r="B4798">
        <v>2017</v>
      </c>
      <c r="C4798">
        <v>11</v>
      </c>
      <c r="D4798">
        <v>13527</v>
      </c>
      <c r="E4798">
        <v>405</v>
      </c>
      <c r="F4798">
        <v>63725.69</v>
      </c>
      <c r="G4798">
        <v>15418.92</v>
      </c>
      <c r="H4798" t="str">
        <f>VLOOKUP(myynnit[[#This Row],[TuoteID]],ohjaus!$A$4:$B$20,2,FALSE)</f>
        <v>Pinnatuoli</v>
      </c>
    </row>
    <row r="4799" spans="1:8" x14ac:dyDescent="0.35">
      <c r="A4799" t="s">
        <v>39</v>
      </c>
      <c r="B4799">
        <v>2017</v>
      </c>
      <c r="C4799">
        <v>11</v>
      </c>
      <c r="D4799">
        <v>13618</v>
      </c>
      <c r="E4799">
        <v>29</v>
      </c>
      <c r="F4799">
        <v>10438.91</v>
      </c>
      <c r="G4799">
        <v>6020.33</v>
      </c>
      <c r="H4799" t="str">
        <f>VLOOKUP(myynnit[[#This Row],[TuoteID]],ohjaus!$A$4:$B$20,2,FALSE)</f>
        <v>Pianotuoli</v>
      </c>
    </row>
    <row r="4800" spans="1:8" x14ac:dyDescent="0.35">
      <c r="A4800" t="s">
        <v>39</v>
      </c>
      <c r="B4800">
        <v>2017</v>
      </c>
      <c r="C4800">
        <v>11</v>
      </c>
      <c r="D4800">
        <v>16024</v>
      </c>
      <c r="E4800">
        <v>351</v>
      </c>
      <c r="F4800">
        <v>150155.53</v>
      </c>
      <c r="G4800">
        <v>50754.879999999997</v>
      </c>
      <c r="H4800" t="str">
        <f>VLOOKUP(myynnit[[#This Row],[TuoteID]],ohjaus!$A$4:$B$20,2,FALSE)</f>
        <v>Työtuoli</v>
      </c>
    </row>
    <row r="4801" spans="1:8" x14ac:dyDescent="0.35">
      <c r="A4801" t="s">
        <v>39</v>
      </c>
      <c r="B4801">
        <v>2017</v>
      </c>
      <c r="C4801">
        <v>11</v>
      </c>
      <c r="D4801">
        <v>16650</v>
      </c>
      <c r="E4801">
        <v>21</v>
      </c>
      <c r="F4801">
        <v>3326.22</v>
      </c>
      <c r="G4801">
        <v>2586.4899999999998</v>
      </c>
      <c r="H4801" t="str">
        <f>VLOOKUP(myynnit[[#This Row],[TuoteID]],ohjaus!$A$4:$B$20,2,FALSE)</f>
        <v>Rahi</v>
      </c>
    </row>
    <row r="4802" spans="1:8" x14ac:dyDescent="0.35">
      <c r="A4802" t="s">
        <v>39</v>
      </c>
      <c r="B4802">
        <v>2017</v>
      </c>
      <c r="C4802">
        <v>11</v>
      </c>
      <c r="D4802">
        <v>17892</v>
      </c>
      <c r="E4802">
        <v>100</v>
      </c>
      <c r="F4802">
        <v>15395.97</v>
      </c>
      <c r="G4802">
        <v>4572.54</v>
      </c>
      <c r="H4802" t="str">
        <f>VLOOKUP(myynnit[[#This Row],[TuoteID]],ohjaus!$A$4:$B$20,2,FALSE)</f>
        <v>Lepotuoli</v>
      </c>
    </row>
    <row r="4803" spans="1:8" x14ac:dyDescent="0.35">
      <c r="A4803" t="s">
        <v>39</v>
      </c>
      <c r="B4803">
        <v>2017</v>
      </c>
      <c r="C4803">
        <v>11</v>
      </c>
      <c r="D4803">
        <v>18342</v>
      </c>
      <c r="E4803">
        <v>183</v>
      </c>
      <c r="F4803">
        <v>150060.51</v>
      </c>
      <c r="G4803">
        <v>50047.12</v>
      </c>
      <c r="H4803" t="str">
        <f>VLOOKUP(myynnit[[#This Row],[TuoteID]],ohjaus!$A$4:$B$20,2,FALSE)</f>
        <v>Työtuoli</v>
      </c>
    </row>
    <row r="4804" spans="1:8" x14ac:dyDescent="0.35">
      <c r="A4804" t="s">
        <v>39</v>
      </c>
      <c r="B4804">
        <v>2017</v>
      </c>
      <c r="C4804">
        <v>11</v>
      </c>
      <c r="D4804">
        <v>20177</v>
      </c>
      <c r="E4804">
        <v>40</v>
      </c>
      <c r="F4804">
        <v>4708.3900000000003</v>
      </c>
      <c r="G4804">
        <v>1991.29</v>
      </c>
      <c r="H4804" t="str">
        <f>VLOOKUP(myynnit[[#This Row],[TuoteID]],ohjaus!$A$4:$B$20,2,FALSE)</f>
        <v>Säkkituoli</v>
      </c>
    </row>
    <row r="4805" spans="1:8" x14ac:dyDescent="0.35">
      <c r="A4805" t="s">
        <v>39</v>
      </c>
      <c r="B4805">
        <v>2017</v>
      </c>
      <c r="C4805">
        <v>11</v>
      </c>
      <c r="D4805">
        <v>21179</v>
      </c>
      <c r="E4805">
        <v>44</v>
      </c>
      <c r="F4805">
        <v>6331.04</v>
      </c>
      <c r="G4805">
        <v>3778.34</v>
      </c>
      <c r="H4805" t="str">
        <f>VLOOKUP(myynnit[[#This Row],[TuoteID]],ohjaus!$A$4:$B$20,2,FALSE)</f>
        <v>Rahi</v>
      </c>
    </row>
    <row r="4806" spans="1:8" x14ac:dyDescent="0.35">
      <c r="A4806" t="s">
        <v>39</v>
      </c>
      <c r="B4806">
        <v>2017</v>
      </c>
      <c r="C4806">
        <v>11</v>
      </c>
      <c r="D4806">
        <v>21260</v>
      </c>
      <c r="E4806">
        <v>54</v>
      </c>
      <c r="F4806">
        <v>10963.49</v>
      </c>
      <c r="G4806">
        <v>3446.22</v>
      </c>
      <c r="H4806" t="str">
        <f>VLOOKUP(myynnit[[#This Row],[TuoteID]],ohjaus!$A$4:$B$20,2,FALSE)</f>
        <v>Lepotuoli</v>
      </c>
    </row>
    <row r="4807" spans="1:8" x14ac:dyDescent="0.35">
      <c r="A4807" t="s">
        <v>39</v>
      </c>
      <c r="B4807">
        <v>2017</v>
      </c>
      <c r="C4807">
        <v>11</v>
      </c>
      <c r="D4807">
        <v>22317</v>
      </c>
      <c r="E4807">
        <v>19</v>
      </c>
      <c r="F4807">
        <v>1637.9</v>
      </c>
      <c r="G4807">
        <v>730.36</v>
      </c>
      <c r="H4807" t="str">
        <f>VLOOKUP(myynnit[[#This Row],[TuoteID]],ohjaus!$A$4:$B$20,2,FALSE)</f>
        <v>Säkkituoli</v>
      </c>
    </row>
    <row r="4808" spans="1:8" x14ac:dyDescent="0.35">
      <c r="A4808" t="s">
        <v>39</v>
      </c>
      <c r="B4808">
        <v>2017</v>
      </c>
      <c r="C4808">
        <v>11</v>
      </c>
      <c r="D4808">
        <v>22940</v>
      </c>
      <c r="E4808">
        <v>701</v>
      </c>
      <c r="F4808">
        <v>98850.38</v>
      </c>
      <c r="G4808">
        <v>25929.119999999999</v>
      </c>
      <c r="H4808" t="str">
        <f>VLOOKUP(myynnit[[#This Row],[TuoteID]],ohjaus!$A$4:$B$20,2,FALSE)</f>
        <v>Pinnatuoli</v>
      </c>
    </row>
    <row r="4809" spans="1:8" x14ac:dyDescent="0.35">
      <c r="A4809" t="s">
        <v>39</v>
      </c>
      <c r="B4809">
        <v>2017</v>
      </c>
      <c r="C4809">
        <v>11</v>
      </c>
      <c r="D4809">
        <v>23178</v>
      </c>
      <c r="E4809">
        <v>127</v>
      </c>
      <c r="F4809">
        <v>21680.86</v>
      </c>
      <c r="G4809">
        <v>5524.6</v>
      </c>
      <c r="H4809" t="str">
        <f>VLOOKUP(myynnit[[#This Row],[TuoteID]],ohjaus!$A$4:$B$20,2,FALSE)</f>
        <v>Pinnatuoli</v>
      </c>
    </row>
    <row r="4810" spans="1:8" x14ac:dyDescent="0.35">
      <c r="A4810" t="s">
        <v>39</v>
      </c>
      <c r="B4810">
        <v>2017</v>
      </c>
      <c r="C4810">
        <v>11</v>
      </c>
      <c r="D4810">
        <v>23600</v>
      </c>
      <c r="E4810">
        <v>776</v>
      </c>
      <c r="F4810">
        <v>90412.2</v>
      </c>
      <c r="G4810">
        <v>25302.05</v>
      </c>
      <c r="H4810" t="str">
        <f>VLOOKUP(myynnit[[#This Row],[TuoteID]],ohjaus!$A$4:$B$20,2,FALSE)</f>
        <v>Pinnatuoli</v>
      </c>
    </row>
    <row r="4811" spans="1:8" x14ac:dyDescent="0.35">
      <c r="A4811" t="s">
        <v>39</v>
      </c>
      <c r="B4811">
        <v>2017</v>
      </c>
      <c r="C4811">
        <v>11</v>
      </c>
      <c r="D4811">
        <v>23756</v>
      </c>
      <c r="E4811">
        <v>125</v>
      </c>
      <c r="F4811">
        <v>22369.38</v>
      </c>
      <c r="G4811">
        <v>12512.17</v>
      </c>
      <c r="H4811" t="str">
        <f>VLOOKUP(myynnit[[#This Row],[TuoteID]],ohjaus!$A$4:$B$20,2,FALSE)</f>
        <v>Pianotuoli</v>
      </c>
    </row>
    <row r="4812" spans="1:8" x14ac:dyDescent="0.35">
      <c r="A4812" t="s">
        <v>39</v>
      </c>
      <c r="B4812">
        <v>2017</v>
      </c>
      <c r="C4812">
        <v>11</v>
      </c>
      <c r="D4812">
        <v>24326</v>
      </c>
      <c r="E4812">
        <v>76</v>
      </c>
      <c r="F4812">
        <v>9566.1200000000008</v>
      </c>
      <c r="G4812">
        <v>3053.58</v>
      </c>
      <c r="H4812" t="str">
        <f>VLOOKUP(myynnit[[#This Row],[TuoteID]],ohjaus!$A$4:$B$20,2,FALSE)</f>
        <v>Lepotuoli</v>
      </c>
    </row>
    <row r="4813" spans="1:8" x14ac:dyDescent="0.35">
      <c r="A4813" t="s">
        <v>38</v>
      </c>
      <c r="B4813">
        <v>2017</v>
      </c>
      <c r="C4813">
        <v>11</v>
      </c>
      <c r="D4813">
        <v>12184</v>
      </c>
      <c r="E4813">
        <v>63</v>
      </c>
      <c r="F4813">
        <v>9003.64</v>
      </c>
      <c r="G4813">
        <v>4670.66</v>
      </c>
      <c r="H4813" t="str">
        <f>VLOOKUP(myynnit[[#This Row],[TuoteID]],ohjaus!$A$4:$B$20,2,FALSE)</f>
        <v>Rahi</v>
      </c>
    </row>
    <row r="4814" spans="1:8" x14ac:dyDescent="0.35">
      <c r="A4814" t="s">
        <v>38</v>
      </c>
      <c r="B4814">
        <v>2017</v>
      </c>
      <c r="C4814">
        <v>11</v>
      </c>
      <c r="D4814">
        <v>12622</v>
      </c>
      <c r="E4814">
        <v>24</v>
      </c>
      <c r="F4814">
        <v>5858.93</v>
      </c>
      <c r="G4814">
        <v>3028.19</v>
      </c>
      <c r="H4814" t="str">
        <f>VLOOKUP(myynnit[[#This Row],[TuoteID]],ohjaus!$A$4:$B$20,2,FALSE)</f>
        <v>Pianotuoli</v>
      </c>
    </row>
    <row r="4815" spans="1:8" x14ac:dyDescent="0.35">
      <c r="A4815" t="s">
        <v>38</v>
      </c>
      <c r="B4815">
        <v>2017</v>
      </c>
      <c r="C4815">
        <v>11</v>
      </c>
      <c r="D4815">
        <v>13527</v>
      </c>
      <c r="E4815">
        <v>564</v>
      </c>
      <c r="F4815">
        <v>90390.99</v>
      </c>
      <c r="G4815">
        <v>16968.57</v>
      </c>
      <c r="H4815" t="str">
        <f>VLOOKUP(myynnit[[#This Row],[TuoteID]],ohjaus!$A$4:$B$20,2,FALSE)</f>
        <v>Pinnatuoli</v>
      </c>
    </row>
    <row r="4816" spans="1:8" x14ac:dyDescent="0.35">
      <c r="A4816" t="s">
        <v>38</v>
      </c>
      <c r="B4816">
        <v>2017</v>
      </c>
      <c r="C4816">
        <v>11</v>
      </c>
      <c r="D4816">
        <v>13618</v>
      </c>
      <c r="E4816">
        <v>19</v>
      </c>
      <c r="F4816">
        <v>8635.74</v>
      </c>
      <c r="G4816">
        <v>4549.0600000000004</v>
      </c>
      <c r="H4816" t="str">
        <f>VLOOKUP(myynnit[[#This Row],[TuoteID]],ohjaus!$A$4:$B$20,2,FALSE)</f>
        <v>Pianotuoli</v>
      </c>
    </row>
    <row r="4817" spans="1:8" x14ac:dyDescent="0.35">
      <c r="A4817" t="s">
        <v>38</v>
      </c>
      <c r="B4817">
        <v>2017</v>
      </c>
      <c r="C4817">
        <v>11</v>
      </c>
      <c r="D4817">
        <v>16024</v>
      </c>
      <c r="E4817">
        <v>226</v>
      </c>
      <c r="F4817">
        <v>104004.25</v>
      </c>
      <c r="G4817">
        <v>23012.89</v>
      </c>
      <c r="H4817" t="str">
        <f>VLOOKUP(myynnit[[#This Row],[TuoteID]],ohjaus!$A$4:$B$20,2,FALSE)</f>
        <v>Työtuoli</v>
      </c>
    </row>
    <row r="4818" spans="1:8" x14ac:dyDescent="0.35">
      <c r="A4818" t="s">
        <v>38</v>
      </c>
      <c r="B4818">
        <v>2017</v>
      </c>
      <c r="C4818">
        <v>11</v>
      </c>
      <c r="D4818">
        <v>16650</v>
      </c>
      <c r="E4818">
        <v>39</v>
      </c>
      <c r="F4818">
        <v>7131.39</v>
      </c>
      <c r="G4818">
        <v>3809.58</v>
      </c>
      <c r="H4818" t="str">
        <f>VLOOKUP(myynnit[[#This Row],[TuoteID]],ohjaus!$A$4:$B$20,2,FALSE)</f>
        <v>Rahi</v>
      </c>
    </row>
    <row r="4819" spans="1:8" x14ac:dyDescent="0.35">
      <c r="A4819" t="s">
        <v>38</v>
      </c>
      <c r="B4819">
        <v>2017</v>
      </c>
      <c r="C4819">
        <v>11</v>
      </c>
      <c r="D4819">
        <v>17892</v>
      </c>
      <c r="E4819">
        <v>108</v>
      </c>
      <c r="F4819">
        <v>14703.2</v>
      </c>
      <c r="G4819">
        <v>3291.19</v>
      </c>
      <c r="H4819" t="str">
        <f>VLOOKUP(myynnit[[#This Row],[TuoteID]],ohjaus!$A$4:$B$20,2,FALSE)</f>
        <v>Lepotuoli</v>
      </c>
    </row>
    <row r="4820" spans="1:8" x14ac:dyDescent="0.35">
      <c r="A4820" t="s">
        <v>38</v>
      </c>
      <c r="B4820">
        <v>2017</v>
      </c>
      <c r="C4820">
        <v>11</v>
      </c>
      <c r="D4820">
        <v>18342</v>
      </c>
      <c r="E4820">
        <v>210</v>
      </c>
      <c r="F4820">
        <v>180814.05</v>
      </c>
      <c r="G4820">
        <v>44239.78</v>
      </c>
      <c r="H4820" t="str">
        <f>VLOOKUP(myynnit[[#This Row],[TuoteID]],ohjaus!$A$4:$B$20,2,FALSE)</f>
        <v>Työtuoli</v>
      </c>
    </row>
    <row r="4821" spans="1:8" x14ac:dyDescent="0.35">
      <c r="A4821" t="s">
        <v>38</v>
      </c>
      <c r="B4821">
        <v>2017</v>
      </c>
      <c r="C4821">
        <v>11</v>
      </c>
      <c r="D4821">
        <v>20177</v>
      </c>
      <c r="E4821">
        <v>76</v>
      </c>
      <c r="F4821">
        <v>8104.45</v>
      </c>
      <c r="G4821">
        <v>2943.41</v>
      </c>
      <c r="H4821" t="str">
        <f>VLOOKUP(myynnit[[#This Row],[TuoteID]],ohjaus!$A$4:$B$20,2,FALSE)</f>
        <v>Säkkituoli</v>
      </c>
    </row>
    <row r="4822" spans="1:8" x14ac:dyDescent="0.35">
      <c r="A4822" t="s">
        <v>38</v>
      </c>
      <c r="B4822">
        <v>2017</v>
      </c>
      <c r="C4822">
        <v>11</v>
      </c>
      <c r="D4822">
        <v>21179</v>
      </c>
      <c r="E4822">
        <v>60</v>
      </c>
      <c r="F4822">
        <v>6526.93</v>
      </c>
      <c r="G4822">
        <v>3550.24</v>
      </c>
      <c r="H4822" t="str">
        <f>VLOOKUP(myynnit[[#This Row],[TuoteID]],ohjaus!$A$4:$B$20,2,FALSE)</f>
        <v>Rahi</v>
      </c>
    </row>
    <row r="4823" spans="1:8" x14ac:dyDescent="0.35">
      <c r="A4823" t="s">
        <v>38</v>
      </c>
      <c r="B4823">
        <v>2017</v>
      </c>
      <c r="C4823">
        <v>11</v>
      </c>
      <c r="D4823">
        <v>21260</v>
      </c>
      <c r="E4823">
        <v>61</v>
      </c>
      <c r="F4823">
        <v>11628.62</v>
      </c>
      <c r="G4823">
        <v>2963.15</v>
      </c>
      <c r="H4823" t="str">
        <f>VLOOKUP(myynnit[[#This Row],[TuoteID]],ohjaus!$A$4:$B$20,2,FALSE)</f>
        <v>Lepotuoli</v>
      </c>
    </row>
    <row r="4824" spans="1:8" x14ac:dyDescent="0.35">
      <c r="A4824" t="s">
        <v>38</v>
      </c>
      <c r="B4824">
        <v>2017</v>
      </c>
      <c r="C4824">
        <v>11</v>
      </c>
      <c r="D4824">
        <v>22317</v>
      </c>
      <c r="E4824">
        <v>54</v>
      </c>
      <c r="F4824">
        <v>4143.87</v>
      </c>
      <c r="G4824">
        <v>1659.47</v>
      </c>
      <c r="H4824" t="str">
        <f>VLOOKUP(myynnit[[#This Row],[TuoteID]],ohjaus!$A$4:$B$20,2,FALSE)</f>
        <v>Säkkituoli</v>
      </c>
    </row>
    <row r="4825" spans="1:8" x14ac:dyDescent="0.35">
      <c r="A4825" t="s">
        <v>38</v>
      </c>
      <c r="B4825">
        <v>2017</v>
      </c>
      <c r="C4825">
        <v>11</v>
      </c>
      <c r="D4825">
        <v>22940</v>
      </c>
      <c r="E4825">
        <v>560</v>
      </c>
      <c r="F4825">
        <v>67342.080000000002</v>
      </c>
      <c r="G4825">
        <v>14959.14</v>
      </c>
      <c r="H4825" t="str">
        <f>VLOOKUP(myynnit[[#This Row],[TuoteID]],ohjaus!$A$4:$B$20,2,FALSE)</f>
        <v>Pinnatuoli</v>
      </c>
    </row>
    <row r="4826" spans="1:8" x14ac:dyDescent="0.35">
      <c r="A4826" t="s">
        <v>38</v>
      </c>
      <c r="B4826">
        <v>2017</v>
      </c>
      <c r="C4826">
        <v>11</v>
      </c>
      <c r="D4826">
        <v>23178</v>
      </c>
      <c r="E4826">
        <v>308</v>
      </c>
      <c r="F4826">
        <v>57270.61</v>
      </c>
      <c r="G4826">
        <v>11803.25</v>
      </c>
      <c r="H4826" t="str">
        <f>VLOOKUP(myynnit[[#This Row],[TuoteID]],ohjaus!$A$4:$B$20,2,FALSE)</f>
        <v>Pinnatuoli</v>
      </c>
    </row>
    <row r="4827" spans="1:8" x14ac:dyDescent="0.35">
      <c r="A4827" t="s">
        <v>38</v>
      </c>
      <c r="B4827">
        <v>2017</v>
      </c>
      <c r="C4827">
        <v>11</v>
      </c>
      <c r="D4827">
        <v>23600</v>
      </c>
      <c r="E4827">
        <v>1362</v>
      </c>
      <c r="F4827">
        <v>145733.32999999999</v>
      </c>
      <c r="G4827">
        <v>31756.03</v>
      </c>
      <c r="H4827" t="str">
        <f>VLOOKUP(myynnit[[#This Row],[TuoteID]],ohjaus!$A$4:$B$20,2,FALSE)</f>
        <v>Pinnatuoli</v>
      </c>
    </row>
    <row r="4828" spans="1:8" x14ac:dyDescent="0.35">
      <c r="A4828" t="s">
        <v>38</v>
      </c>
      <c r="B4828">
        <v>2017</v>
      </c>
      <c r="C4828">
        <v>11</v>
      </c>
      <c r="D4828">
        <v>23756</v>
      </c>
      <c r="E4828">
        <v>104</v>
      </c>
      <c r="F4828">
        <v>17915.34</v>
      </c>
      <c r="G4828">
        <v>9659.93</v>
      </c>
      <c r="H4828" t="str">
        <f>VLOOKUP(myynnit[[#This Row],[TuoteID]],ohjaus!$A$4:$B$20,2,FALSE)</f>
        <v>Pianotuoli</v>
      </c>
    </row>
    <row r="4829" spans="1:8" x14ac:dyDescent="0.35">
      <c r="A4829" t="s">
        <v>38</v>
      </c>
      <c r="B4829">
        <v>2017</v>
      </c>
      <c r="C4829">
        <v>11</v>
      </c>
      <c r="D4829">
        <v>24326</v>
      </c>
      <c r="E4829">
        <v>144</v>
      </c>
      <c r="F4829">
        <v>19385.88</v>
      </c>
      <c r="G4829">
        <v>4549.33</v>
      </c>
      <c r="H4829" t="str">
        <f>VLOOKUP(myynnit[[#This Row],[TuoteID]],ohjaus!$A$4:$B$20,2,FALSE)</f>
        <v>Lepotuoli</v>
      </c>
    </row>
    <row r="4830" spans="1:8" x14ac:dyDescent="0.35">
      <c r="A4830" t="s">
        <v>37</v>
      </c>
      <c r="B4830">
        <v>2017</v>
      </c>
      <c r="C4830">
        <v>12</v>
      </c>
      <c r="D4830">
        <v>12184</v>
      </c>
      <c r="E4830">
        <v>110</v>
      </c>
      <c r="F4830">
        <v>15552.9</v>
      </c>
      <c r="G4830">
        <v>7838.7</v>
      </c>
      <c r="H4830" t="str">
        <f>VLOOKUP(myynnit[[#This Row],[TuoteID]],ohjaus!$A$4:$B$20,2,FALSE)</f>
        <v>Rahi</v>
      </c>
    </row>
    <row r="4831" spans="1:8" x14ac:dyDescent="0.35">
      <c r="A4831" t="s">
        <v>37</v>
      </c>
      <c r="B4831">
        <v>2017</v>
      </c>
      <c r="C4831">
        <v>12</v>
      </c>
      <c r="D4831">
        <v>12622</v>
      </c>
      <c r="E4831">
        <v>57</v>
      </c>
      <c r="F4831">
        <v>16241.27</v>
      </c>
      <c r="G4831">
        <v>7430.12</v>
      </c>
      <c r="H4831" t="str">
        <f>VLOOKUP(myynnit[[#This Row],[TuoteID]],ohjaus!$A$4:$B$20,2,FALSE)</f>
        <v>Pianotuoli</v>
      </c>
    </row>
    <row r="4832" spans="1:8" x14ac:dyDescent="0.35">
      <c r="A4832" t="s">
        <v>37</v>
      </c>
      <c r="B4832">
        <v>2017</v>
      </c>
      <c r="C4832">
        <v>12</v>
      </c>
      <c r="D4832">
        <v>13527</v>
      </c>
      <c r="E4832">
        <v>579</v>
      </c>
      <c r="F4832">
        <v>88748.02</v>
      </c>
      <c r="G4832">
        <v>15526.89</v>
      </c>
      <c r="H4832" t="str">
        <f>VLOOKUP(myynnit[[#This Row],[TuoteID]],ohjaus!$A$4:$B$20,2,FALSE)</f>
        <v>Pinnatuoli</v>
      </c>
    </row>
    <row r="4833" spans="1:8" x14ac:dyDescent="0.35">
      <c r="A4833" t="s">
        <v>37</v>
      </c>
      <c r="B4833">
        <v>2017</v>
      </c>
      <c r="C4833">
        <v>12</v>
      </c>
      <c r="D4833">
        <v>13618</v>
      </c>
      <c r="E4833">
        <v>15</v>
      </c>
      <c r="F4833">
        <v>4859.47</v>
      </c>
      <c r="G4833">
        <v>2550.46</v>
      </c>
      <c r="H4833" t="str">
        <f>VLOOKUP(myynnit[[#This Row],[TuoteID]],ohjaus!$A$4:$B$20,2,FALSE)</f>
        <v>Pianotuoli</v>
      </c>
    </row>
    <row r="4834" spans="1:8" x14ac:dyDescent="0.35">
      <c r="A4834" t="s">
        <v>37</v>
      </c>
      <c r="B4834">
        <v>2017</v>
      </c>
      <c r="C4834">
        <v>12</v>
      </c>
      <c r="D4834">
        <v>16024</v>
      </c>
      <c r="E4834">
        <v>228</v>
      </c>
      <c r="F4834">
        <v>96875.82</v>
      </c>
      <c r="G4834">
        <v>26059.439999999999</v>
      </c>
      <c r="H4834" t="str">
        <f>VLOOKUP(myynnit[[#This Row],[TuoteID]],ohjaus!$A$4:$B$20,2,FALSE)</f>
        <v>Työtuoli</v>
      </c>
    </row>
    <row r="4835" spans="1:8" x14ac:dyDescent="0.35">
      <c r="A4835" t="s">
        <v>37</v>
      </c>
      <c r="B4835">
        <v>2017</v>
      </c>
      <c r="C4835">
        <v>12</v>
      </c>
      <c r="D4835">
        <v>16650</v>
      </c>
      <c r="E4835">
        <v>76</v>
      </c>
      <c r="F4835">
        <v>12621.11</v>
      </c>
      <c r="G4835">
        <v>5379.09</v>
      </c>
      <c r="H4835" t="str">
        <f>VLOOKUP(myynnit[[#This Row],[TuoteID]],ohjaus!$A$4:$B$20,2,FALSE)</f>
        <v>Rahi</v>
      </c>
    </row>
    <row r="4836" spans="1:8" x14ac:dyDescent="0.35">
      <c r="A4836" t="s">
        <v>37</v>
      </c>
      <c r="B4836">
        <v>2017</v>
      </c>
      <c r="C4836">
        <v>12</v>
      </c>
      <c r="D4836">
        <v>17892</v>
      </c>
      <c r="E4836">
        <v>137</v>
      </c>
      <c r="F4836">
        <v>20958.740000000002</v>
      </c>
      <c r="G4836">
        <v>6103.46</v>
      </c>
      <c r="H4836" t="str">
        <f>VLOOKUP(myynnit[[#This Row],[TuoteID]],ohjaus!$A$4:$B$20,2,FALSE)</f>
        <v>Lepotuoli</v>
      </c>
    </row>
    <row r="4837" spans="1:8" x14ac:dyDescent="0.35">
      <c r="A4837" t="s">
        <v>37</v>
      </c>
      <c r="B4837">
        <v>2017</v>
      </c>
      <c r="C4837">
        <v>12</v>
      </c>
      <c r="D4837">
        <v>18342</v>
      </c>
      <c r="E4837">
        <v>137</v>
      </c>
      <c r="F4837">
        <v>121118.53</v>
      </c>
      <c r="G4837">
        <v>32711.35</v>
      </c>
      <c r="H4837" t="str">
        <f>VLOOKUP(myynnit[[#This Row],[TuoteID]],ohjaus!$A$4:$B$20,2,FALSE)</f>
        <v>Työtuoli</v>
      </c>
    </row>
    <row r="4838" spans="1:8" x14ac:dyDescent="0.35">
      <c r="A4838" t="s">
        <v>37</v>
      </c>
      <c r="B4838">
        <v>2017</v>
      </c>
      <c r="C4838">
        <v>12</v>
      </c>
      <c r="D4838">
        <v>20177</v>
      </c>
      <c r="E4838">
        <v>115</v>
      </c>
      <c r="F4838">
        <v>12145.11</v>
      </c>
      <c r="G4838">
        <v>4751.6400000000003</v>
      </c>
      <c r="H4838" t="str">
        <f>VLOOKUP(myynnit[[#This Row],[TuoteID]],ohjaus!$A$4:$B$20,2,FALSE)</f>
        <v>Säkkituoli</v>
      </c>
    </row>
    <row r="4839" spans="1:8" x14ac:dyDescent="0.35">
      <c r="A4839" t="s">
        <v>37</v>
      </c>
      <c r="B4839">
        <v>2017</v>
      </c>
      <c r="C4839">
        <v>12</v>
      </c>
      <c r="D4839">
        <v>21179</v>
      </c>
      <c r="E4839">
        <v>47</v>
      </c>
      <c r="F4839">
        <v>5269.42</v>
      </c>
      <c r="G4839">
        <v>2781.61</v>
      </c>
      <c r="H4839" t="str">
        <f>VLOOKUP(myynnit[[#This Row],[TuoteID]],ohjaus!$A$4:$B$20,2,FALSE)</f>
        <v>Rahi</v>
      </c>
    </row>
    <row r="4840" spans="1:8" x14ac:dyDescent="0.35">
      <c r="A4840" t="s">
        <v>37</v>
      </c>
      <c r="B4840">
        <v>2017</v>
      </c>
      <c r="C4840">
        <v>12</v>
      </c>
      <c r="D4840">
        <v>21260</v>
      </c>
      <c r="E4840">
        <v>95</v>
      </c>
      <c r="F4840">
        <v>18936.73</v>
      </c>
      <c r="G4840">
        <v>5844.88</v>
      </c>
      <c r="H4840" t="str">
        <f>VLOOKUP(myynnit[[#This Row],[TuoteID]],ohjaus!$A$4:$B$20,2,FALSE)</f>
        <v>Lepotuoli</v>
      </c>
    </row>
    <row r="4841" spans="1:8" x14ac:dyDescent="0.35">
      <c r="A4841" t="s">
        <v>37</v>
      </c>
      <c r="B4841">
        <v>2017</v>
      </c>
      <c r="C4841">
        <v>12</v>
      </c>
      <c r="D4841">
        <v>22317</v>
      </c>
      <c r="E4841">
        <v>49</v>
      </c>
      <c r="F4841">
        <v>3797.54</v>
      </c>
      <c r="G4841">
        <v>1304.18</v>
      </c>
      <c r="H4841" t="str">
        <f>VLOOKUP(myynnit[[#This Row],[TuoteID]],ohjaus!$A$4:$B$20,2,FALSE)</f>
        <v>Säkkituoli</v>
      </c>
    </row>
    <row r="4842" spans="1:8" x14ac:dyDescent="0.35">
      <c r="A4842" t="s">
        <v>37</v>
      </c>
      <c r="B4842">
        <v>2017</v>
      </c>
      <c r="C4842">
        <v>12</v>
      </c>
      <c r="D4842">
        <v>22940</v>
      </c>
      <c r="E4842">
        <v>882</v>
      </c>
      <c r="F4842">
        <v>119177.64</v>
      </c>
      <c r="G4842">
        <v>23876.54</v>
      </c>
      <c r="H4842" t="str">
        <f>VLOOKUP(myynnit[[#This Row],[TuoteID]],ohjaus!$A$4:$B$20,2,FALSE)</f>
        <v>Pinnatuoli</v>
      </c>
    </row>
    <row r="4843" spans="1:8" x14ac:dyDescent="0.35">
      <c r="A4843" t="s">
        <v>37</v>
      </c>
      <c r="B4843">
        <v>2017</v>
      </c>
      <c r="C4843">
        <v>12</v>
      </c>
      <c r="D4843">
        <v>23178</v>
      </c>
      <c r="E4843">
        <v>369</v>
      </c>
      <c r="F4843">
        <v>65287.77</v>
      </c>
      <c r="G4843">
        <v>11601.74</v>
      </c>
      <c r="H4843" t="str">
        <f>VLOOKUP(myynnit[[#This Row],[TuoteID]],ohjaus!$A$4:$B$20,2,FALSE)</f>
        <v>Pinnatuoli</v>
      </c>
    </row>
    <row r="4844" spans="1:8" x14ac:dyDescent="0.35">
      <c r="A4844" t="s">
        <v>37</v>
      </c>
      <c r="B4844">
        <v>2017</v>
      </c>
      <c r="C4844">
        <v>12</v>
      </c>
      <c r="D4844">
        <v>23600</v>
      </c>
      <c r="E4844">
        <v>493</v>
      </c>
      <c r="F4844">
        <v>52476.62</v>
      </c>
      <c r="G4844">
        <v>14179.45</v>
      </c>
      <c r="H4844" t="str">
        <f>VLOOKUP(myynnit[[#This Row],[TuoteID]],ohjaus!$A$4:$B$20,2,FALSE)</f>
        <v>Pinnatuoli</v>
      </c>
    </row>
    <row r="4845" spans="1:8" x14ac:dyDescent="0.35">
      <c r="A4845" t="s">
        <v>37</v>
      </c>
      <c r="B4845">
        <v>2017</v>
      </c>
      <c r="C4845">
        <v>12</v>
      </c>
      <c r="D4845">
        <v>23756</v>
      </c>
      <c r="E4845">
        <v>95</v>
      </c>
      <c r="F4845">
        <v>20345.84</v>
      </c>
      <c r="G4845">
        <v>9034.8700000000008</v>
      </c>
      <c r="H4845" t="str">
        <f>VLOOKUP(myynnit[[#This Row],[TuoteID]],ohjaus!$A$4:$B$20,2,FALSE)</f>
        <v>Pianotuoli</v>
      </c>
    </row>
    <row r="4846" spans="1:8" x14ac:dyDescent="0.35">
      <c r="A4846" t="s">
        <v>37</v>
      </c>
      <c r="B4846">
        <v>2017</v>
      </c>
      <c r="C4846">
        <v>12</v>
      </c>
      <c r="D4846">
        <v>24326</v>
      </c>
      <c r="E4846">
        <v>112</v>
      </c>
      <c r="F4846">
        <v>17054.71</v>
      </c>
      <c r="G4846">
        <v>4343.8</v>
      </c>
      <c r="H4846" t="str">
        <f>VLOOKUP(myynnit[[#This Row],[TuoteID]],ohjaus!$A$4:$B$20,2,FALSE)</f>
        <v>Lepotuoli</v>
      </c>
    </row>
    <row r="4847" spans="1:8" x14ac:dyDescent="0.35">
      <c r="A4847" t="s">
        <v>40</v>
      </c>
      <c r="B4847">
        <v>2017</v>
      </c>
      <c r="C4847">
        <v>12</v>
      </c>
      <c r="D4847">
        <v>12184</v>
      </c>
      <c r="E4847">
        <v>23</v>
      </c>
      <c r="F4847">
        <v>2278.96</v>
      </c>
      <c r="G4847">
        <v>1224.7</v>
      </c>
      <c r="H4847" t="str">
        <f>VLOOKUP(myynnit[[#This Row],[TuoteID]],ohjaus!$A$4:$B$20,2,FALSE)</f>
        <v>Rahi</v>
      </c>
    </row>
    <row r="4848" spans="1:8" x14ac:dyDescent="0.35">
      <c r="A4848" t="s">
        <v>40</v>
      </c>
      <c r="B4848">
        <v>2017</v>
      </c>
      <c r="C4848">
        <v>12</v>
      </c>
      <c r="D4848">
        <v>12622</v>
      </c>
      <c r="E4848">
        <v>11</v>
      </c>
      <c r="F4848">
        <v>3036.28</v>
      </c>
      <c r="G4848">
        <v>1376.24</v>
      </c>
      <c r="H4848" t="str">
        <f>VLOOKUP(myynnit[[#This Row],[TuoteID]],ohjaus!$A$4:$B$20,2,FALSE)</f>
        <v>Pianotuoli</v>
      </c>
    </row>
    <row r="4849" spans="1:8" x14ac:dyDescent="0.35">
      <c r="A4849" t="s">
        <v>40</v>
      </c>
      <c r="B4849">
        <v>2017</v>
      </c>
      <c r="C4849">
        <v>12</v>
      </c>
      <c r="D4849">
        <v>13527</v>
      </c>
      <c r="E4849">
        <v>343</v>
      </c>
      <c r="F4849">
        <v>55412.62</v>
      </c>
      <c r="G4849">
        <v>10175.32</v>
      </c>
      <c r="H4849" t="str">
        <f>VLOOKUP(myynnit[[#This Row],[TuoteID]],ohjaus!$A$4:$B$20,2,FALSE)</f>
        <v>Pinnatuoli</v>
      </c>
    </row>
    <row r="4850" spans="1:8" x14ac:dyDescent="0.35">
      <c r="A4850" t="s">
        <v>40</v>
      </c>
      <c r="B4850">
        <v>2017</v>
      </c>
      <c r="C4850">
        <v>12</v>
      </c>
      <c r="D4850">
        <v>13618</v>
      </c>
      <c r="E4850">
        <v>7</v>
      </c>
      <c r="F4850">
        <v>2287.59</v>
      </c>
      <c r="G4850">
        <v>880.23</v>
      </c>
      <c r="H4850" t="str">
        <f>VLOOKUP(myynnit[[#This Row],[TuoteID]],ohjaus!$A$4:$B$20,2,FALSE)</f>
        <v>Pianotuoli</v>
      </c>
    </row>
    <row r="4851" spans="1:8" x14ac:dyDescent="0.35">
      <c r="A4851" t="s">
        <v>40</v>
      </c>
      <c r="B4851">
        <v>2017</v>
      </c>
      <c r="C4851">
        <v>12</v>
      </c>
      <c r="D4851">
        <v>16024</v>
      </c>
      <c r="E4851">
        <v>198</v>
      </c>
      <c r="F4851">
        <v>83127.75</v>
      </c>
      <c r="G4851">
        <v>22171.200000000001</v>
      </c>
      <c r="H4851" t="str">
        <f>VLOOKUP(myynnit[[#This Row],[TuoteID]],ohjaus!$A$4:$B$20,2,FALSE)</f>
        <v>Työtuoli</v>
      </c>
    </row>
    <row r="4852" spans="1:8" x14ac:dyDescent="0.35">
      <c r="A4852" t="s">
        <v>40</v>
      </c>
      <c r="B4852">
        <v>2017</v>
      </c>
      <c r="C4852">
        <v>12</v>
      </c>
      <c r="D4852">
        <v>16650</v>
      </c>
      <c r="E4852">
        <v>15</v>
      </c>
      <c r="F4852">
        <v>2267.08</v>
      </c>
      <c r="G4852">
        <v>1359.68</v>
      </c>
      <c r="H4852" t="str">
        <f>VLOOKUP(myynnit[[#This Row],[TuoteID]],ohjaus!$A$4:$B$20,2,FALSE)</f>
        <v>Rahi</v>
      </c>
    </row>
    <row r="4853" spans="1:8" x14ac:dyDescent="0.35">
      <c r="A4853" t="s">
        <v>40</v>
      </c>
      <c r="B4853">
        <v>2017</v>
      </c>
      <c r="C4853">
        <v>12</v>
      </c>
      <c r="D4853">
        <v>17892</v>
      </c>
      <c r="E4853">
        <v>75</v>
      </c>
      <c r="F4853">
        <v>9493.11</v>
      </c>
      <c r="G4853">
        <v>1999.94</v>
      </c>
      <c r="H4853" t="str">
        <f>VLOOKUP(myynnit[[#This Row],[TuoteID]],ohjaus!$A$4:$B$20,2,FALSE)</f>
        <v>Lepotuoli</v>
      </c>
    </row>
    <row r="4854" spans="1:8" x14ac:dyDescent="0.35">
      <c r="A4854" t="s">
        <v>40</v>
      </c>
      <c r="B4854">
        <v>2017</v>
      </c>
      <c r="C4854">
        <v>12</v>
      </c>
      <c r="D4854">
        <v>18342</v>
      </c>
      <c r="E4854">
        <v>23</v>
      </c>
      <c r="F4854">
        <v>17630.23</v>
      </c>
      <c r="G4854">
        <v>5629.63</v>
      </c>
      <c r="H4854" t="str">
        <f>VLOOKUP(myynnit[[#This Row],[TuoteID]],ohjaus!$A$4:$B$20,2,FALSE)</f>
        <v>Työtuoli</v>
      </c>
    </row>
    <row r="4855" spans="1:8" x14ac:dyDescent="0.35">
      <c r="A4855" t="s">
        <v>40</v>
      </c>
      <c r="B4855">
        <v>2017</v>
      </c>
      <c r="C4855">
        <v>12</v>
      </c>
      <c r="D4855">
        <v>20177</v>
      </c>
      <c r="E4855">
        <v>14</v>
      </c>
      <c r="F4855">
        <v>1438.81</v>
      </c>
      <c r="G4855">
        <v>527.57000000000005</v>
      </c>
      <c r="H4855" t="str">
        <f>VLOOKUP(myynnit[[#This Row],[TuoteID]],ohjaus!$A$4:$B$20,2,FALSE)</f>
        <v>Säkkituoli</v>
      </c>
    </row>
    <row r="4856" spans="1:8" x14ac:dyDescent="0.35">
      <c r="A4856" t="s">
        <v>40</v>
      </c>
      <c r="B4856">
        <v>2017</v>
      </c>
      <c r="C4856">
        <v>12</v>
      </c>
      <c r="D4856">
        <v>21179</v>
      </c>
      <c r="E4856">
        <v>22</v>
      </c>
      <c r="F4856">
        <v>2630.47</v>
      </c>
      <c r="G4856">
        <v>1555.85</v>
      </c>
      <c r="H4856" t="str">
        <f>VLOOKUP(myynnit[[#This Row],[TuoteID]],ohjaus!$A$4:$B$20,2,FALSE)</f>
        <v>Rahi</v>
      </c>
    </row>
    <row r="4857" spans="1:8" x14ac:dyDescent="0.35">
      <c r="A4857" t="s">
        <v>40</v>
      </c>
      <c r="B4857">
        <v>2017</v>
      </c>
      <c r="C4857">
        <v>12</v>
      </c>
      <c r="D4857">
        <v>21260</v>
      </c>
      <c r="E4857">
        <v>29</v>
      </c>
      <c r="F4857">
        <v>5368.33</v>
      </c>
      <c r="G4857">
        <v>1157.5</v>
      </c>
      <c r="H4857" t="str">
        <f>VLOOKUP(myynnit[[#This Row],[TuoteID]],ohjaus!$A$4:$B$20,2,FALSE)</f>
        <v>Lepotuoli</v>
      </c>
    </row>
    <row r="4858" spans="1:8" x14ac:dyDescent="0.35">
      <c r="A4858" t="s">
        <v>40</v>
      </c>
      <c r="B4858">
        <v>2017</v>
      </c>
      <c r="C4858">
        <v>12</v>
      </c>
      <c r="D4858">
        <v>22317</v>
      </c>
      <c r="E4858">
        <v>9</v>
      </c>
      <c r="F4858">
        <v>903.47</v>
      </c>
      <c r="G4858">
        <v>468.99</v>
      </c>
      <c r="H4858" t="str">
        <f>VLOOKUP(myynnit[[#This Row],[TuoteID]],ohjaus!$A$4:$B$20,2,FALSE)</f>
        <v>Säkkituoli</v>
      </c>
    </row>
    <row r="4859" spans="1:8" x14ac:dyDescent="0.35">
      <c r="A4859" t="s">
        <v>40</v>
      </c>
      <c r="B4859">
        <v>2017</v>
      </c>
      <c r="C4859">
        <v>12</v>
      </c>
      <c r="D4859">
        <v>22940</v>
      </c>
      <c r="E4859">
        <v>155</v>
      </c>
      <c r="F4859">
        <v>22430.13</v>
      </c>
      <c r="G4859">
        <v>5070.59</v>
      </c>
      <c r="H4859" t="str">
        <f>VLOOKUP(myynnit[[#This Row],[TuoteID]],ohjaus!$A$4:$B$20,2,FALSE)</f>
        <v>Pinnatuoli</v>
      </c>
    </row>
    <row r="4860" spans="1:8" x14ac:dyDescent="0.35">
      <c r="A4860" t="s">
        <v>40</v>
      </c>
      <c r="B4860">
        <v>2017</v>
      </c>
      <c r="C4860">
        <v>12</v>
      </c>
      <c r="D4860">
        <v>23178</v>
      </c>
      <c r="E4860">
        <v>206</v>
      </c>
      <c r="F4860">
        <v>34118.019999999997</v>
      </c>
      <c r="G4860">
        <v>8838.34</v>
      </c>
      <c r="H4860" t="str">
        <f>VLOOKUP(myynnit[[#This Row],[TuoteID]],ohjaus!$A$4:$B$20,2,FALSE)</f>
        <v>Pinnatuoli</v>
      </c>
    </row>
    <row r="4861" spans="1:8" x14ac:dyDescent="0.35">
      <c r="A4861" t="s">
        <v>40</v>
      </c>
      <c r="B4861">
        <v>2017</v>
      </c>
      <c r="C4861">
        <v>12</v>
      </c>
      <c r="D4861">
        <v>23600</v>
      </c>
      <c r="E4861">
        <v>621</v>
      </c>
      <c r="F4861">
        <v>71046.45</v>
      </c>
      <c r="G4861">
        <v>21483.72</v>
      </c>
      <c r="H4861" t="str">
        <f>VLOOKUP(myynnit[[#This Row],[TuoteID]],ohjaus!$A$4:$B$20,2,FALSE)</f>
        <v>Pinnatuoli</v>
      </c>
    </row>
    <row r="4862" spans="1:8" x14ac:dyDescent="0.35">
      <c r="A4862" t="s">
        <v>40</v>
      </c>
      <c r="B4862">
        <v>2017</v>
      </c>
      <c r="C4862">
        <v>12</v>
      </c>
      <c r="D4862">
        <v>23756</v>
      </c>
      <c r="E4862">
        <v>81</v>
      </c>
      <c r="F4862">
        <v>15199.31</v>
      </c>
      <c r="G4862">
        <v>7446.82</v>
      </c>
      <c r="H4862" t="str">
        <f>VLOOKUP(myynnit[[#This Row],[TuoteID]],ohjaus!$A$4:$B$20,2,FALSE)</f>
        <v>Pianotuoli</v>
      </c>
    </row>
    <row r="4863" spans="1:8" x14ac:dyDescent="0.35">
      <c r="A4863" t="s">
        <v>40</v>
      </c>
      <c r="B4863">
        <v>2017</v>
      </c>
      <c r="C4863">
        <v>12</v>
      </c>
      <c r="D4863">
        <v>24326</v>
      </c>
      <c r="E4863">
        <v>24</v>
      </c>
      <c r="F4863">
        <v>3573.29</v>
      </c>
      <c r="G4863">
        <v>944.24</v>
      </c>
      <c r="H4863" t="str">
        <f>VLOOKUP(myynnit[[#This Row],[TuoteID]],ohjaus!$A$4:$B$20,2,FALSE)</f>
        <v>Lepotuoli</v>
      </c>
    </row>
    <row r="4864" spans="1:8" x14ac:dyDescent="0.35">
      <c r="A4864" t="s">
        <v>39</v>
      </c>
      <c r="B4864">
        <v>2017</v>
      </c>
      <c r="C4864">
        <v>12</v>
      </c>
      <c r="D4864">
        <v>12184</v>
      </c>
      <c r="E4864">
        <v>62</v>
      </c>
      <c r="F4864">
        <v>7910.97</v>
      </c>
      <c r="G4864">
        <v>6004.31</v>
      </c>
      <c r="H4864" t="str">
        <f>VLOOKUP(myynnit[[#This Row],[TuoteID]],ohjaus!$A$4:$B$20,2,FALSE)</f>
        <v>Rahi</v>
      </c>
    </row>
    <row r="4865" spans="1:8" x14ac:dyDescent="0.35">
      <c r="A4865" t="s">
        <v>39</v>
      </c>
      <c r="B4865">
        <v>2017</v>
      </c>
      <c r="C4865">
        <v>12</v>
      </c>
      <c r="D4865">
        <v>12622</v>
      </c>
      <c r="E4865">
        <v>40</v>
      </c>
      <c r="F4865">
        <v>9676.4599999999991</v>
      </c>
      <c r="G4865">
        <v>5935.74</v>
      </c>
      <c r="H4865" t="str">
        <f>VLOOKUP(myynnit[[#This Row],[TuoteID]],ohjaus!$A$4:$B$20,2,FALSE)</f>
        <v>Pianotuoli</v>
      </c>
    </row>
    <row r="4866" spans="1:8" x14ac:dyDescent="0.35">
      <c r="A4866" t="s">
        <v>39</v>
      </c>
      <c r="B4866">
        <v>2017</v>
      </c>
      <c r="C4866">
        <v>12</v>
      </c>
      <c r="D4866">
        <v>13527</v>
      </c>
      <c r="E4866">
        <v>179</v>
      </c>
      <c r="F4866">
        <v>27180.51</v>
      </c>
      <c r="G4866">
        <v>6085.03</v>
      </c>
      <c r="H4866" t="str">
        <f>VLOOKUP(myynnit[[#This Row],[TuoteID]],ohjaus!$A$4:$B$20,2,FALSE)</f>
        <v>Pinnatuoli</v>
      </c>
    </row>
    <row r="4867" spans="1:8" x14ac:dyDescent="0.35">
      <c r="A4867" t="s">
        <v>39</v>
      </c>
      <c r="B4867">
        <v>2017</v>
      </c>
      <c r="C4867">
        <v>12</v>
      </c>
      <c r="D4867">
        <v>13618</v>
      </c>
      <c r="E4867">
        <v>18</v>
      </c>
      <c r="F4867">
        <v>6128.32</v>
      </c>
      <c r="G4867">
        <v>3690.68</v>
      </c>
      <c r="H4867" t="str">
        <f>VLOOKUP(myynnit[[#This Row],[TuoteID]],ohjaus!$A$4:$B$20,2,FALSE)</f>
        <v>Pianotuoli</v>
      </c>
    </row>
    <row r="4868" spans="1:8" x14ac:dyDescent="0.35">
      <c r="A4868" t="s">
        <v>39</v>
      </c>
      <c r="B4868">
        <v>2017</v>
      </c>
      <c r="C4868">
        <v>12</v>
      </c>
      <c r="D4868">
        <v>16024</v>
      </c>
      <c r="E4868">
        <v>168</v>
      </c>
      <c r="F4868">
        <v>79903.78</v>
      </c>
      <c r="G4868">
        <v>26164.33</v>
      </c>
      <c r="H4868" t="str">
        <f>VLOOKUP(myynnit[[#This Row],[TuoteID]],ohjaus!$A$4:$B$20,2,FALSE)</f>
        <v>Työtuoli</v>
      </c>
    </row>
    <row r="4869" spans="1:8" x14ac:dyDescent="0.35">
      <c r="A4869" t="s">
        <v>39</v>
      </c>
      <c r="B4869">
        <v>2017</v>
      </c>
      <c r="C4869">
        <v>12</v>
      </c>
      <c r="D4869">
        <v>16650</v>
      </c>
      <c r="E4869">
        <v>46</v>
      </c>
      <c r="F4869">
        <v>7482.62</v>
      </c>
      <c r="G4869">
        <v>5062.49</v>
      </c>
      <c r="H4869" t="str">
        <f>VLOOKUP(myynnit[[#This Row],[TuoteID]],ohjaus!$A$4:$B$20,2,FALSE)</f>
        <v>Rahi</v>
      </c>
    </row>
    <row r="4870" spans="1:8" x14ac:dyDescent="0.35">
      <c r="A4870" t="s">
        <v>39</v>
      </c>
      <c r="B4870">
        <v>2017</v>
      </c>
      <c r="C4870">
        <v>12</v>
      </c>
      <c r="D4870">
        <v>17892</v>
      </c>
      <c r="E4870">
        <v>79</v>
      </c>
      <c r="F4870">
        <v>12314.26</v>
      </c>
      <c r="G4870">
        <v>4173.8500000000004</v>
      </c>
      <c r="H4870" t="str">
        <f>VLOOKUP(myynnit[[#This Row],[TuoteID]],ohjaus!$A$4:$B$20,2,FALSE)</f>
        <v>Lepotuoli</v>
      </c>
    </row>
    <row r="4871" spans="1:8" x14ac:dyDescent="0.35">
      <c r="A4871" t="s">
        <v>39</v>
      </c>
      <c r="B4871">
        <v>2017</v>
      </c>
      <c r="C4871">
        <v>12</v>
      </c>
      <c r="D4871">
        <v>18342</v>
      </c>
      <c r="E4871">
        <v>102</v>
      </c>
      <c r="F4871">
        <v>87167.52</v>
      </c>
      <c r="G4871">
        <v>29140.09</v>
      </c>
      <c r="H4871" t="str">
        <f>VLOOKUP(myynnit[[#This Row],[TuoteID]],ohjaus!$A$4:$B$20,2,FALSE)</f>
        <v>Työtuoli</v>
      </c>
    </row>
    <row r="4872" spans="1:8" x14ac:dyDescent="0.35">
      <c r="A4872" t="s">
        <v>39</v>
      </c>
      <c r="B4872">
        <v>2017</v>
      </c>
      <c r="C4872">
        <v>12</v>
      </c>
      <c r="D4872">
        <v>20177</v>
      </c>
      <c r="E4872">
        <v>39</v>
      </c>
      <c r="F4872">
        <v>4369.28</v>
      </c>
      <c r="G4872">
        <v>2135.2600000000002</v>
      </c>
      <c r="H4872" t="str">
        <f>VLOOKUP(myynnit[[#This Row],[TuoteID]],ohjaus!$A$4:$B$20,2,FALSE)</f>
        <v>Säkkituoli</v>
      </c>
    </row>
    <row r="4873" spans="1:8" x14ac:dyDescent="0.35">
      <c r="A4873" t="s">
        <v>39</v>
      </c>
      <c r="B4873">
        <v>2017</v>
      </c>
      <c r="C4873">
        <v>12</v>
      </c>
      <c r="D4873">
        <v>21179</v>
      </c>
      <c r="E4873">
        <v>60</v>
      </c>
      <c r="F4873">
        <v>7941.21</v>
      </c>
      <c r="G4873">
        <v>5305.02</v>
      </c>
      <c r="H4873" t="str">
        <f>VLOOKUP(myynnit[[#This Row],[TuoteID]],ohjaus!$A$4:$B$20,2,FALSE)</f>
        <v>Rahi</v>
      </c>
    </row>
    <row r="4874" spans="1:8" x14ac:dyDescent="0.35">
      <c r="A4874" t="s">
        <v>39</v>
      </c>
      <c r="B4874">
        <v>2017</v>
      </c>
      <c r="C4874">
        <v>12</v>
      </c>
      <c r="D4874">
        <v>21260</v>
      </c>
      <c r="E4874">
        <v>30</v>
      </c>
      <c r="F4874">
        <v>6000.96</v>
      </c>
      <c r="G4874">
        <v>1563.46</v>
      </c>
      <c r="H4874" t="str">
        <f>VLOOKUP(myynnit[[#This Row],[TuoteID]],ohjaus!$A$4:$B$20,2,FALSE)</f>
        <v>Lepotuoli</v>
      </c>
    </row>
    <row r="4875" spans="1:8" x14ac:dyDescent="0.35">
      <c r="A4875" t="s">
        <v>39</v>
      </c>
      <c r="B4875">
        <v>2017</v>
      </c>
      <c r="C4875">
        <v>12</v>
      </c>
      <c r="D4875">
        <v>22317</v>
      </c>
      <c r="E4875">
        <v>51</v>
      </c>
      <c r="F4875">
        <v>4395.25</v>
      </c>
      <c r="G4875">
        <v>2167.0500000000002</v>
      </c>
      <c r="H4875" t="str">
        <f>VLOOKUP(myynnit[[#This Row],[TuoteID]],ohjaus!$A$4:$B$20,2,FALSE)</f>
        <v>Säkkituoli</v>
      </c>
    </row>
    <row r="4876" spans="1:8" x14ac:dyDescent="0.35">
      <c r="A4876" t="s">
        <v>39</v>
      </c>
      <c r="B4876">
        <v>2017</v>
      </c>
      <c r="C4876">
        <v>12</v>
      </c>
      <c r="D4876">
        <v>22940</v>
      </c>
      <c r="E4876">
        <v>603</v>
      </c>
      <c r="F4876">
        <v>83419.100000000006</v>
      </c>
      <c r="G4876">
        <v>17888.3</v>
      </c>
      <c r="H4876" t="str">
        <f>VLOOKUP(myynnit[[#This Row],[TuoteID]],ohjaus!$A$4:$B$20,2,FALSE)</f>
        <v>Pinnatuoli</v>
      </c>
    </row>
    <row r="4877" spans="1:8" x14ac:dyDescent="0.35">
      <c r="A4877" t="s">
        <v>39</v>
      </c>
      <c r="B4877">
        <v>2017</v>
      </c>
      <c r="C4877">
        <v>12</v>
      </c>
      <c r="D4877">
        <v>23178</v>
      </c>
      <c r="E4877">
        <v>170</v>
      </c>
      <c r="F4877">
        <v>32864.35</v>
      </c>
      <c r="G4877">
        <v>7647.89</v>
      </c>
      <c r="H4877" t="str">
        <f>VLOOKUP(myynnit[[#This Row],[TuoteID]],ohjaus!$A$4:$B$20,2,FALSE)</f>
        <v>Pinnatuoli</v>
      </c>
    </row>
    <row r="4878" spans="1:8" x14ac:dyDescent="0.35">
      <c r="A4878" t="s">
        <v>39</v>
      </c>
      <c r="B4878">
        <v>2017</v>
      </c>
      <c r="C4878">
        <v>12</v>
      </c>
      <c r="D4878">
        <v>23600</v>
      </c>
      <c r="E4878">
        <v>483</v>
      </c>
      <c r="F4878">
        <v>57900.84</v>
      </c>
      <c r="G4878">
        <v>19030.98</v>
      </c>
      <c r="H4878" t="str">
        <f>VLOOKUP(myynnit[[#This Row],[TuoteID]],ohjaus!$A$4:$B$20,2,FALSE)</f>
        <v>Pinnatuoli</v>
      </c>
    </row>
    <row r="4879" spans="1:8" x14ac:dyDescent="0.35">
      <c r="A4879" t="s">
        <v>39</v>
      </c>
      <c r="B4879">
        <v>2017</v>
      </c>
      <c r="C4879">
        <v>12</v>
      </c>
      <c r="D4879">
        <v>23756</v>
      </c>
      <c r="E4879">
        <v>131</v>
      </c>
      <c r="F4879">
        <v>20742.34</v>
      </c>
      <c r="G4879">
        <v>11230.39</v>
      </c>
      <c r="H4879" t="str">
        <f>VLOOKUP(myynnit[[#This Row],[TuoteID]],ohjaus!$A$4:$B$20,2,FALSE)</f>
        <v>Pianotuoli</v>
      </c>
    </row>
    <row r="4880" spans="1:8" x14ac:dyDescent="0.35">
      <c r="A4880" t="s">
        <v>39</v>
      </c>
      <c r="B4880">
        <v>2017</v>
      </c>
      <c r="C4880">
        <v>12</v>
      </c>
      <c r="D4880">
        <v>24326</v>
      </c>
      <c r="E4880">
        <v>127</v>
      </c>
      <c r="F4880">
        <v>19845.72</v>
      </c>
      <c r="G4880">
        <v>5645.77</v>
      </c>
      <c r="H4880" t="str">
        <f>VLOOKUP(myynnit[[#This Row],[TuoteID]],ohjaus!$A$4:$B$20,2,FALSE)</f>
        <v>Lepotuoli</v>
      </c>
    </row>
    <row r="4881" spans="1:8" x14ac:dyDescent="0.35">
      <c r="A4881" t="s">
        <v>38</v>
      </c>
      <c r="B4881">
        <v>2017</v>
      </c>
      <c r="C4881">
        <v>12</v>
      </c>
      <c r="D4881">
        <v>12184</v>
      </c>
      <c r="E4881">
        <v>35</v>
      </c>
      <c r="F4881">
        <v>5055.3599999999997</v>
      </c>
      <c r="G4881">
        <v>2993.89</v>
      </c>
      <c r="H4881" t="str">
        <f>VLOOKUP(myynnit[[#This Row],[TuoteID]],ohjaus!$A$4:$B$20,2,FALSE)</f>
        <v>Rahi</v>
      </c>
    </row>
    <row r="4882" spans="1:8" x14ac:dyDescent="0.35">
      <c r="A4882" t="s">
        <v>38</v>
      </c>
      <c r="B4882">
        <v>2017</v>
      </c>
      <c r="C4882">
        <v>12</v>
      </c>
      <c r="D4882">
        <v>12622</v>
      </c>
      <c r="E4882">
        <v>67</v>
      </c>
      <c r="F4882">
        <v>20219.29</v>
      </c>
      <c r="G4882">
        <v>10234.700000000001</v>
      </c>
      <c r="H4882" t="str">
        <f>VLOOKUP(myynnit[[#This Row],[TuoteID]],ohjaus!$A$4:$B$20,2,FALSE)</f>
        <v>Pianotuoli</v>
      </c>
    </row>
    <row r="4883" spans="1:8" x14ac:dyDescent="0.35">
      <c r="A4883" t="s">
        <v>38</v>
      </c>
      <c r="B4883">
        <v>2017</v>
      </c>
      <c r="C4883">
        <v>12</v>
      </c>
      <c r="D4883">
        <v>13527</v>
      </c>
      <c r="E4883">
        <v>643</v>
      </c>
      <c r="F4883">
        <v>99006.57</v>
      </c>
      <c r="G4883">
        <v>20121.34</v>
      </c>
      <c r="H4883" t="str">
        <f>VLOOKUP(myynnit[[#This Row],[TuoteID]],ohjaus!$A$4:$B$20,2,FALSE)</f>
        <v>Pinnatuoli</v>
      </c>
    </row>
    <row r="4884" spans="1:8" x14ac:dyDescent="0.35">
      <c r="A4884" t="s">
        <v>38</v>
      </c>
      <c r="B4884">
        <v>2017</v>
      </c>
      <c r="C4884">
        <v>12</v>
      </c>
      <c r="D4884">
        <v>13618</v>
      </c>
      <c r="E4884">
        <v>10</v>
      </c>
      <c r="F4884">
        <v>3928.29</v>
      </c>
      <c r="G4884">
        <v>1892.87</v>
      </c>
      <c r="H4884" t="str">
        <f>VLOOKUP(myynnit[[#This Row],[TuoteID]],ohjaus!$A$4:$B$20,2,FALSE)</f>
        <v>Pianotuoli</v>
      </c>
    </row>
    <row r="4885" spans="1:8" x14ac:dyDescent="0.35">
      <c r="A4885" t="s">
        <v>38</v>
      </c>
      <c r="B4885">
        <v>2017</v>
      </c>
      <c r="C4885">
        <v>12</v>
      </c>
      <c r="D4885">
        <v>16024</v>
      </c>
      <c r="E4885">
        <v>228</v>
      </c>
      <c r="F4885">
        <v>97200.16</v>
      </c>
      <c r="G4885">
        <v>22392.83</v>
      </c>
      <c r="H4885" t="str">
        <f>VLOOKUP(myynnit[[#This Row],[TuoteID]],ohjaus!$A$4:$B$20,2,FALSE)</f>
        <v>Työtuoli</v>
      </c>
    </row>
    <row r="4886" spans="1:8" x14ac:dyDescent="0.35">
      <c r="A4886" t="s">
        <v>38</v>
      </c>
      <c r="B4886">
        <v>2017</v>
      </c>
      <c r="C4886">
        <v>12</v>
      </c>
      <c r="D4886">
        <v>16650</v>
      </c>
      <c r="E4886">
        <v>51</v>
      </c>
      <c r="F4886">
        <v>8805.2099999999991</v>
      </c>
      <c r="G4886">
        <v>4600.01</v>
      </c>
      <c r="H4886" t="str">
        <f>VLOOKUP(myynnit[[#This Row],[TuoteID]],ohjaus!$A$4:$B$20,2,FALSE)</f>
        <v>Rahi</v>
      </c>
    </row>
    <row r="4887" spans="1:8" x14ac:dyDescent="0.35">
      <c r="A4887" t="s">
        <v>38</v>
      </c>
      <c r="B4887">
        <v>2017</v>
      </c>
      <c r="C4887">
        <v>12</v>
      </c>
      <c r="D4887">
        <v>17892</v>
      </c>
      <c r="E4887">
        <v>74</v>
      </c>
      <c r="F4887">
        <v>9760.64</v>
      </c>
      <c r="G4887">
        <v>2251.16</v>
      </c>
      <c r="H4887" t="str">
        <f>VLOOKUP(myynnit[[#This Row],[TuoteID]],ohjaus!$A$4:$B$20,2,FALSE)</f>
        <v>Lepotuoli</v>
      </c>
    </row>
    <row r="4888" spans="1:8" x14ac:dyDescent="0.35">
      <c r="A4888" t="s">
        <v>38</v>
      </c>
      <c r="B4888">
        <v>2017</v>
      </c>
      <c r="C4888">
        <v>12</v>
      </c>
      <c r="D4888">
        <v>18342</v>
      </c>
      <c r="E4888">
        <v>85</v>
      </c>
      <c r="F4888">
        <v>63995.56</v>
      </c>
      <c r="G4888">
        <v>17684.810000000001</v>
      </c>
      <c r="H4888" t="str">
        <f>VLOOKUP(myynnit[[#This Row],[TuoteID]],ohjaus!$A$4:$B$20,2,FALSE)</f>
        <v>Työtuoli</v>
      </c>
    </row>
    <row r="4889" spans="1:8" x14ac:dyDescent="0.35">
      <c r="A4889" t="s">
        <v>38</v>
      </c>
      <c r="B4889">
        <v>2017</v>
      </c>
      <c r="C4889">
        <v>12</v>
      </c>
      <c r="D4889">
        <v>20177</v>
      </c>
      <c r="E4889">
        <v>80</v>
      </c>
      <c r="F4889">
        <v>8136.53</v>
      </c>
      <c r="G4889">
        <v>2735.11</v>
      </c>
      <c r="H4889" t="str">
        <f>VLOOKUP(myynnit[[#This Row],[TuoteID]],ohjaus!$A$4:$B$20,2,FALSE)</f>
        <v>Säkkituoli</v>
      </c>
    </row>
    <row r="4890" spans="1:8" x14ac:dyDescent="0.35">
      <c r="A4890" t="s">
        <v>38</v>
      </c>
      <c r="B4890">
        <v>2017</v>
      </c>
      <c r="C4890">
        <v>12</v>
      </c>
      <c r="D4890">
        <v>21179</v>
      </c>
      <c r="E4890">
        <v>24</v>
      </c>
      <c r="F4890">
        <v>2576.27</v>
      </c>
      <c r="G4890">
        <v>1694.02</v>
      </c>
      <c r="H4890" t="str">
        <f>VLOOKUP(myynnit[[#This Row],[TuoteID]],ohjaus!$A$4:$B$20,2,FALSE)</f>
        <v>Rahi</v>
      </c>
    </row>
    <row r="4891" spans="1:8" x14ac:dyDescent="0.35">
      <c r="A4891" t="s">
        <v>38</v>
      </c>
      <c r="B4891">
        <v>2017</v>
      </c>
      <c r="C4891">
        <v>12</v>
      </c>
      <c r="D4891">
        <v>21260</v>
      </c>
      <c r="E4891">
        <v>63</v>
      </c>
      <c r="F4891">
        <v>12823.47</v>
      </c>
      <c r="G4891">
        <v>3653.83</v>
      </c>
      <c r="H4891" t="str">
        <f>VLOOKUP(myynnit[[#This Row],[TuoteID]],ohjaus!$A$4:$B$20,2,FALSE)</f>
        <v>Lepotuoli</v>
      </c>
    </row>
    <row r="4892" spans="1:8" x14ac:dyDescent="0.35">
      <c r="A4892" t="s">
        <v>38</v>
      </c>
      <c r="B4892">
        <v>2017</v>
      </c>
      <c r="C4892">
        <v>12</v>
      </c>
      <c r="D4892">
        <v>22317</v>
      </c>
      <c r="E4892">
        <v>47</v>
      </c>
      <c r="F4892">
        <v>4440.99</v>
      </c>
      <c r="G4892">
        <v>1637.02</v>
      </c>
      <c r="H4892" t="str">
        <f>VLOOKUP(myynnit[[#This Row],[TuoteID]],ohjaus!$A$4:$B$20,2,FALSE)</f>
        <v>Säkkituoli</v>
      </c>
    </row>
    <row r="4893" spans="1:8" x14ac:dyDescent="0.35">
      <c r="A4893" t="s">
        <v>38</v>
      </c>
      <c r="B4893">
        <v>2017</v>
      </c>
      <c r="C4893">
        <v>12</v>
      </c>
      <c r="D4893">
        <v>22940</v>
      </c>
      <c r="E4893">
        <v>274</v>
      </c>
      <c r="F4893">
        <v>34466.57</v>
      </c>
      <c r="G4893">
        <v>7891.85</v>
      </c>
      <c r="H4893" t="str">
        <f>VLOOKUP(myynnit[[#This Row],[TuoteID]],ohjaus!$A$4:$B$20,2,FALSE)</f>
        <v>Pinnatuoli</v>
      </c>
    </row>
    <row r="4894" spans="1:8" x14ac:dyDescent="0.35">
      <c r="A4894" t="s">
        <v>38</v>
      </c>
      <c r="B4894">
        <v>2017</v>
      </c>
      <c r="C4894">
        <v>12</v>
      </c>
      <c r="D4894">
        <v>23178</v>
      </c>
      <c r="E4894">
        <v>202</v>
      </c>
      <c r="F4894">
        <v>36981.449999999997</v>
      </c>
      <c r="G4894">
        <v>6915.74</v>
      </c>
      <c r="H4894" t="str">
        <f>VLOOKUP(myynnit[[#This Row],[TuoteID]],ohjaus!$A$4:$B$20,2,FALSE)</f>
        <v>Pinnatuoli</v>
      </c>
    </row>
    <row r="4895" spans="1:8" x14ac:dyDescent="0.35">
      <c r="A4895" t="s">
        <v>38</v>
      </c>
      <c r="B4895">
        <v>2017</v>
      </c>
      <c r="C4895">
        <v>12</v>
      </c>
      <c r="D4895">
        <v>23600</v>
      </c>
      <c r="E4895">
        <v>1215</v>
      </c>
      <c r="F4895">
        <v>140414.9</v>
      </c>
      <c r="G4895">
        <v>34077.81</v>
      </c>
      <c r="H4895" t="str">
        <f>VLOOKUP(myynnit[[#This Row],[TuoteID]],ohjaus!$A$4:$B$20,2,FALSE)</f>
        <v>Pinnatuoli</v>
      </c>
    </row>
    <row r="4896" spans="1:8" x14ac:dyDescent="0.35">
      <c r="A4896" t="s">
        <v>38</v>
      </c>
      <c r="B4896">
        <v>2017</v>
      </c>
      <c r="C4896">
        <v>12</v>
      </c>
      <c r="D4896">
        <v>23756</v>
      </c>
      <c r="E4896">
        <v>123</v>
      </c>
      <c r="F4896">
        <v>25546.79</v>
      </c>
      <c r="G4896">
        <v>11847.68</v>
      </c>
      <c r="H4896" t="str">
        <f>VLOOKUP(myynnit[[#This Row],[TuoteID]],ohjaus!$A$4:$B$20,2,FALSE)</f>
        <v>Pianotuoli</v>
      </c>
    </row>
    <row r="4897" spans="1:8" x14ac:dyDescent="0.35">
      <c r="A4897" t="s">
        <v>38</v>
      </c>
      <c r="B4897">
        <v>2017</v>
      </c>
      <c r="C4897">
        <v>12</v>
      </c>
      <c r="D4897">
        <v>24326</v>
      </c>
      <c r="E4897">
        <v>83</v>
      </c>
      <c r="F4897">
        <v>12668.55</v>
      </c>
      <c r="G4897">
        <v>3597.46</v>
      </c>
      <c r="H4897" t="str">
        <f>VLOOKUP(myynnit[[#This Row],[TuoteID]],ohjaus!$A$4:$B$20,2,FALSE)</f>
        <v>Lepotuoli</v>
      </c>
    </row>
    <row r="4898" spans="1:8" x14ac:dyDescent="0.35">
      <c r="A4898" t="s">
        <v>37</v>
      </c>
      <c r="B4898">
        <v>2018</v>
      </c>
      <c r="C4898">
        <v>1</v>
      </c>
      <c r="D4898">
        <v>12184</v>
      </c>
      <c r="E4898">
        <v>101</v>
      </c>
      <c r="F4898">
        <v>10702.54</v>
      </c>
      <c r="G4898">
        <v>5410.15</v>
      </c>
      <c r="H4898" t="str">
        <f>VLOOKUP(myynnit[[#This Row],[TuoteID]],ohjaus!$A$4:$B$20,2,FALSE)</f>
        <v>Rahi</v>
      </c>
    </row>
    <row r="4899" spans="1:8" x14ac:dyDescent="0.35">
      <c r="A4899" t="s">
        <v>37</v>
      </c>
      <c r="B4899">
        <v>2018</v>
      </c>
      <c r="C4899">
        <v>1</v>
      </c>
      <c r="D4899">
        <v>12622</v>
      </c>
      <c r="E4899">
        <v>34</v>
      </c>
      <c r="F4899">
        <v>8617.75</v>
      </c>
      <c r="G4899">
        <v>3907.5</v>
      </c>
      <c r="H4899" t="str">
        <f>VLOOKUP(myynnit[[#This Row],[TuoteID]],ohjaus!$A$4:$B$20,2,FALSE)</f>
        <v>Pianotuoli</v>
      </c>
    </row>
    <row r="4900" spans="1:8" x14ac:dyDescent="0.35">
      <c r="A4900" t="s">
        <v>37</v>
      </c>
      <c r="B4900">
        <v>2018</v>
      </c>
      <c r="C4900">
        <v>1</v>
      </c>
      <c r="D4900">
        <v>13527</v>
      </c>
      <c r="E4900">
        <v>785</v>
      </c>
      <c r="F4900">
        <v>123124.25</v>
      </c>
      <c r="G4900">
        <v>23876.880000000001</v>
      </c>
      <c r="H4900" t="str">
        <f>VLOOKUP(myynnit[[#This Row],[TuoteID]],ohjaus!$A$4:$B$20,2,FALSE)</f>
        <v>Pinnatuoli</v>
      </c>
    </row>
    <row r="4901" spans="1:8" x14ac:dyDescent="0.35">
      <c r="A4901" t="s">
        <v>37</v>
      </c>
      <c r="B4901">
        <v>2018</v>
      </c>
      <c r="C4901">
        <v>1</v>
      </c>
      <c r="D4901">
        <v>13618</v>
      </c>
      <c r="E4901">
        <v>23</v>
      </c>
      <c r="F4901">
        <v>9764.3700000000008</v>
      </c>
      <c r="G4901">
        <v>4439.3100000000004</v>
      </c>
      <c r="H4901" t="str">
        <f>VLOOKUP(myynnit[[#This Row],[TuoteID]],ohjaus!$A$4:$B$20,2,FALSE)</f>
        <v>Pianotuoli</v>
      </c>
    </row>
    <row r="4902" spans="1:8" x14ac:dyDescent="0.35">
      <c r="A4902" t="s">
        <v>37</v>
      </c>
      <c r="B4902">
        <v>2018</v>
      </c>
      <c r="C4902">
        <v>1</v>
      </c>
      <c r="D4902">
        <v>16024</v>
      </c>
      <c r="E4902">
        <v>324</v>
      </c>
      <c r="F4902">
        <v>125437.42</v>
      </c>
      <c r="G4902">
        <v>37340.080000000002</v>
      </c>
      <c r="H4902" t="str">
        <f>VLOOKUP(myynnit[[#This Row],[TuoteID]],ohjaus!$A$4:$B$20,2,FALSE)</f>
        <v>Työtuoli</v>
      </c>
    </row>
    <row r="4903" spans="1:8" x14ac:dyDescent="0.35">
      <c r="A4903" t="s">
        <v>37</v>
      </c>
      <c r="B4903">
        <v>2018</v>
      </c>
      <c r="C4903">
        <v>1</v>
      </c>
      <c r="D4903">
        <v>16650</v>
      </c>
      <c r="E4903">
        <v>37</v>
      </c>
      <c r="F4903">
        <v>6549.01</v>
      </c>
      <c r="G4903">
        <v>2897.2</v>
      </c>
      <c r="H4903" t="str">
        <f>VLOOKUP(myynnit[[#This Row],[TuoteID]],ohjaus!$A$4:$B$20,2,FALSE)</f>
        <v>Rahi</v>
      </c>
    </row>
    <row r="4904" spans="1:8" x14ac:dyDescent="0.35">
      <c r="A4904" t="s">
        <v>37</v>
      </c>
      <c r="B4904">
        <v>2018</v>
      </c>
      <c r="C4904">
        <v>1</v>
      </c>
      <c r="D4904">
        <v>17892</v>
      </c>
      <c r="E4904">
        <v>172</v>
      </c>
      <c r="F4904">
        <v>23028.639999999999</v>
      </c>
      <c r="G4904">
        <v>6535.58</v>
      </c>
      <c r="H4904" t="str">
        <f>VLOOKUP(myynnit[[#This Row],[TuoteID]],ohjaus!$A$4:$B$20,2,FALSE)</f>
        <v>Lepotuoli</v>
      </c>
    </row>
    <row r="4905" spans="1:8" x14ac:dyDescent="0.35">
      <c r="A4905" t="s">
        <v>37</v>
      </c>
      <c r="B4905">
        <v>2018</v>
      </c>
      <c r="C4905">
        <v>1</v>
      </c>
      <c r="D4905">
        <v>18342</v>
      </c>
      <c r="E4905">
        <v>121</v>
      </c>
      <c r="F4905">
        <v>113242.45</v>
      </c>
      <c r="G4905">
        <v>33210.69</v>
      </c>
      <c r="H4905" t="str">
        <f>VLOOKUP(myynnit[[#This Row],[TuoteID]],ohjaus!$A$4:$B$20,2,FALSE)</f>
        <v>Työtuoli</v>
      </c>
    </row>
    <row r="4906" spans="1:8" x14ac:dyDescent="0.35">
      <c r="A4906" t="s">
        <v>37</v>
      </c>
      <c r="B4906">
        <v>2018</v>
      </c>
      <c r="C4906">
        <v>1</v>
      </c>
      <c r="D4906">
        <v>20177</v>
      </c>
      <c r="E4906">
        <v>88</v>
      </c>
      <c r="F4906">
        <v>9940.76</v>
      </c>
      <c r="G4906">
        <v>3996.69</v>
      </c>
      <c r="H4906" t="str">
        <f>VLOOKUP(myynnit[[#This Row],[TuoteID]],ohjaus!$A$4:$B$20,2,FALSE)</f>
        <v>Säkkituoli</v>
      </c>
    </row>
    <row r="4907" spans="1:8" x14ac:dyDescent="0.35">
      <c r="A4907" t="s">
        <v>37</v>
      </c>
      <c r="B4907">
        <v>2018</v>
      </c>
      <c r="C4907">
        <v>1</v>
      </c>
      <c r="D4907">
        <v>21179</v>
      </c>
      <c r="E4907">
        <v>38</v>
      </c>
      <c r="F4907">
        <v>4533.88</v>
      </c>
      <c r="G4907">
        <v>2427.21</v>
      </c>
      <c r="H4907" t="str">
        <f>VLOOKUP(myynnit[[#This Row],[TuoteID]],ohjaus!$A$4:$B$20,2,FALSE)</f>
        <v>Rahi</v>
      </c>
    </row>
    <row r="4908" spans="1:8" x14ac:dyDescent="0.35">
      <c r="A4908" t="s">
        <v>37</v>
      </c>
      <c r="B4908">
        <v>2018</v>
      </c>
      <c r="C4908">
        <v>1</v>
      </c>
      <c r="D4908">
        <v>21260</v>
      </c>
      <c r="E4908">
        <v>45</v>
      </c>
      <c r="F4908">
        <v>8901.0400000000009</v>
      </c>
      <c r="G4908">
        <v>2917.65</v>
      </c>
      <c r="H4908" t="str">
        <f>VLOOKUP(myynnit[[#This Row],[TuoteID]],ohjaus!$A$4:$B$20,2,FALSE)</f>
        <v>Lepotuoli</v>
      </c>
    </row>
    <row r="4909" spans="1:8" x14ac:dyDescent="0.35">
      <c r="A4909" t="s">
        <v>37</v>
      </c>
      <c r="B4909">
        <v>2018</v>
      </c>
      <c r="C4909">
        <v>1</v>
      </c>
      <c r="D4909">
        <v>22317</v>
      </c>
      <c r="E4909">
        <v>86</v>
      </c>
      <c r="F4909">
        <v>7987.61</v>
      </c>
      <c r="G4909">
        <v>3108.15</v>
      </c>
      <c r="H4909" t="str">
        <f>VLOOKUP(myynnit[[#This Row],[TuoteID]],ohjaus!$A$4:$B$20,2,FALSE)</f>
        <v>Säkkituoli</v>
      </c>
    </row>
    <row r="4910" spans="1:8" x14ac:dyDescent="0.35">
      <c r="A4910" t="s">
        <v>37</v>
      </c>
      <c r="B4910">
        <v>2018</v>
      </c>
      <c r="C4910">
        <v>1</v>
      </c>
      <c r="D4910">
        <v>22940</v>
      </c>
      <c r="E4910">
        <v>624</v>
      </c>
      <c r="F4910">
        <v>73775.520000000004</v>
      </c>
      <c r="G4910">
        <v>13524.27</v>
      </c>
      <c r="H4910" t="str">
        <f>VLOOKUP(myynnit[[#This Row],[TuoteID]],ohjaus!$A$4:$B$20,2,FALSE)</f>
        <v>Pinnatuoli</v>
      </c>
    </row>
    <row r="4911" spans="1:8" x14ac:dyDescent="0.35">
      <c r="A4911" t="s">
        <v>37</v>
      </c>
      <c r="B4911">
        <v>2018</v>
      </c>
      <c r="C4911">
        <v>1</v>
      </c>
      <c r="D4911">
        <v>23178</v>
      </c>
      <c r="E4911">
        <v>482</v>
      </c>
      <c r="F4911">
        <v>77380.149999999994</v>
      </c>
      <c r="G4911">
        <v>13874.78</v>
      </c>
      <c r="H4911" t="str">
        <f>VLOOKUP(myynnit[[#This Row],[TuoteID]],ohjaus!$A$4:$B$20,2,FALSE)</f>
        <v>Pinnatuoli</v>
      </c>
    </row>
    <row r="4912" spans="1:8" x14ac:dyDescent="0.35">
      <c r="A4912" t="s">
        <v>37</v>
      </c>
      <c r="B4912">
        <v>2018</v>
      </c>
      <c r="C4912">
        <v>1</v>
      </c>
      <c r="D4912">
        <v>23600</v>
      </c>
      <c r="E4912">
        <v>500</v>
      </c>
      <c r="F4912">
        <v>57329.65</v>
      </c>
      <c r="G4912">
        <v>11748.68</v>
      </c>
      <c r="H4912" t="str">
        <f>VLOOKUP(myynnit[[#This Row],[TuoteID]],ohjaus!$A$4:$B$20,2,FALSE)</f>
        <v>Pinnatuoli</v>
      </c>
    </row>
    <row r="4913" spans="1:8" x14ac:dyDescent="0.35">
      <c r="A4913" t="s">
        <v>37</v>
      </c>
      <c r="B4913">
        <v>2018</v>
      </c>
      <c r="C4913">
        <v>1</v>
      </c>
      <c r="D4913">
        <v>23756</v>
      </c>
      <c r="E4913">
        <v>114</v>
      </c>
      <c r="F4913">
        <v>17624.04</v>
      </c>
      <c r="G4913">
        <v>8612.56</v>
      </c>
      <c r="H4913" t="str">
        <f>VLOOKUP(myynnit[[#This Row],[TuoteID]],ohjaus!$A$4:$B$20,2,FALSE)</f>
        <v>Pianotuoli</v>
      </c>
    </row>
    <row r="4914" spans="1:8" x14ac:dyDescent="0.35">
      <c r="A4914" t="s">
        <v>37</v>
      </c>
      <c r="B4914">
        <v>2018</v>
      </c>
      <c r="C4914">
        <v>1</v>
      </c>
      <c r="D4914">
        <v>24326</v>
      </c>
      <c r="E4914">
        <v>159</v>
      </c>
      <c r="F4914">
        <v>22134.39</v>
      </c>
      <c r="G4914">
        <v>6311.76</v>
      </c>
      <c r="H4914" t="str">
        <f>VLOOKUP(myynnit[[#This Row],[TuoteID]],ohjaus!$A$4:$B$20,2,FALSE)</f>
        <v>Lepotuoli</v>
      </c>
    </row>
    <row r="4915" spans="1:8" x14ac:dyDescent="0.35">
      <c r="A4915" t="s">
        <v>40</v>
      </c>
      <c r="B4915">
        <v>2018</v>
      </c>
      <c r="C4915">
        <v>1</v>
      </c>
      <c r="D4915">
        <v>12184</v>
      </c>
      <c r="E4915">
        <v>15</v>
      </c>
      <c r="F4915">
        <v>1754.61</v>
      </c>
      <c r="G4915">
        <v>835.68</v>
      </c>
      <c r="H4915" t="str">
        <f>VLOOKUP(myynnit[[#This Row],[TuoteID]],ohjaus!$A$4:$B$20,2,FALSE)</f>
        <v>Rahi</v>
      </c>
    </row>
    <row r="4916" spans="1:8" x14ac:dyDescent="0.35">
      <c r="A4916" t="s">
        <v>40</v>
      </c>
      <c r="B4916">
        <v>2018</v>
      </c>
      <c r="C4916">
        <v>1</v>
      </c>
      <c r="D4916">
        <v>12622</v>
      </c>
      <c r="E4916">
        <v>19</v>
      </c>
      <c r="F4916">
        <v>5373.41</v>
      </c>
      <c r="G4916">
        <v>2216.91</v>
      </c>
      <c r="H4916" t="str">
        <f>VLOOKUP(myynnit[[#This Row],[TuoteID]],ohjaus!$A$4:$B$20,2,FALSE)</f>
        <v>Pianotuoli</v>
      </c>
    </row>
    <row r="4917" spans="1:8" x14ac:dyDescent="0.35">
      <c r="A4917" t="s">
        <v>40</v>
      </c>
      <c r="B4917">
        <v>2018</v>
      </c>
      <c r="C4917">
        <v>1</v>
      </c>
      <c r="D4917">
        <v>13527</v>
      </c>
      <c r="E4917">
        <v>219</v>
      </c>
      <c r="F4917">
        <v>35245.21</v>
      </c>
      <c r="G4917">
        <v>6092.75</v>
      </c>
      <c r="H4917" t="str">
        <f>VLOOKUP(myynnit[[#This Row],[TuoteID]],ohjaus!$A$4:$B$20,2,FALSE)</f>
        <v>Pinnatuoli</v>
      </c>
    </row>
    <row r="4918" spans="1:8" x14ac:dyDescent="0.35">
      <c r="A4918" t="s">
        <v>40</v>
      </c>
      <c r="B4918">
        <v>2018</v>
      </c>
      <c r="C4918">
        <v>1</v>
      </c>
      <c r="D4918">
        <v>13618</v>
      </c>
      <c r="E4918">
        <v>4</v>
      </c>
      <c r="F4918">
        <v>1280.3599999999999</v>
      </c>
      <c r="G4918">
        <v>511.98</v>
      </c>
      <c r="H4918" t="str">
        <f>VLOOKUP(myynnit[[#This Row],[TuoteID]],ohjaus!$A$4:$B$20,2,FALSE)</f>
        <v>Pianotuoli</v>
      </c>
    </row>
    <row r="4919" spans="1:8" x14ac:dyDescent="0.35">
      <c r="A4919" t="s">
        <v>40</v>
      </c>
      <c r="B4919">
        <v>2018</v>
      </c>
      <c r="C4919">
        <v>1</v>
      </c>
      <c r="D4919">
        <v>16024</v>
      </c>
      <c r="E4919">
        <v>226</v>
      </c>
      <c r="F4919">
        <v>101392.82</v>
      </c>
      <c r="G4919">
        <v>31374.45</v>
      </c>
      <c r="H4919" t="str">
        <f>VLOOKUP(myynnit[[#This Row],[TuoteID]],ohjaus!$A$4:$B$20,2,FALSE)</f>
        <v>Työtuoli</v>
      </c>
    </row>
    <row r="4920" spans="1:8" x14ac:dyDescent="0.35">
      <c r="A4920" t="s">
        <v>40</v>
      </c>
      <c r="B4920">
        <v>2018</v>
      </c>
      <c r="C4920">
        <v>1</v>
      </c>
      <c r="D4920">
        <v>16650</v>
      </c>
      <c r="E4920">
        <v>34</v>
      </c>
      <c r="F4920">
        <v>6201.94</v>
      </c>
      <c r="G4920">
        <v>3577.2</v>
      </c>
      <c r="H4920" t="str">
        <f>VLOOKUP(myynnit[[#This Row],[TuoteID]],ohjaus!$A$4:$B$20,2,FALSE)</f>
        <v>Rahi</v>
      </c>
    </row>
    <row r="4921" spans="1:8" x14ac:dyDescent="0.35">
      <c r="A4921" t="s">
        <v>40</v>
      </c>
      <c r="B4921">
        <v>2018</v>
      </c>
      <c r="C4921">
        <v>1</v>
      </c>
      <c r="D4921">
        <v>17892</v>
      </c>
      <c r="E4921">
        <v>86</v>
      </c>
      <c r="F4921">
        <v>12588.38</v>
      </c>
      <c r="G4921">
        <v>2731.01</v>
      </c>
      <c r="H4921" t="str">
        <f>VLOOKUP(myynnit[[#This Row],[TuoteID]],ohjaus!$A$4:$B$20,2,FALSE)</f>
        <v>Lepotuoli</v>
      </c>
    </row>
    <row r="4922" spans="1:8" x14ac:dyDescent="0.35">
      <c r="A4922" t="s">
        <v>40</v>
      </c>
      <c r="B4922">
        <v>2018</v>
      </c>
      <c r="C4922">
        <v>1</v>
      </c>
      <c r="D4922">
        <v>18342</v>
      </c>
      <c r="E4922">
        <v>18</v>
      </c>
      <c r="F4922">
        <v>15074.46</v>
      </c>
      <c r="G4922">
        <v>4682.57</v>
      </c>
      <c r="H4922" t="str">
        <f>VLOOKUP(myynnit[[#This Row],[TuoteID]],ohjaus!$A$4:$B$20,2,FALSE)</f>
        <v>Työtuoli</v>
      </c>
    </row>
    <row r="4923" spans="1:8" x14ac:dyDescent="0.35">
      <c r="A4923" t="s">
        <v>40</v>
      </c>
      <c r="B4923">
        <v>2018</v>
      </c>
      <c r="C4923">
        <v>1</v>
      </c>
      <c r="D4923">
        <v>20177</v>
      </c>
      <c r="E4923">
        <v>34</v>
      </c>
      <c r="F4923">
        <v>3921.2</v>
      </c>
      <c r="G4923">
        <v>1386.74</v>
      </c>
      <c r="H4923" t="str">
        <f>VLOOKUP(myynnit[[#This Row],[TuoteID]],ohjaus!$A$4:$B$20,2,FALSE)</f>
        <v>Säkkituoli</v>
      </c>
    </row>
    <row r="4924" spans="1:8" x14ac:dyDescent="0.35">
      <c r="A4924" t="s">
        <v>40</v>
      </c>
      <c r="B4924">
        <v>2018</v>
      </c>
      <c r="C4924">
        <v>1</v>
      </c>
      <c r="D4924">
        <v>21179</v>
      </c>
      <c r="E4924">
        <v>44</v>
      </c>
      <c r="F4924">
        <v>5496.91</v>
      </c>
      <c r="G4924">
        <v>2883.52</v>
      </c>
      <c r="H4924" t="str">
        <f>VLOOKUP(myynnit[[#This Row],[TuoteID]],ohjaus!$A$4:$B$20,2,FALSE)</f>
        <v>Rahi</v>
      </c>
    </row>
    <row r="4925" spans="1:8" x14ac:dyDescent="0.35">
      <c r="A4925" t="s">
        <v>40</v>
      </c>
      <c r="B4925">
        <v>2018</v>
      </c>
      <c r="C4925">
        <v>1</v>
      </c>
      <c r="D4925">
        <v>21260</v>
      </c>
      <c r="E4925">
        <v>62</v>
      </c>
      <c r="F4925">
        <v>12010.27</v>
      </c>
      <c r="G4925">
        <v>2968.79</v>
      </c>
      <c r="H4925" t="str">
        <f>VLOOKUP(myynnit[[#This Row],[TuoteID]],ohjaus!$A$4:$B$20,2,FALSE)</f>
        <v>Lepotuoli</v>
      </c>
    </row>
    <row r="4926" spans="1:8" x14ac:dyDescent="0.35">
      <c r="A4926" t="s">
        <v>40</v>
      </c>
      <c r="B4926">
        <v>2018</v>
      </c>
      <c r="C4926">
        <v>1</v>
      </c>
      <c r="D4926">
        <v>22317</v>
      </c>
      <c r="E4926">
        <v>12</v>
      </c>
      <c r="F4926">
        <v>992.89</v>
      </c>
      <c r="G4926">
        <v>435.29</v>
      </c>
      <c r="H4926" t="str">
        <f>VLOOKUP(myynnit[[#This Row],[TuoteID]],ohjaus!$A$4:$B$20,2,FALSE)</f>
        <v>Säkkituoli</v>
      </c>
    </row>
    <row r="4927" spans="1:8" x14ac:dyDescent="0.35">
      <c r="A4927" t="s">
        <v>40</v>
      </c>
      <c r="B4927">
        <v>2018</v>
      </c>
      <c r="C4927">
        <v>1</v>
      </c>
      <c r="D4927">
        <v>22940</v>
      </c>
      <c r="E4927">
        <v>95</v>
      </c>
      <c r="F4927">
        <v>13666.15</v>
      </c>
      <c r="G4927">
        <v>3232.11</v>
      </c>
      <c r="H4927" t="str">
        <f>VLOOKUP(myynnit[[#This Row],[TuoteID]],ohjaus!$A$4:$B$20,2,FALSE)</f>
        <v>Pinnatuoli</v>
      </c>
    </row>
    <row r="4928" spans="1:8" x14ac:dyDescent="0.35">
      <c r="A4928" t="s">
        <v>40</v>
      </c>
      <c r="B4928">
        <v>2018</v>
      </c>
      <c r="C4928">
        <v>1</v>
      </c>
      <c r="D4928">
        <v>23178</v>
      </c>
      <c r="E4928">
        <v>188</v>
      </c>
      <c r="F4928">
        <v>30494.05</v>
      </c>
      <c r="G4928">
        <v>6710.03</v>
      </c>
      <c r="H4928" t="str">
        <f>VLOOKUP(myynnit[[#This Row],[TuoteID]],ohjaus!$A$4:$B$20,2,FALSE)</f>
        <v>Pinnatuoli</v>
      </c>
    </row>
    <row r="4929" spans="1:8" x14ac:dyDescent="0.35">
      <c r="A4929" t="s">
        <v>40</v>
      </c>
      <c r="B4929">
        <v>2018</v>
      </c>
      <c r="C4929">
        <v>1</v>
      </c>
      <c r="D4929">
        <v>23600</v>
      </c>
      <c r="E4929">
        <v>572</v>
      </c>
      <c r="F4929">
        <v>58541.74</v>
      </c>
      <c r="G4929">
        <v>16432.73</v>
      </c>
      <c r="H4929" t="str">
        <f>VLOOKUP(myynnit[[#This Row],[TuoteID]],ohjaus!$A$4:$B$20,2,FALSE)</f>
        <v>Pinnatuoli</v>
      </c>
    </row>
    <row r="4930" spans="1:8" x14ac:dyDescent="0.35">
      <c r="A4930" t="s">
        <v>40</v>
      </c>
      <c r="B4930">
        <v>2018</v>
      </c>
      <c r="C4930">
        <v>1</v>
      </c>
      <c r="D4930">
        <v>23756</v>
      </c>
      <c r="E4930">
        <v>72</v>
      </c>
      <c r="F4930">
        <v>12210.62</v>
      </c>
      <c r="G4930">
        <v>4839.8500000000004</v>
      </c>
      <c r="H4930" t="str">
        <f>VLOOKUP(myynnit[[#This Row],[TuoteID]],ohjaus!$A$4:$B$20,2,FALSE)</f>
        <v>Pianotuoli</v>
      </c>
    </row>
    <row r="4931" spans="1:8" x14ac:dyDescent="0.35">
      <c r="A4931" t="s">
        <v>40</v>
      </c>
      <c r="B4931">
        <v>2018</v>
      </c>
      <c r="C4931">
        <v>1</v>
      </c>
      <c r="D4931">
        <v>24326</v>
      </c>
      <c r="E4931">
        <v>41</v>
      </c>
      <c r="F4931">
        <v>6199.92</v>
      </c>
      <c r="G4931">
        <v>1959.02</v>
      </c>
      <c r="H4931" t="str">
        <f>VLOOKUP(myynnit[[#This Row],[TuoteID]],ohjaus!$A$4:$B$20,2,FALSE)</f>
        <v>Lepotuoli</v>
      </c>
    </row>
    <row r="4932" spans="1:8" x14ac:dyDescent="0.35">
      <c r="A4932" t="s">
        <v>39</v>
      </c>
      <c r="B4932">
        <v>2018</v>
      </c>
      <c r="C4932">
        <v>1</v>
      </c>
      <c r="D4932">
        <v>12184</v>
      </c>
      <c r="E4932">
        <v>61</v>
      </c>
      <c r="F4932">
        <v>7319.56</v>
      </c>
      <c r="G4932">
        <v>5356.46</v>
      </c>
      <c r="H4932" t="str">
        <f>VLOOKUP(myynnit[[#This Row],[TuoteID]],ohjaus!$A$4:$B$20,2,FALSE)</f>
        <v>Rahi</v>
      </c>
    </row>
    <row r="4933" spans="1:8" x14ac:dyDescent="0.35">
      <c r="A4933" t="s">
        <v>39</v>
      </c>
      <c r="B4933">
        <v>2018</v>
      </c>
      <c r="C4933">
        <v>1</v>
      </c>
      <c r="D4933">
        <v>12622</v>
      </c>
      <c r="E4933">
        <v>33</v>
      </c>
      <c r="F4933">
        <v>8225.34</v>
      </c>
      <c r="G4933">
        <v>4659.6899999999996</v>
      </c>
      <c r="H4933" t="str">
        <f>VLOOKUP(myynnit[[#This Row],[TuoteID]],ohjaus!$A$4:$B$20,2,FALSE)</f>
        <v>Pianotuoli</v>
      </c>
    </row>
    <row r="4934" spans="1:8" x14ac:dyDescent="0.35">
      <c r="A4934" t="s">
        <v>39</v>
      </c>
      <c r="B4934">
        <v>2018</v>
      </c>
      <c r="C4934">
        <v>1</v>
      </c>
      <c r="D4934">
        <v>13527</v>
      </c>
      <c r="E4934">
        <v>236</v>
      </c>
      <c r="F4934">
        <v>36585.78</v>
      </c>
      <c r="G4934">
        <v>7874.11</v>
      </c>
      <c r="H4934" t="str">
        <f>VLOOKUP(myynnit[[#This Row],[TuoteID]],ohjaus!$A$4:$B$20,2,FALSE)</f>
        <v>Pinnatuoli</v>
      </c>
    </row>
    <row r="4935" spans="1:8" x14ac:dyDescent="0.35">
      <c r="A4935" t="s">
        <v>39</v>
      </c>
      <c r="B4935">
        <v>2018</v>
      </c>
      <c r="C4935">
        <v>1</v>
      </c>
      <c r="D4935">
        <v>13618</v>
      </c>
      <c r="E4935">
        <v>22</v>
      </c>
      <c r="F4935">
        <v>7495.61</v>
      </c>
      <c r="G4935">
        <v>4146.33</v>
      </c>
      <c r="H4935" t="str">
        <f>VLOOKUP(myynnit[[#This Row],[TuoteID]],ohjaus!$A$4:$B$20,2,FALSE)</f>
        <v>Pianotuoli</v>
      </c>
    </row>
    <row r="4936" spans="1:8" x14ac:dyDescent="0.35">
      <c r="A4936" t="s">
        <v>39</v>
      </c>
      <c r="B4936">
        <v>2018</v>
      </c>
      <c r="C4936">
        <v>1</v>
      </c>
      <c r="D4936">
        <v>16024</v>
      </c>
      <c r="E4936">
        <v>131</v>
      </c>
      <c r="F4936">
        <v>55451.42</v>
      </c>
      <c r="G4936">
        <v>14265.01</v>
      </c>
      <c r="H4936" t="str">
        <f>VLOOKUP(myynnit[[#This Row],[TuoteID]],ohjaus!$A$4:$B$20,2,FALSE)</f>
        <v>Työtuoli</v>
      </c>
    </row>
    <row r="4937" spans="1:8" x14ac:dyDescent="0.35">
      <c r="A4937" t="s">
        <v>39</v>
      </c>
      <c r="B4937">
        <v>2018</v>
      </c>
      <c r="C4937">
        <v>1</v>
      </c>
      <c r="D4937">
        <v>16650</v>
      </c>
      <c r="E4937">
        <v>29</v>
      </c>
      <c r="F4937">
        <v>3733.63</v>
      </c>
      <c r="G4937">
        <v>2925.4</v>
      </c>
      <c r="H4937" t="str">
        <f>VLOOKUP(myynnit[[#This Row],[TuoteID]],ohjaus!$A$4:$B$20,2,FALSE)</f>
        <v>Rahi</v>
      </c>
    </row>
    <row r="4938" spans="1:8" x14ac:dyDescent="0.35">
      <c r="A4938" t="s">
        <v>39</v>
      </c>
      <c r="B4938">
        <v>2018</v>
      </c>
      <c r="C4938">
        <v>1</v>
      </c>
      <c r="D4938">
        <v>17892</v>
      </c>
      <c r="E4938">
        <v>126</v>
      </c>
      <c r="F4938">
        <v>18568.21</v>
      </c>
      <c r="G4938">
        <v>5905.31</v>
      </c>
      <c r="H4938" t="str">
        <f>VLOOKUP(myynnit[[#This Row],[TuoteID]],ohjaus!$A$4:$B$20,2,FALSE)</f>
        <v>Lepotuoli</v>
      </c>
    </row>
    <row r="4939" spans="1:8" x14ac:dyDescent="0.35">
      <c r="A4939" t="s">
        <v>39</v>
      </c>
      <c r="B4939">
        <v>2018</v>
      </c>
      <c r="C4939">
        <v>1</v>
      </c>
      <c r="D4939">
        <v>18342</v>
      </c>
      <c r="E4939">
        <v>68</v>
      </c>
      <c r="F4939">
        <v>57791.68</v>
      </c>
      <c r="G4939">
        <v>16471.37</v>
      </c>
      <c r="H4939" t="str">
        <f>VLOOKUP(myynnit[[#This Row],[TuoteID]],ohjaus!$A$4:$B$20,2,FALSE)</f>
        <v>Työtuoli</v>
      </c>
    </row>
    <row r="4940" spans="1:8" x14ac:dyDescent="0.35">
      <c r="A4940" t="s">
        <v>39</v>
      </c>
      <c r="B4940">
        <v>2018</v>
      </c>
      <c r="C4940">
        <v>1</v>
      </c>
      <c r="D4940">
        <v>20177</v>
      </c>
      <c r="E4940">
        <v>39</v>
      </c>
      <c r="F4940">
        <v>4049.64</v>
      </c>
      <c r="G4940">
        <v>1658.2</v>
      </c>
      <c r="H4940" t="str">
        <f>VLOOKUP(myynnit[[#This Row],[TuoteID]],ohjaus!$A$4:$B$20,2,FALSE)</f>
        <v>Säkkituoli</v>
      </c>
    </row>
    <row r="4941" spans="1:8" x14ac:dyDescent="0.35">
      <c r="A4941" t="s">
        <v>39</v>
      </c>
      <c r="B4941">
        <v>2018</v>
      </c>
      <c r="C4941">
        <v>1</v>
      </c>
      <c r="D4941">
        <v>21179</v>
      </c>
      <c r="E4941">
        <v>25</v>
      </c>
      <c r="F4941">
        <v>3389.21</v>
      </c>
      <c r="G4941">
        <v>2024.83</v>
      </c>
      <c r="H4941" t="str">
        <f>VLOOKUP(myynnit[[#This Row],[TuoteID]],ohjaus!$A$4:$B$20,2,FALSE)</f>
        <v>Rahi</v>
      </c>
    </row>
    <row r="4942" spans="1:8" x14ac:dyDescent="0.35">
      <c r="A4942" t="s">
        <v>39</v>
      </c>
      <c r="B4942">
        <v>2018</v>
      </c>
      <c r="C4942">
        <v>1</v>
      </c>
      <c r="D4942">
        <v>21260</v>
      </c>
      <c r="E4942">
        <v>66</v>
      </c>
      <c r="F4942">
        <v>12404</v>
      </c>
      <c r="G4942">
        <v>4211.59</v>
      </c>
      <c r="H4942" t="str">
        <f>VLOOKUP(myynnit[[#This Row],[TuoteID]],ohjaus!$A$4:$B$20,2,FALSE)</f>
        <v>Lepotuoli</v>
      </c>
    </row>
    <row r="4943" spans="1:8" x14ac:dyDescent="0.35">
      <c r="A4943" t="s">
        <v>39</v>
      </c>
      <c r="B4943">
        <v>2018</v>
      </c>
      <c r="C4943">
        <v>1</v>
      </c>
      <c r="D4943">
        <v>22317</v>
      </c>
      <c r="E4943">
        <v>36</v>
      </c>
      <c r="F4943">
        <v>2822.65</v>
      </c>
      <c r="G4943">
        <v>1262</v>
      </c>
      <c r="H4943" t="str">
        <f>VLOOKUP(myynnit[[#This Row],[TuoteID]],ohjaus!$A$4:$B$20,2,FALSE)</f>
        <v>Säkkituoli</v>
      </c>
    </row>
    <row r="4944" spans="1:8" x14ac:dyDescent="0.35">
      <c r="A4944" t="s">
        <v>39</v>
      </c>
      <c r="B4944">
        <v>2018</v>
      </c>
      <c r="C4944">
        <v>1</v>
      </c>
      <c r="D4944">
        <v>22940</v>
      </c>
      <c r="E4944">
        <v>605</v>
      </c>
      <c r="F4944">
        <v>83974.43</v>
      </c>
      <c r="G4944">
        <v>20288.29</v>
      </c>
      <c r="H4944" t="str">
        <f>VLOOKUP(myynnit[[#This Row],[TuoteID]],ohjaus!$A$4:$B$20,2,FALSE)</f>
        <v>Pinnatuoli</v>
      </c>
    </row>
    <row r="4945" spans="1:8" x14ac:dyDescent="0.35">
      <c r="A4945" t="s">
        <v>39</v>
      </c>
      <c r="B4945">
        <v>2018</v>
      </c>
      <c r="C4945">
        <v>1</v>
      </c>
      <c r="D4945">
        <v>23178</v>
      </c>
      <c r="E4945">
        <v>159</v>
      </c>
      <c r="F4945">
        <v>29954.41</v>
      </c>
      <c r="G4945">
        <v>7925.23</v>
      </c>
      <c r="H4945" t="str">
        <f>VLOOKUP(myynnit[[#This Row],[TuoteID]],ohjaus!$A$4:$B$20,2,FALSE)</f>
        <v>Pinnatuoli</v>
      </c>
    </row>
    <row r="4946" spans="1:8" x14ac:dyDescent="0.35">
      <c r="A4946" t="s">
        <v>39</v>
      </c>
      <c r="B4946">
        <v>2018</v>
      </c>
      <c r="C4946">
        <v>1</v>
      </c>
      <c r="D4946">
        <v>23600</v>
      </c>
      <c r="E4946">
        <v>543</v>
      </c>
      <c r="F4946">
        <v>60477</v>
      </c>
      <c r="G4946">
        <v>15916.11</v>
      </c>
      <c r="H4946" t="str">
        <f>VLOOKUP(myynnit[[#This Row],[TuoteID]],ohjaus!$A$4:$B$20,2,FALSE)</f>
        <v>Pinnatuoli</v>
      </c>
    </row>
    <row r="4947" spans="1:8" x14ac:dyDescent="0.35">
      <c r="A4947" t="s">
        <v>39</v>
      </c>
      <c r="B4947">
        <v>2018</v>
      </c>
      <c r="C4947">
        <v>1</v>
      </c>
      <c r="D4947">
        <v>23756</v>
      </c>
      <c r="E4947">
        <v>100</v>
      </c>
      <c r="F4947">
        <v>16946.64</v>
      </c>
      <c r="G4947">
        <v>10501.29</v>
      </c>
      <c r="H4947" t="str">
        <f>VLOOKUP(myynnit[[#This Row],[TuoteID]],ohjaus!$A$4:$B$20,2,FALSE)</f>
        <v>Pianotuoli</v>
      </c>
    </row>
    <row r="4948" spans="1:8" x14ac:dyDescent="0.35">
      <c r="A4948" t="s">
        <v>39</v>
      </c>
      <c r="B4948">
        <v>2018</v>
      </c>
      <c r="C4948">
        <v>1</v>
      </c>
      <c r="D4948">
        <v>24326</v>
      </c>
      <c r="E4948">
        <v>102</v>
      </c>
      <c r="F4948">
        <v>14104.39</v>
      </c>
      <c r="G4948">
        <v>4299.2299999999996</v>
      </c>
      <c r="H4948" t="str">
        <f>VLOOKUP(myynnit[[#This Row],[TuoteID]],ohjaus!$A$4:$B$20,2,FALSE)</f>
        <v>Lepotuoli</v>
      </c>
    </row>
    <row r="4949" spans="1:8" x14ac:dyDescent="0.35">
      <c r="A4949" t="s">
        <v>38</v>
      </c>
      <c r="B4949">
        <v>2018</v>
      </c>
      <c r="C4949">
        <v>1</v>
      </c>
      <c r="D4949">
        <v>12184</v>
      </c>
      <c r="E4949">
        <v>54</v>
      </c>
      <c r="F4949">
        <v>7924.19</v>
      </c>
      <c r="G4949">
        <v>4653.68</v>
      </c>
      <c r="H4949" t="str">
        <f>VLOOKUP(myynnit[[#This Row],[TuoteID]],ohjaus!$A$4:$B$20,2,FALSE)</f>
        <v>Rahi</v>
      </c>
    </row>
    <row r="4950" spans="1:8" x14ac:dyDescent="0.35">
      <c r="A4950" t="s">
        <v>38</v>
      </c>
      <c r="B4950">
        <v>2018</v>
      </c>
      <c r="C4950">
        <v>1</v>
      </c>
      <c r="D4950">
        <v>12622</v>
      </c>
      <c r="E4950">
        <v>63</v>
      </c>
      <c r="F4950">
        <v>14700.58</v>
      </c>
      <c r="G4950">
        <v>7800.19</v>
      </c>
      <c r="H4950" t="str">
        <f>VLOOKUP(myynnit[[#This Row],[TuoteID]],ohjaus!$A$4:$B$20,2,FALSE)</f>
        <v>Pianotuoli</v>
      </c>
    </row>
    <row r="4951" spans="1:8" x14ac:dyDescent="0.35">
      <c r="A4951" t="s">
        <v>38</v>
      </c>
      <c r="B4951">
        <v>2018</v>
      </c>
      <c r="C4951">
        <v>1</v>
      </c>
      <c r="D4951">
        <v>13527</v>
      </c>
      <c r="E4951">
        <v>566</v>
      </c>
      <c r="F4951">
        <v>93628.27</v>
      </c>
      <c r="G4951">
        <v>16868.95</v>
      </c>
      <c r="H4951" t="str">
        <f>VLOOKUP(myynnit[[#This Row],[TuoteID]],ohjaus!$A$4:$B$20,2,FALSE)</f>
        <v>Pinnatuoli</v>
      </c>
    </row>
    <row r="4952" spans="1:8" x14ac:dyDescent="0.35">
      <c r="A4952" t="s">
        <v>38</v>
      </c>
      <c r="B4952">
        <v>2018</v>
      </c>
      <c r="C4952">
        <v>1</v>
      </c>
      <c r="D4952">
        <v>13618</v>
      </c>
      <c r="E4952">
        <v>14</v>
      </c>
      <c r="F4952">
        <v>4482.45</v>
      </c>
      <c r="G4952">
        <v>1926.97</v>
      </c>
      <c r="H4952" t="str">
        <f>VLOOKUP(myynnit[[#This Row],[TuoteID]],ohjaus!$A$4:$B$20,2,FALSE)</f>
        <v>Pianotuoli</v>
      </c>
    </row>
    <row r="4953" spans="1:8" x14ac:dyDescent="0.35">
      <c r="A4953" t="s">
        <v>38</v>
      </c>
      <c r="B4953">
        <v>2018</v>
      </c>
      <c r="C4953">
        <v>1</v>
      </c>
      <c r="D4953">
        <v>16024</v>
      </c>
      <c r="E4953">
        <v>96</v>
      </c>
      <c r="F4953">
        <v>39527.35</v>
      </c>
      <c r="G4953">
        <v>9340.64</v>
      </c>
      <c r="H4953" t="str">
        <f>VLOOKUP(myynnit[[#This Row],[TuoteID]],ohjaus!$A$4:$B$20,2,FALSE)</f>
        <v>Työtuoli</v>
      </c>
    </row>
    <row r="4954" spans="1:8" x14ac:dyDescent="0.35">
      <c r="A4954" t="s">
        <v>38</v>
      </c>
      <c r="B4954">
        <v>2018</v>
      </c>
      <c r="C4954">
        <v>1</v>
      </c>
      <c r="D4954">
        <v>16650</v>
      </c>
      <c r="E4954">
        <v>63</v>
      </c>
      <c r="F4954">
        <v>10598.12</v>
      </c>
      <c r="G4954">
        <v>5325.62</v>
      </c>
      <c r="H4954" t="str">
        <f>VLOOKUP(myynnit[[#This Row],[TuoteID]],ohjaus!$A$4:$B$20,2,FALSE)</f>
        <v>Rahi</v>
      </c>
    </row>
    <row r="4955" spans="1:8" x14ac:dyDescent="0.35">
      <c r="A4955" t="s">
        <v>38</v>
      </c>
      <c r="B4955">
        <v>2018</v>
      </c>
      <c r="C4955">
        <v>1</v>
      </c>
      <c r="D4955">
        <v>17892</v>
      </c>
      <c r="E4955">
        <v>57</v>
      </c>
      <c r="F4955">
        <v>8439.91</v>
      </c>
      <c r="G4955">
        <v>2500.48</v>
      </c>
      <c r="H4955" t="str">
        <f>VLOOKUP(myynnit[[#This Row],[TuoteID]],ohjaus!$A$4:$B$20,2,FALSE)</f>
        <v>Lepotuoli</v>
      </c>
    </row>
    <row r="4956" spans="1:8" x14ac:dyDescent="0.35">
      <c r="A4956" t="s">
        <v>38</v>
      </c>
      <c r="B4956">
        <v>2018</v>
      </c>
      <c r="C4956">
        <v>1</v>
      </c>
      <c r="D4956">
        <v>18342</v>
      </c>
      <c r="E4956">
        <v>134</v>
      </c>
      <c r="F4956">
        <v>103856.13</v>
      </c>
      <c r="G4956">
        <v>24621.39</v>
      </c>
      <c r="H4956" t="str">
        <f>VLOOKUP(myynnit[[#This Row],[TuoteID]],ohjaus!$A$4:$B$20,2,FALSE)</f>
        <v>Työtuoli</v>
      </c>
    </row>
    <row r="4957" spans="1:8" x14ac:dyDescent="0.35">
      <c r="A4957" t="s">
        <v>38</v>
      </c>
      <c r="B4957">
        <v>2018</v>
      </c>
      <c r="C4957">
        <v>1</v>
      </c>
      <c r="D4957">
        <v>20177</v>
      </c>
      <c r="E4957">
        <v>84</v>
      </c>
      <c r="F4957">
        <v>8357.43</v>
      </c>
      <c r="G4957">
        <v>2877.78</v>
      </c>
      <c r="H4957" t="str">
        <f>VLOOKUP(myynnit[[#This Row],[TuoteID]],ohjaus!$A$4:$B$20,2,FALSE)</f>
        <v>Säkkituoli</v>
      </c>
    </row>
    <row r="4958" spans="1:8" x14ac:dyDescent="0.35">
      <c r="A4958" t="s">
        <v>38</v>
      </c>
      <c r="B4958">
        <v>2018</v>
      </c>
      <c r="C4958">
        <v>1</v>
      </c>
      <c r="D4958">
        <v>21179</v>
      </c>
      <c r="E4958">
        <v>41</v>
      </c>
      <c r="F4958">
        <v>5113.76</v>
      </c>
      <c r="G4958">
        <v>3279.9</v>
      </c>
      <c r="H4958" t="str">
        <f>VLOOKUP(myynnit[[#This Row],[TuoteID]],ohjaus!$A$4:$B$20,2,FALSE)</f>
        <v>Rahi</v>
      </c>
    </row>
    <row r="4959" spans="1:8" x14ac:dyDescent="0.35">
      <c r="A4959" t="s">
        <v>38</v>
      </c>
      <c r="B4959">
        <v>2018</v>
      </c>
      <c r="C4959">
        <v>1</v>
      </c>
      <c r="D4959">
        <v>21260</v>
      </c>
      <c r="E4959">
        <v>35</v>
      </c>
      <c r="F4959">
        <v>6637.49</v>
      </c>
      <c r="G4959">
        <v>1816.72</v>
      </c>
      <c r="H4959" t="str">
        <f>VLOOKUP(myynnit[[#This Row],[TuoteID]],ohjaus!$A$4:$B$20,2,FALSE)</f>
        <v>Lepotuoli</v>
      </c>
    </row>
    <row r="4960" spans="1:8" x14ac:dyDescent="0.35">
      <c r="A4960" t="s">
        <v>38</v>
      </c>
      <c r="B4960">
        <v>2018</v>
      </c>
      <c r="C4960">
        <v>1</v>
      </c>
      <c r="D4960">
        <v>22317</v>
      </c>
      <c r="E4960">
        <v>33</v>
      </c>
      <c r="F4960">
        <v>2940.34</v>
      </c>
      <c r="G4960">
        <v>1071.3599999999999</v>
      </c>
      <c r="H4960" t="str">
        <f>VLOOKUP(myynnit[[#This Row],[TuoteID]],ohjaus!$A$4:$B$20,2,FALSE)</f>
        <v>Säkkituoli</v>
      </c>
    </row>
    <row r="4961" spans="1:8" x14ac:dyDescent="0.35">
      <c r="A4961" t="s">
        <v>38</v>
      </c>
      <c r="B4961">
        <v>2018</v>
      </c>
      <c r="C4961">
        <v>1</v>
      </c>
      <c r="D4961">
        <v>22940</v>
      </c>
      <c r="E4961">
        <v>371</v>
      </c>
      <c r="F4961">
        <v>44092</v>
      </c>
      <c r="G4961">
        <v>10168.65</v>
      </c>
      <c r="H4961" t="str">
        <f>VLOOKUP(myynnit[[#This Row],[TuoteID]],ohjaus!$A$4:$B$20,2,FALSE)</f>
        <v>Pinnatuoli</v>
      </c>
    </row>
    <row r="4962" spans="1:8" x14ac:dyDescent="0.35">
      <c r="A4962" t="s">
        <v>38</v>
      </c>
      <c r="B4962">
        <v>2018</v>
      </c>
      <c r="C4962">
        <v>1</v>
      </c>
      <c r="D4962">
        <v>23178</v>
      </c>
      <c r="E4962">
        <v>148</v>
      </c>
      <c r="F4962">
        <v>23612.83</v>
      </c>
      <c r="G4962">
        <v>4624.26</v>
      </c>
      <c r="H4962" t="str">
        <f>VLOOKUP(myynnit[[#This Row],[TuoteID]],ohjaus!$A$4:$B$20,2,FALSE)</f>
        <v>Pinnatuoli</v>
      </c>
    </row>
    <row r="4963" spans="1:8" x14ac:dyDescent="0.35">
      <c r="A4963" t="s">
        <v>38</v>
      </c>
      <c r="B4963">
        <v>2018</v>
      </c>
      <c r="C4963">
        <v>1</v>
      </c>
      <c r="D4963">
        <v>23600</v>
      </c>
      <c r="E4963">
        <v>511</v>
      </c>
      <c r="F4963">
        <v>55363.91</v>
      </c>
      <c r="G4963">
        <v>15189.02</v>
      </c>
      <c r="H4963" t="str">
        <f>VLOOKUP(myynnit[[#This Row],[TuoteID]],ohjaus!$A$4:$B$20,2,FALSE)</f>
        <v>Pinnatuoli</v>
      </c>
    </row>
    <row r="4964" spans="1:8" x14ac:dyDescent="0.35">
      <c r="A4964" t="s">
        <v>38</v>
      </c>
      <c r="B4964">
        <v>2018</v>
      </c>
      <c r="C4964">
        <v>1</v>
      </c>
      <c r="D4964">
        <v>23756</v>
      </c>
      <c r="E4964">
        <v>82</v>
      </c>
      <c r="F4964">
        <v>13179.34</v>
      </c>
      <c r="G4964">
        <v>5488.84</v>
      </c>
      <c r="H4964" t="str">
        <f>VLOOKUP(myynnit[[#This Row],[TuoteID]],ohjaus!$A$4:$B$20,2,FALSE)</f>
        <v>Pianotuoli</v>
      </c>
    </row>
    <row r="4965" spans="1:8" x14ac:dyDescent="0.35">
      <c r="A4965" t="s">
        <v>38</v>
      </c>
      <c r="B4965">
        <v>2018</v>
      </c>
      <c r="C4965">
        <v>1</v>
      </c>
      <c r="D4965">
        <v>24326</v>
      </c>
      <c r="E4965">
        <v>124</v>
      </c>
      <c r="F4965">
        <v>17341.580000000002</v>
      </c>
      <c r="G4965">
        <v>4977.3100000000004</v>
      </c>
      <c r="H4965" t="str">
        <f>VLOOKUP(myynnit[[#This Row],[TuoteID]],ohjaus!$A$4:$B$20,2,FALSE)</f>
        <v>Lepotuoli</v>
      </c>
    </row>
    <row r="4966" spans="1:8" x14ac:dyDescent="0.35">
      <c r="A4966" t="s">
        <v>37</v>
      </c>
      <c r="B4966">
        <v>2018</v>
      </c>
      <c r="C4966">
        <v>2</v>
      </c>
      <c r="D4966">
        <v>12184</v>
      </c>
      <c r="E4966">
        <v>106</v>
      </c>
      <c r="F4966">
        <v>11240.21</v>
      </c>
      <c r="G4966">
        <v>4543.43</v>
      </c>
      <c r="H4966" t="str">
        <f>VLOOKUP(myynnit[[#This Row],[TuoteID]],ohjaus!$A$4:$B$20,2,FALSE)</f>
        <v>Rahi</v>
      </c>
    </row>
    <row r="4967" spans="1:8" x14ac:dyDescent="0.35">
      <c r="A4967" t="s">
        <v>37</v>
      </c>
      <c r="B4967">
        <v>2018</v>
      </c>
      <c r="C4967">
        <v>2</v>
      </c>
      <c r="D4967">
        <v>12622</v>
      </c>
      <c r="E4967">
        <v>35</v>
      </c>
      <c r="F4967">
        <v>8275.75</v>
      </c>
      <c r="G4967">
        <v>3334.29</v>
      </c>
      <c r="H4967" t="str">
        <f>VLOOKUP(myynnit[[#This Row],[TuoteID]],ohjaus!$A$4:$B$20,2,FALSE)</f>
        <v>Pianotuoli</v>
      </c>
    </row>
    <row r="4968" spans="1:8" x14ac:dyDescent="0.35">
      <c r="A4968" t="s">
        <v>37</v>
      </c>
      <c r="B4968">
        <v>2018</v>
      </c>
      <c r="C4968">
        <v>2</v>
      </c>
      <c r="D4968">
        <v>13527</v>
      </c>
      <c r="E4968">
        <v>410</v>
      </c>
      <c r="F4968">
        <v>65060.89</v>
      </c>
      <c r="G4968">
        <v>12376.32</v>
      </c>
      <c r="H4968" t="str">
        <f>VLOOKUP(myynnit[[#This Row],[TuoteID]],ohjaus!$A$4:$B$20,2,FALSE)</f>
        <v>Pinnatuoli</v>
      </c>
    </row>
    <row r="4969" spans="1:8" x14ac:dyDescent="0.35">
      <c r="A4969" t="s">
        <v>37</v>
      </c>
      <c r="B4969">
        <v>2018</v>
      </c>
      <c r="C4969">
        <v>2</v>
      </c>
      <c r="D4969">
        <v>13618</v>
      </c>
      <c r="E4969">
        <v>23</v>
      </c>
      <c r="F4969">
        <v>8851.7999999999993</v>
      </c>
      <c r="G4969">
        <v>4740.2700000000004</v>
      </c>
      <c r="H4969" t="str">
        <f>VLOOKUP(myynnit[[#This Row],[TuoteID]],ohjaus!$A$4:$B$20,2,FALSE)</f>
        <v>Pianotuoli</v>
      </c>
    </row>
    <row r="4970" spans="1:8" x14ac:dyDescent="0.35">
      <c r="A4970" t="s">
        <v>37</v>
      </c>
      <c r="B4970">
        <v>2018</v>
      </c>
      <c r="C4970">
        <v>2</v>
      </c>
      <c r="D4970">
        <v>16024</v>
      </c>
      <c r="E4970">
        <v>202</v>
      </c>
      <c r="F4970">
        <v>77368.62</v>
      </c>
      <c r="G4970">
        <v>22890.09</v>
      </c>
      <c r="H4970" t="str">
        <f>VLOOKUP(myynnit[[#This Row],[TuoteID]],ohjaus!$A$4:$B$20,2,FALSE)</f>
        <v>Työtuoli</v>
      </c>
    </row>
    <row r="4971" spans="1:8" x14ac:dyDescent="0.35">
      <c r="A4971" t="s">
        <v>37</v>
      </c>
      <c r="B4971">
        <v>2018</v>
      </c>
      <c r="C4971">
        <v>2</v>
      </c>
      <c r="D4971">
        <v>16650</v>
      </c>
      <c r="E4971">
        <v>58</v>
      </c>
      <c r="F4971">
        <v>7592.01</v>
      </c>
      <c r="G4971">
        <v>3992.66</v>
      </c>
      <c r="H4971" t="str">
        <f>VLOOKUP(myynnit[[#This Row],[TuoteID]],ohjaus!$A$4:$B$20,2,FALSE)</f>
        <v>Rahi</v>
      </c>
    </row>
    <row r="4972" spans="1:8" x14ac:dyDescent="0.35">
      <c r="A4972" t="s">
        <v>37</v>
      </c>
      <c r="B4972">
        <v>2018</v>
      </c>
      <c r="C4972">
        <v>2</v>
      </c>
      <c r="D4972">
        <v>17892</v>
      </c>
      <c r="E4972">
        <v>177</v>
      </c>
      <c r="F4972">
        <v>26527.82</v>
      </c>
      <c r="G4972">
        <v>8101.32</v>
      </c>
      <c r="H4972" t="str">
        <f>VLOOKUP(myynnit[[#This Row],[TuoteID]],ohjaus!$A$4:$B$20,2,FALSE)</f>
        <v>Lepotuoli</v>
      </c>
    </row>
    <row r="4973" spans="1:8" x14ac:dyDescent="0.35">
      <c r="A4973" t="s">
        <v>37</v>
      </c>
      <c r="B4973">
        <v>2018</v>
      </c>
      <c r="C4973">
        <v>2</v>
      </c>
      <c r="D4973">
        <v>18342</v>
      </c>
      <c r="E4973">
        <v>145</v>
      </c>
      <c r="F4973">
        <v>133851.74</v>
      </c>
      <c r="G4973">
        <v>35017.82</v>
      </c>
      <c r="H4973" t="str">
        <f>VLOOKUP(myynnit[[#This Row],[TuoteID]],ohjaus!$A$4:$B$20,2,FALSE)</f>
        <v>Työtuoli</v>
      </c>
    </row>
    <row r="4974" spans="1:8" x14ac:dyDescent="0.35">
      <c r="A4974" t="s">
        <v>37</v>
      </c>
      <c r="B4974">
        <v>2018</v>
      </c>
      <c r="C4974">
        <v>2</v>
      </c>
      <c r="D4974">
        <v>20177</v>
      </c>
      <c r="E4974">
        <v>108</v>
      </c>
      <c r="F4974">
        <v>11332.69</v>
      </c>
      <c r="G4974">
        <v>3848</v>
      </c>
      <c r="H4974" t="str">
        <f>VLOOKUP(myynnit[[#This Row],[TuoteID]],ohjaus!$A$4:$B$20,2,FALSE)</f>
        <v>Säkkituoli</v>
      </c>
    </row>
    <row r="4975" spans="1:8" x14ac:dyDescent="0.35">
      <c r="A4975" t="s">
        <v>37</v>
      </c>
      <c r="B4975">
        <v>2018</v>
      </c>
      <c r="C4975">
        <v>2</v>
      </c>
      <c r="D4975">
        <v>21179</v>
      </c>
      <c r="E4975">
        <v>81</v>
      </c>
      <c r="F4975">
        <v>10309.08</v>
      </c>
      <c r="G4975">
        <v>4814.28</v>
      </c>
      <c r="H4975" t="str">
        <f>VLOOKUP(myynnit[[#This Row],[TuoteID]],ohjaus!$A$4:$B$20,2,FALSE)</f>
        <v>Rahi</v>
      </c>
    </row>
    <row r="4976" spans="1:8" x14ac:dyDescent="0.35">
      <c r="A4976" t="s">
        <v>37</v>
      </c>
      <c r="B4976">
        <v>2018</v>
      </c>
      <c r="C4976">
        <v>2</v>
      </c>
      <c r="D4976">
        <v>21260</v>
      </c>
      <c r="E4976">
        <v>100</v>
      </c>
      <c r="F4976">
        <v>17760.52</v>
      </c>
      <c r="G4976">
        <v>4982.41</v>
      </c>
      <c r="H4976" t="str">
        <f>VLOOKUP(myynnit[[#This Row],[TuoteID]],ohjaus!$A$4:$B$20,2,FALSE)</f>
        <v>Lepotuoli</v>
      </c>
    </row>
    <row r="4977" spans="1:8" x14ac:dyDescent="0.35">
      <c r="A4977" t="s">
        <v>37</v>
      </c>
      <c r="B4977">
        <v>2018</v>
      </c>
      <c r="C4977">
        <v>2</v>
      </c>
      <c r="D4977">
        <v>22317</v>
      </c>
      <c r="E4977">
        <v>63</v>
      </c>
      <c r="F4977">
        <v>5506.41</v>
      </c>
      <c r="G4977">
        <v>2172.14</v>
      </c>
      <c r="H4977" t="str">
        <f>VLOOKUP(myynnit[[#This Row],[TuoteID]],ohjaus!$A$4:$B$20,2,FALSE)</f>
        <v>Säkkituoli</v>
      </c>
    </row>
    <row r="4978" spans="1:8" x14ac:dyDescent="0.35">
      <c r="A4978" t="s">
        <v>37</v>
      </c>
      <c r="B4978">
        <v>2018</v>
      </c>
      <c r="C4978">
        <v>2</v>
      </c>
      <c r="D4978">
        <v>22940</v>
      </c>
      <c r="E4978">
        <v>557</v>
      </c>
      <c r="F4978">
        <v>69107.02</v>
      </c>
      <c r="G4978">
        <v>14528.12</v>
      </c>
      <c r="H4978" t="str">
        <f>VLOOKUP(myynnit[[#This Row],[TuoteID]],ohjaus!$A$4:$B$20,2,FALSE)</f>
        <v>Pinnatuoli</v>
      </c>
    </row>
    <row r="4979" spans="1:8" x14ac:dyDescent="0.35">
      <c r="A4979" t="s">
        <v>37</v>
      </c>
      <c r="B4979">
        <v>2018</v>
      </c>
      <c r="C4979">
        <v>2</v>
      </c>
      <c r="D4979">
        <v>23178</v>
      </c>
      <c r="E4979">
        <v>338</v>
      </c>
      <c r="F4979">
        <v>55457.73</v>
      </c>
      <c r="G4979">
        <v>10847.07</v>
      </c>
      <c r="H4979" t="str">
        <f>VLOOKUP(myynnit[[#This Row],[TuoteID]],ohjaus!$A$4:$B$20,2,FALSE)</f>
        <v>Pinnatuoli</v>
      </c>
    </row>
    <row r="4980" spans="1:8" x14ac:dyDescent="0.35">
      <c r="A4980" t="s">
        <v>37</v>
      </c>
      <c r="B4980">
        <v>2018</v>
      </c>
      <c r="C4980">
        <v>2</v>
      </c>
      <c r="D4980">
        <v>23600</v>
      </c>
      <c r="E4980">
        <v>1106</v>
      </c>
      <c r="F4980">
        <v>126347.47</v>
      </c>
      <c r="G4980">
        <v>29270.21</v>
      </c>
      <c r="H4980" t="str">
        <f>VLOOKUP(myynnit[[#This Row],[TuoteID]],ohjaus!$A$4:$B$20,2,FALSE)</f>
        <v>Pinnatuoli</v>
      </c>
    </row>
    <row r="4981" spans="1:8" x14ac:dyDescent="0.35">
      <c r="A4981" t="s">
        <v>37</v>
      </c>
      <c r="B4981">
        <v>2018</v>
      </c>
      <c r="C4981">
        <v>2</v>
      </c>
      <c r="D4981">
        <v>23756</v>
      </c>
      <c r="E4981">
        <v>111</v>
      </c>
      <c r="F4981">
        <v>16918.87</v>
      </c>
      <c r="G4981">
        <v>7833.71</v>
      </c>
      <c r="H4981" t="str">
        <f>VLOOKUP(myynnit[[#This Row],[TuoteID]],ohjaus!$A$4:$B$20,2,FALSE)</f>
        <v>Pianotuoli</v>
      </c>
    </row>
    <row r="4982" spans="1:8" x14ac:dyDescent="0.35">
      <c r="A4982" t="s">
        <v>37</v>
      </c>
      <c r="B4982">
        <v>2018</v>
      </c>
      <c r="C4982">
        <v>2</v>
      </c>
      <c r="D4982">
        <v>24326</v>
      </c>
      <c r="E4982">
        <v>188</v>
      </c>
      <c r="F4982">
        <v>24204.46</v>
      </c>
      <c r="G4982">
        <v>6066.98</v>
      </c>
      <c r="H4982" t="str">
        <f>VLOOKUP(myynnit[[#This Row],[TuoteID]],ohjaus!$A$4:$B$20,2,FALSE)</f>
        <v>Lepotuoli</v>
      </c>
    </row>
    <row r="4983" spans="1:8" x14ac:dyDescent="0.35">
      <c r="A4983" t="s">
        <v>40</v>
      </c>
      <c r="B4983">
        <v>2018</v>
      </c>
      <c r="C4983">
        <v>2</v>
      </c>
      <c r="D4983">
        <v>12184</v>
      </c>
      <c r="E4983">
        <v>18</v>
      </c>
      <c r="F4983">
        <v>2244.0100000000002</v>
      </c>
      <c r="G4983">
        <v>1195.78</v>
      </c>
      <c r="H4983" t="str">
        <f>VLOOKUP(myynnit[[#This Row],[TuoteID]],ohjaus!$A$4:$B$20,2,FALSE)</f>
        <v>Rahi</v>
      </c>
    </row>
    <row r="4984" spans="1:8" x14ac:dyDescent="0.35">
      <c r="A4984" t="s">
        <v>40</v>
      </c>
      <c r="B4984">
        <v>2018</v>
      </c>
      <c r="C4984">
        <v>2</v>
      </c>
      <c r="D4984">
        <v>12622</v>
      </c>
      <c r="E4984">
        <v>11</v>
      </c>
      <c r="F4984">
        <v>3198.14</v>
      </c>
      <c r="G4984">
        <v>1381.7</v>
      </c>
      <c r="H4984" t="str">
        <f>VLOOKUP(myynnit[[#This Row],[TuoteID]],ohjaus!$A$4:$B$20,2,FALSE)</f>
        <v>Pianotuoli</v>
      </c>
    </row>
    <row r="4985" spans="1:8" x14ac:dyDescent="0.35">
      <c r="A4985" t="s">
        <v>40</v>
      </c>
      <c r="B4985">
        <v>2018</v>
      </c>
      <c r="C4985">
        <v>2</v>
      </c>
      <c r="D4985">
        <v>13527</v>
      </c>
      <c r="E4985">
        <v>358</v>
      </c>
      <c r="F4985">
        <v>56951.82</v>
      </c>
      <c r="G4985">
        <v>9653.23</v>
      </c>
      <c r="H4985" t="str">
        <f>VLOOKUP(myynnit[[#This Row],[TuoteID]],ohjaus!$A$4:$B$20,2,FALSE)</f>
        <v>Pinnatuoli</v>
      </c>
    </row>
    <row r="4986" spans="1:8" x14ac:dyDescent="0.35">
      <c r="A4986" t="s">
        <v>40</v>
      </c>
      <c r="B4986">
        <v>2018</v>
      </c>
      <c r="C4986">
        <v>2</v>
      </c>
      <c r="D4986">
        <v>13618</v>
      </c>
      <c r="E4986">
        <v>5</v>
      </c>
      <c r="F4986">
        <v>1727.4</v>
      </c>
      <c r="G4986">
        <v>649.41</v>
      </c>
      <c r="H4986" t="str">
        <f>VLOOKUP(myynnit[[#This Row],[TuoteID]],ohjaus!$A$4:$B$20,2,FALSE)</f>
        <v>Pianotuoli</v>
      </c>
    </row>
    <row r="4987" spans="1:8" x14ac:dyDescent="0.35">
      <c r="A4987" t="s">
        <v>40</v>
      </c>
      <c r="B4987">
        <v>2018</v>
      </c>
      <c r="C4987">
        <v>2</v>
      </c>
      <c r="D4987">
        <v>16024</v>
      </c>
      <c r="E4987">
        <v>101</v>
      </c>
      <c r="F4987">
        <v>41074.26</v>
      </c>
      <c r="G4987">
        <v>12810.38</v>
      </c>
      <c r="H4987" t="str">
        <f>VLOOKUP(myynnit[[#This Row],[TuoteID]],ohjaus!$A$4:$B$20,2,FALSE)</f>
        <v>Työtuoli</v>
      </c>
    </row>
    <row r="4988" spans="1:8" x14ac:dyDescent="0.35">
      <c r="A4988" t="s">
        <v>40</v>
      </c>
      <c r="B4988">
        <v>2018</v>
      </c>
      <c r="C4988">
        <v>2</v>
      </c>
      <c r="D4988">
        <v>16650</v>
      </c>
      <c r="E4988">
        <v>29</v>
      </c>
      <c r="F4988">
        <v>4676.13</v>
      </c>
      <c r="G4988">
        <v>2805.42</v>
      </c>
      <c r="H4988" t="str">
        <f>VLOOKUP(myynnit[[#This Row],[TuoteID]],ohjaus!$A$4:$B$20,2,FALSE)</f>
        <v>Rahi</v>
      </c>
    </row>
    <row r="4989" spans="1:8" x14ac:dyDescent="0.35">
      <c r="A4989" t="s">
        <v>40</v>
      </c>
      <c r="B4989">
        <v>2018</v>
      </c>
      <c r="C4989">
        <v>2</v>
      </c>
      <c r="D4989">
        <v>17892</v>
      </c>
      <c r="E4989">
        <v>89</v>
      </c>
      <c r="F4989">
        <v>12423.99</v>
      </c>
      <c r="G4989">
        <v>3504.12</v>
      </c>
      <c r="H4989" t="str">
        <f>VLOOKUP(myynnit[[#This Row],[TuoteID]],ohjaus!$A$4:$B$20,2,FALSE)</f>
        <v>Lepotuoli</v>
      </c>
    </row>
    <row r="4990" spans="1:8" x14ac:dyDescent="0.35">
      <c r="A4990" t="s">
        <v>40</v>
      </c>
      <c r="B4990">
        <v>2018</v>
      </c>
      <c r="C4990">
        <v>2</v>
      </c>
      <c r="D4990">
        <v>18342</v>
      </c>
      <c r="E4990">
        <v>18</v>
      </c>
      <c r="F4990">
        <v>15117.21</v>
      </c>
      <c r="G4990">
        <v>4771.45</v>
      </c>
      <c r="H4990" t="str">
        <f>VLOOKUP(myynnit[[#This Row],[TuoteID]],ohjaus!$A$4:$B$20,2,FALSE)</f>
        <v>Työtuoli</v>
      </c>
    </row>
    <row r="4991" spans="1:8" x14ac:dyDescent="0.35">
      <c r="A4991" t="s">
        <v>40</v>
      </c>
      <c r="B4991">
        <v>2018</v>
      </c>
      <c r="C4991">
        <v>2</v>
      </c>
      <c r="D4991">
        <v>20177</v>
      </c>
      <c r="E4991">
        <v>17</v>
      </c>
      <c r="F4991">
        <v>1817.68</v>
      </c>
      <c r="G4991">
        <v>783.23</v>
      </c>
      <c r="H4991" t="str">
        <f>VLOOKUP(myynnit[[#This Row],[TuoteID]],ohjaus!$A$4:$B$20,2,FALSE)</f>
        <v>Säkkituoli</v>
      </c>
    </row>
    <row r="4992" spans="1:8" x14ac:dyDescent="0.35">
      <c r="A4992" t="s">
        <v>40</v>
      </c>
      <c r="B4992">
        <v>2018</v>
      </c>
      <c r="C4992">
        <v>2</v>
      </c>
      <c r="D4992">
        <v>21179</v>
      </c>
      <c r="E4992">
        <v>43</v>
      </c>
      <c r="F4992">
        <v>4722.76</v>
      </c>
      <c r="G4992">
        <v>2653.17</v>
      </c>
      <c r="H4992" t="str">
        <f>VLOOKUP(myynnit[[#This Row],[TuoteID]],ohjaus!$A$4:$B$20,2,FALSE)</f>
        <v>Rahi</v>
      </c>
    </row>
    <row r="4993" spans="1:8" x14ac:dyDescent="0.35">
      <c r="A4993" t="s">
        <v>40</v>
      </c>
      <c r="B4993">
        <v>2018</v>
      </c>
      <c r="C4993">
        <v>2</v>
      </c>
      <c r="D4993">
        <v>21260</v>
      </c>
      <c r="E4993">
        <v>42</v>
      </c>
      <c r="F4993">
        <v>8258.9500000000007</v>
      </c>
      <c r="G4993">
        <v>1885.65</v>
      </c>
      <c r="H4993" t="str">
        <f>VLOOKUP(myynnit[[#This Row],[TuoteID]],ohjaus!$A$4:$B$20,2,FALSE)</f>
        <v>Lepotuoli</v>
      </c>
    </row>
    <row r="4994" spans="1:8" x14ac:dyDescent="0.35">
      <c r="A4994" t="s">
        <v>40</v>
      </c>
      <c r="B4994">
        <v>2018</v>
      </c>
      <c r="C4994">
        <v>2</v>
      </c>
      <c r="D4994">
        <v>22317</v>
      </c>
      <c r="E4994">
        <v>11</v>
      </c>
      <c r="F4994">
        <v>1046.7</v>
      </c>
      <c r="G4994">
        <v>536.98</v>
      </c>
      <c r="H4994" t="str">
        <f>VLOOKUP(myynnit[[#This Row],[TuoteID]],ohjaus!$A$4:$B$20,2,FALSE)</f>
        <v>Säkkituoli</v>
      </c>
    </row>
    <row r="4995" spans="1:8" x14ac:dyDescent="0.35">
      <c r="A4995" t="s">
        <v>40</v>
      </c>
      <c r="B4995">
        <v>2018</v>
      </c>
      <c r="C4995">
        <v>2</v>
      </c>
      <c r="D4995">
        <v>22940</v>
      </c>
      <c r="E4995">
        <v>181</v>
      </c>
      <c r="F4995">
        <v>25617.05</v>
      </c>
      <c r="G4995">
        <v>7081.16</v>
      </c>
      <c r="H4995" t="str">
        <f>VLOOKUP(myynnit[[#This Row],[TuoteID]],ohjaus!$A$4:$B$20,2,FALSE)</f>
        <v>Pinnatuoli</v>
      </c>
    </row>
    <row r="4996" spans="1:8" x14ac:dyDescent="0.35">
      <c r="A4996" t="s">
        <v>40</v>
      </c>
      <c r="B4996">
        <v>2018</v>
      </c>
      <c r="C4996">
        <v>2</v>
      </c>
      <c r="D4996">
        <v>23178</v>
      </c>
      <c r="E4996">
        <v>187</v>
      </c>
      <c r="F4996">
        <v>32109.41</v>
      </c>
      <c r="G4996">
        <v>7154.39</v>
      </c>
      <c r="H4996" t="str">
        <f>VLOOKUP(myynnit[[#This Row],[TuoteID]],ohjaus!$A$4:$B$20,2,FALSE)</f>
        <v>Pinnatuoli</v>
      </c>
    </row>
    <row r="4997" spans="1:8" x14ac:dyDescent="0.35">
      <c r="A4997" t="s">
        <v>40</v>
      </c>
      <c r="B4997">
        <v>2018</v>
      </c>
      <c r="C4997">
        <v>2</v>
      </c>
      <c r="D4997">
        <v>23600</v>
      </c>
      <c r="E4997">
        <v>566</v>
      </c>
      <c r="F4997">
        <v>64511.88</v>
      </c>
      <c r="G4997">
        <v>17360.95</v>
      </c>
      <c r="H4997" t="str">
        <f>VLOOKUP(myynnit[[#This Row],[TuoteID]],ohjaus!$A$4:$B$20,2,FALSE)</f>
        <v>Pinnatuoli</v>
      </c>
    </row>
    <row r="4998" spans="1:8" x14ac:dyDescent="0.35">
      <c r="A4998" t="s">
        <v>40</v>
      </c>
      <c r="B4998">
        <v>2018</v>
      </c>
      <c r="C4998">
        <v>2</v>
      </c>
      <c r="D4998">
        <v>23756</v>
      </c>
      <c r="E4998">
        <v>70</v>
      </c>
      <c r="F4998">
        <v>10535.5</v>
      </c>
      <c r="G4998">
        <v>4893.49</v>
      </c>
      <c r="H4998" t="str">
        <f>VLOOKUP(myynnit[[#This Row],[TuoteID]],ohjaus!$A$4:$B$20,2,FALSE)</f>
        <v>Pianotuoli</v>
      </c>
    </row>
    <row r="4999" spans="1:8" x14ac:dyDescent="0.35">
      <c r="A4999" t="s">
        <v>40</v>
      </c>
      <c r="B4999">
        <v>2018</v>
      </c>
      <c r="C4999">
        <v>2</v>
      </c>
      <c r="D4999">
        <v>24326</v>
      </c>
      <c r="E4999">
        <v>35</v>
      </c>
      <c r="F4999">
        <v>5595.3</v>
      </c>
      <c r="G4999">
        <v>1647.18</v>
      </c>
      <c r="H4999" t="str">
        <f>VLOOKUP(myynnit[[#This Row],[TuoteID]],ohjaus!$A$4:$B$20,2,FALSE)</f>
        <v>Lepotuoli</v>
      </c>
    </row>
    <row r="5000" spans="1:8" x14ac:dyDescent="0.35">
      <c r="A5000" t="s">
        <v>39</v>
      </c>
      <c r="B5000">
        <v>2018</v>
      </c>
      <c r="C5000">
        <v>2</v>
      </c>
      <c r="D5000">
        <v>12184</v>
      </c>
      <c r="E5000">
        <v>61</v>
      </c>
      <c r="F5000">
        <v>6838.84</v>
      </c>
      <c r="G5000">
        <v>4372.51</v>
      </c>
      <c r="H5000" t="str">
        <f>VLOOKUP(myynnit[[#This Row],[TuoteID]],ohjaus!$A$4:$B$20,2,FALSE)</f>
        <v>Rahi</v>
      </c>
    </row>
    <row r="5001" spans="1:8" x14ac:dyDescent="0.35">
      <c r="A5001" t="s">
        <v>39</v>
      </c>
      <c r="B5001">
        <v>2018</v>
      </c>
      <c r="C5001">
        <v>2</v>
      </c>
      <c r="D5001">
        <v>12622</v>
      </c>
      <c r="E5001">
        <v>22</v>
      </c>
      <c r="F5001">
        <v>6455.46</v>
      </c>
      <c r="G5001">
        <v>3131.67</v>
      </c>
      <c r="H5001" t="str">
        <f>VLOOKUP(myynnit[[#This Row],[TuoteID]],ohjaus!$A$4:$B$20,2,FALSE)</f>
        <v>Pianotuoli</v>
      </c>
    </row>
    <row r="5002" spans="1:8" x14ac:dyDescent="0.35">
      <c r="A5002" t="s">
        <v>39</v>
      </c>
      <c r="B5002">
        <v>2018</v>
      </c>
      <c r="C5002">
        <v>2</v>
      </c>
      <c r="D5002">
        <v>13527</v>
      </c>
      <c r="E5002">
        <v>328</v>
      </c>
      <c r="F5002">
        <v>56128.639999999999</v>
      </c>
      <c r="G5002">
        <v>12696.88</v>
      </c>
      <c r="H5002" t="str">
        <f>VLOOKUP(myynnit[[#This Row],[TuoteID]],ohjaus!$A$4:$B$20,2,FALSE)</f>
        <v>Pinnatuoli</v>
      </c>
    </row>
    <row r="5003" spans="1:8" x14ac:dyDescent="0.35">
      <c r="A5003" t="s">
        <v>39</v>
      </c>
      <c r="B5003">
        <v>2018</v>
      </c>
      <c r="C5003">
        <v>2</v>
      </c>
      <c r="D5003">
        <v>13618</v>
      </c>
      <c r="E5003">
        <v>18</v>
      </c>
      <c r="F5003">
        <v>6882</v>
      </c>
      <c r="G5003">
        <v>3746.97</v>
      </c>
      <c r="H5003" t="str">
        <f>VLOOKUP(myynnit[[#This Row],[TuoteID]],ohjaus!$A$4:$B$20,2,FALSE)</f>
        <v>Pianotuoli</v>
      </c>
    </row>
    <row r="5004" spans="1:8" x14ac:dyDescent="0.35">
      <c r="A5004" t="s">
        <v>39</v>
      </c>
      <c r="B5004">
        <v>2018</v>
      </c>
      <c r="C5004">
        <v>2</v>
      </c>
      <c r="D5004">
        <v>16024</v>
      </c>
      <c r="E5004">
        <v>124</v>
      </c>
      <c r="F5004">
        <v>57504.59</v>
      </c>
      <c r="G5004">
        <v>19520.86</v>
      </c>
      <c r="H5004" t="str">
        <f>VLOOKUP(myynnit[[#This Row],[TuoteID]],ohjaus!$A$4:$B$20,2,FALSE)</f>
        <v>Työtuoli</v>
      </c>
    </row>
    <row r="5005" spans="1:8" x14ac:dyDescent="0.35">
      <c r="A5005" t="s">
        <v>39</v>
      </c>
      <c r="B5005">
        <v>2018</v>
      </c>
      <c r="C5005">
        <v>2</v>
      </c>
      <c r="D5005">
        <v>16650</v>
      </c>
      <c r="E5005">
        <v>27</v>
      </c>
      <c r="F5005">
        <v>4856.8599999999997</v>
      </c>
      <c r="G5005">
        <v>3667.8</v>
      </c>
      <c r="H5005" t="str">
        <f>VLOOKUP(myynnit[[#This Row],[TuoteID]],ohjaus!$A$4:$B$20,2,FALSE)</f>
        <v>Rahi</v>
      </c>
    </row>
    <row r="5006" spans="1:8" x14ac:dyDescent="0.35">
      <c r="A5006" t="s">
        <v>39</v>
      </c>
      <c r="B5006">
        <v>2018</v>
      </c>
      <c r="C5006">
        <v>2</v>
      </c>
      <c r="D5006">
        <v>17892</v>
      </c>
      <c r="E5006">
        <v>56</v>
      </c>
      <c r="F5006">
        <v>7560.06</v>
      </c>
      <c r="G5006">
        <v>2554.41</v>
      </c>
      <c r="H5006" t="str">
        <f>VLOOKUP(myynnit[[#This Row],[TuoteID]],ohjaus!$A$4:$B$20,2,FALSE)</f>
        <v>Lepotuoli</v>
      </c>
    </row>
    <row r="5007" spans="1:8" x14ac:dyDescent="0.35">
      <c r="A5007" t="s">
        <v>39</v>
      </c>
      <c r="B5007">
        <v>2018</v>
      </c>
      <c r="C5007">
        <v>2</v>
      </c>
      <c r="D5007">
        <v>18342</v>
      </c>
      <c r="E5007">
        <v>84</v>
      </c>
      <c r="F5007">
        <v>65373.42</v>
      </c>
      <c r="G5007">
        <v>21719.5</v>
      </c>
      <c r="H5007" t="str">
        <f>VLOOKUP(myynnit[[#This Row],[TuoteID]],ohjaus!$A$4:$B$20,2,FALSE)</f>
        <v>Työtuoli</v>
      </c>
    </row>
    <row r="5008" spans="1:8" x14ac:dyDescent="0.35">
      <c r="A5008" t="s">
        <v>39</v>
      </c>
      <c r="B5008">
        <v>2018</v>
      </c>
      <c r="C5008">
        <v>2</v>
      </c>
      <c r="D5008">
        <v>20177</v>
      </c>
      <c r="E5008">
        <v>42</v>
      </c>
      <c r="F5008">
        <v>3935.52</v>
      </c>
      <c r="G5008">
        <v>1920.21</v>
      </c>
      <c r="H5008" t="str">
        <f>VLOOKUP(myynnit[[#This Row],[TuoteID]],ohjaus!$A$4:$B$20,2,FALSE)</f>
        <v>Säkkituoli</v>
      </c>
    </row>
    <row r="5009" spans="1:8" x14ac:dyDescent="0.35">
      <c r="A5009" t="s">
        <v>39</v>
      </c>
      <c r="B5009">
        <v>2018</v>
      </c>
      <c r="C5009">
        <v>2</v>
      </c>
      <c r="D5009">
        <v>21179</v>
      </c>
      <c r="E5009">
        <v>24</v>
      </c>
      <c r="F5009">
        <v>2862.37</v>
      </c>
      <c r="G5009">
        <v>1743.46</v>
      </c>
      <c r="H5009" t="str">
        <f>VLOOKUP(myynnit[[#This Row],[TuoteID]],ohjaus!$A$4:$B$20,2,FALSE)</f>
        <v>Rahi</v>
      </c>
    </row>
    <row r="5010" spans="1:8" x14ac:dyDescent="0.35">
      <c r="A5010" t="s">
        <v>39</v>
      </c>
      <c r="B5010">
        <v>2018</v>
      </c>
      <c r="C5010">
        <v>2</v>
      </c>
      <c r="D5010">
        <v>21260</v>
      </c>
      <c r="E5010">
        <v>29</v>
      </c>
      <c r="F5010">
        <v>5731.89</v>
      </c>
      <c r="G5010">
        <v>1521.66</v>
      </c>
      <c r="H5010" t="str">
        <f>VLOOKUP(myynnit[[#This Row],[TuoteID]],ohjaus!$A$4:$B$20,2,FALSE)</f>
        <v>Lepotuoli</v>
      </c>
    </row>
    <row r="5011" spans="1:8" x14ac:dyDescent="0.35">
      <c r="A5011" t="s">
        <v>39</v>
      </c>
      <c r="B5011">
        <v>2018</v>
      </c>
      <c r="C5011">
        <v>2</v>
      </c>
      <c r="D5011">
        <v>22317</v>
      </c>
      <c r="E5011">
        <v>34</v>
      </c>
      <c r="F5011">
        <v>3266.11</v>
      </c>
      <c r="G5011">
        <v>1380.52</v>
      </c>
      <c r="H5011" t="str">
        <f>VLOOKUP(myynnit[[#This Row],[TuoteID]],ohjaus!$A$4:$B$20,2,FALSE)</f>
        <v>Säkkituoli</v>
      </c>
    </row>
    <row r="5012" spans="1:8" x14ac:dyDescent="0.35">
      <c r="A5012" t="s">
        <v>39</v>
      </c>
      <c r="B5012">
        <v>2018</v>
      </c>
      <c r="C5012">
        <v>2</v>
      </c>
      <c r="D5012">
        <v>22940</v>
      </c>
      <c r="E5012">
        <v>325</v>
      </c>
      <c r="F5012">
        <v>43520.82</v>
      </c>
      <c r="G5012">
        <v>10987.82</v>
      </c>
      <c r="H5012" t="str">
        <f>VLOOKUP(myynnit[[#This Row],[TuoteID]],ohjaus!$A$4:$B$20,2,FALSE)</f>
        <v>Pinnatuoli</v>
      </c>
    </row>
    <row r="5013" spans="1:8" x14ac:dyDescent="0.35">
      <c r="A5013" t="s">
        <v>39</v>
      </c>
      <c r="B5013">
        <v>2018</v>
      </c>
      <c r="C5013">
        <v>2</v>
      </c>
      <c r="D5013">
        <v>23178</v>
      </c>
      <c r="E5013">
        <v>137</v>
      </c>
      <c r="F5013">
        <v>27013.86</v>
      </c>
      <c r="G5013">
        <v>6765.73</v>
      </c>
      <c r="H5013" t="str">
        <f>VLOOKUP(myynnit[[#This Row],[TuoteID]],ohjaus!$A$4:$B$20,2,FALSE)</f>
        <v>Pinnatuoli</v>
      </c>
    </row>
    <row r="5014" spans="1:8" x14ac:dyDescent="0.35">
      <c r="A5014" t="s">
        <v>39</v>
      </c>
      <c r="B5014">
        <v>2018</v>
      </c>
      <c r="C5014">
        <v>2</v>
      </c>
      <c r="D5014">
        <v>23600</v>
      </c>
      <c r="E5014">
        <v>581</v>
      </c>
      <c r="F5014">
        <v>64944.36</v>
      </c>
      <c r="G5014">
        <v>19369.28</v>
      </c>
      <c r="H5014" t="str">
        <f>VLOOKUP(myynnit[[#This Row],[TuoteID]],ohjaus!$A$4:$B$20,2,FALSE)</f>
        <v>Pinnatuoli</v>
      </c>
    </row>
    <row r="5015" spans="1:8" x14ac:dyDescent="0.35">
      <c r="A5015" t="s">
        <v>39</v>
      </c>
      <c r="B5015">
        <v>2018</v>
      </c>
      <c r="C5015">
        <v>2</v>
      </c>
      <c r="D5015">
        <v>23756</v>
      </c>
      <c r="E5015">
        <v>90</v>
      </c>
      <c r="F5015">
        <v>19944.89</v>
      </c>
      <c r="G5015">
        <v>12914.05</v>
      </c>
      <c r="H5015" t="str">
        <f>VLOOKUP(myynnit[[#This Row],[TuoteID]],ohjaus!$A$4:$B$20,2,FALSE)</f>
        <v>Pianotuoli</v>
      </c>
    </row>
    <row r="5016" spans="1:8" x14ac:dyDescent="0.35">
      <c r="A5016" t="s">
        <v>39</v>
      </c>
      <c r="B5016">
        <v>2018</v>
      </c>
      <c r="C5016">
        <v>2</v>
      </c>
      <c r="D5016">
        <v>24326</v>
      </c>
      <c r="E5016">
        <v>152</v>
      </c>
      <c r="F5016">
        <v>20951.3</v>
      </c>
      <c r="G5016">
        <v>7081.7</v>
      </c>
      <c r="H5016" t="str">
        <f>VLOOKUP(myynnit[[#This Row],[TuoteID]],ohjaus!$A$4:$B$20,2,FALSE)</f>
        <v>Lepotuoli</v>
      </c>
    </row>
    <row r="5017" spans="1:8" x14ac:dyDescent="0.35">
      <c r="A5017" t="s">
        <v>38</v>
      </c>
      <c r="B5017">
        <v>2018</v>
      </c>
      <c r="C5017">
        <v>2</v>
      </c>
      <c r="D5017">
        <v>12184</v>
      </c>
      <c r="E5017">
        <v>95</v>
      </c>
      <c r="F5017">
        <v>11863.07</v>
      </c>
      <c r="G5017">
        <v>7125.93</v>
      </c>
      <c r="H5017" t="str">
        <f>VLOOKUP(myynnit[[#This Row],[TuoteID]],ohjaus!$A$4:$B$20,2,FALSE)</f>
        <v>Rahi</v>
      </c>
    </row>
    <row r="5018" spans="1:8" x14ac:dyDescent="0.35">
      <c r="A5018" t="s">
        <v>38</v>
      </c>
      <c r="B5018">
        <v>2018</v>
      </c>
      <c r="C5018">
        <v>2</v>
      </c>
      <c r="D5018">
        <v>12622</v>
      </c>
      <c r="E5018">
        <v>43</v>
      </c>
      <c r="F5018">
        <v>9444.01</v>
      </c>
      <c r="G5018">
        <v>4145.08</v>
      </c>
      <c r="H5018" t="str">
        <f>VLOOKUP(myynnit[[#This Row],[TuoteID]],ohjaus!$A$4:$B$20,2,FALSE)</f>
        <v>Pianotuoli</v>
      </c>
    </row>
    <row r="5019" spans="1:8" x14ac:dyDescent="0.35">
      <c r="A5019" t="s">
        <v>38</v>
      </c>
      <c r="B5019">
        <v>2018</v>
      </c>
      <c r="C5019">
        <v>2</v>
      </c>
      <c r="D5019">
        <v>13527</v>
      </c>
      <c r="E5019">
        <v>362</v>
      </c>
      <c r="F5019">
        <v>61159.6</v>
      </c>
      <c r="G5019">
        <v>12512.15</v>
      </c>
      <c r="H5019" t="str">
        <f>VLOOKUP(myynnit[[#This Row],[TuoteID]],ohjaus!$A$4:$B$20,2,FALSE)</f>
        <v>Pinnatuoli</v>
      </c>
    </row>
    <row r="5020" spans="1:8" x14ac:dyDescent="0.35">
      <c r="A5020" t="s">
        <v>38</v>
      </c>
      <c r="B5020">
        <v>2018</v>
      </c>
      <c r="C5020">
        <v>2</v>
      </c>
      <c r="D5020">
        <v>13618</v>
      </c>
      <c r="E5020">
        <v>16</v>
      </c>
      <c r="F5020">
        <v>5779.26</v>
      </c>
      <c r="G5020">
        <v>3072.69</v>
      </c>
      <c r="H5020" t="str">
        <f>VLOOKUP(myynnit[[#This Row],[TuoteID]],ohjaus!$A$4:$B$20,2,FALSE)</f>
        <v>Pianotuoli</v>
      </c>
    </row>
    <row r="5021" spans="1:8" x14ac:dyDescent="0.35">
      <c r="A5021" t="s">
        <v>38</v>
      </c>
      <c r="B5021">
        <v>2018</v>
      </c>
      <c r="C5021">
        <v>2</v>
      </c>
      <c r="D5021">
        <v>16024</v>
      </c>
      <c r="E5021">
        <v>158</v>
      </c>
      <c r="F5021">
        <v>71788.47</v>
      </c>
      <c r="G5021">
        <v>19599.61</v>
      </c>
      <c r="H5021" t="str">
        <f>VLOOKUP(myynnit[[#This Row],[TuoteID]],ohjaus!$A$4:$B$20,2,FALSE)</f>
        <v>Työtuoli</v>
      </c>
    </row>
    <row r="5022" spans="1:8" x14ac:dyDescent="0.35">
      <c r="A5022" t="s">
        <v>38</v>
      </c>
      <c r="B5022">
        <v>2018</v>
      </c>
      <c r="C5022">
        <v>2</v>
      </c>
      <c r="D5022">
        <v>16650</v>
      </c>
      <c r="E5022">
        <v>51</v>
      </c>
      <c r="F5022">
        <v>8237.61</v>
      </c>
      <c r="G5022">
        <v>4513.12</v>
      </c>
      <c r="H5022" t="str">
        <f>VLOOKUP(myynnit[[#This Row],[TuoteID]],ohjaus!$A$4:$B$20,2,FALSE)</f>
        <v>Rahi</v>
      </c>
    </row>
    <row r="5023" spans="1:8" x14ac:dyDescent="0.35">
      <c r="A5023" t="s">
        <v>38</v>
      </c>
      <c r="B5023">
        <v>2018</v>
      </c>
      <c r="C5023">
        <v>2</v>
      </c>
      <c r="D5023">
        <v>17892</v>
      </c>
      <c r="E5023">
        <v>102</v>
      </c>
      <c r="F5023">
        <v>13914.2</v>
      </c>
      <c r="G5023">
        <v>3573.74</v>
      </c>
      <c r="H5023" t="str">
        <f>VLOOKUP(myynnit[[#This Row],[TuoteID]],ohjaus!$A$4:$B$20,2,FALSE)</f>
        <v>Lepotuoli</v>
      </c>
    </row>
    <row r="5024" spans="1:8" x14ac:dyDescent="0.35">
      <c r="A5024" t="s">
        <v>38</v>
      </c>
      <c r="B5024">
        <v>2018</v>
      </c>
      <c r="C5024">
        <v>2</v>
      </c>
      <c r="D5024">
        <v>18342</v>
      </c>
      <c r="E5024">
        <v>141</v>
      </c>
      <c r="F5024">
        <v>125943.59</v>
      </c>
      <c r="G5024">
        <v>34517.599999999999</v>
      </c>
      <c r="H5024" t="str">
        <f>VLOOKUP(myynnit[[#This Row],[TuoteID]],ohjaus!$A$4:$B$20,2,FALSE)</f>
        <v>Työtuoli</v>
      </c>
    </row>
    <row r="5025" spans="1:8" x14ac:dyDescent="0.35">
      <c r="A5025" t="s">
        <v>38</v>
      </c>
      <c r="B5025">
        <v>2018</v>
      </c>
      <c r="C5025">
        <v>2</v>
      </c>
      <c r="D5025">
        <v>20177</v>
      </c>
      <c r="E5025">
        <v>89</v>
      </c>
      <c r="F5025">
        <v>8813.92</v>
      </c>
      <c r="G5025">
        <v>3245.21</v>
      </c>
      <c r="H5025" t="str">
        <f>VLOOKUP(myynnit[[#This Row],[TuoteID]],ohjaus!$A$4:$B$20,2,FALSE)</f>
        <v>Säkkituoli</v>
      </c>
    </row>
    <row r="5026" spans="1:8" x14ac:dyDescent="0.35">
      <c r="A5026" t="s">
        <v>38</v>
      </c>
      <c r="B5026">
        <v>2018</v>
      </c>
      <c r="C5026">
        <v>2</v>
      </c>
      <c r="D5026">
        <v>21179</v>
      </c>
      <c r="E5026">
        <v>52</v>
      </c>
      <c r="F5026">
        <v>7481.26</v>
      </c>
      <c r="G5026">
        <v>4831.53</v>
      </c>
      <c r="H5026" t="str">
        <f>VLOOKUP(myynnit[[#This Row],[TuoteID]],ohjaus!$A$4:$B$20,2,FALSE)</f>
        <v>Rahi</v>
      </c>
    </row>
    <row r="5027" spans="1:8" x14ac:dyDescent="0.35">
      <c r="A5027" t="s">
        <v>38</v>
      </c>
      <c r="B5027">
        <v>2018</v>
      </c>
      <c r="C5027">
        <v>2</v>
      </c>
      <c r="D5027">
        <v>21260</v>
      </c>
      <c r="E5027">
        <v>61</v>
      </c>
      <c r="F5027">
        <v>11404.8</v>
      </c>
      <c r="G5027">
        <v>2564.23</v>
      </c>
      <c r="H5027" t="str">
        <f>VLOOKUP(myynnit[[#This Row],[TuoteID]],ohjaus!$A$4:$B$20,2,FALSE)</f>
        <v>Lepotuoli</v>
      </c>
    </row>
    <row r="5028" spans="1:8" x14ac:dyDescent="0.35">
      <c r="A5028" t="s">
        <v>38</v>
      </c>
      <c r="B5028">
        <v>2018</v>
      </c>
      <c r="C5028">
        <v>2</v>
      </c>
      <c r="D5028">
        <v>22317</v>
      </c>
      <c r="E5028">
        <v>31</v>
      </c>
      <c r="F5028">
        <v>2785.82</v>
      </c>
      <c r="G5028">
        <v>935.12</v>
      </c>
      <c r="H5028" t="str">
        <f>VLOOKUP(myynnit[[#This Row],[TuoteID]],ohjaus!$A$4:$B$20,2,FALSE)</f>
        <v>Säkkituoli</v>
      </c>
    </row>
    <row r="5029" spans="1:8" x14ac:dyDescent="0.35">
      <c r="A5029" t="s">
        <v>38</v>
      </c>
      <c r="B5029">
        <v>2018</v>
      </c>
      <c r="C5029">
        <v>2</v>
      </c>
      <c r="D5029">
        <v>22940</v>
      </c>
      <c r="E5029">
        <v>624</v>
      </c>
      <c r="F5029">
        <v>76010.320000000007</v>
      </c>
      <c r="G5029">
        <v>17239.3</v>
      </c>
      <c r="H5029" t="str">
        <f>VLOOKUP(myynnit[[#This Row],[TuoteID]],ohjaus!$A$4:$B$20,2,FALSE)</f>
        <v>Pinnatuoli</v>
      </c>
    </row>
    <row r="5030" spans="1:8" x14ac:dyDescent="0.35">
      <c r="A5030" t="s">
        <v>38</v>
      </c>
      <c r="B5030">
        <v>2018</v>
      </c>
      <c r="C5030">
        <v>2</v>
      </c>
      <c r="D5030">
        <v>23178</v>
      </c>
      <c r="E5030">
        <v>231</v>
      </c>
      <c r="F5030">
        <v>42960.5</v>
      </c>
      <c r="G5030">
        <v>10008.719999999999</v>
      </c>
      <c r="H5030" t="str">
        <f>VLOOKUP(myynnit[[#This Row],[TuoteID]],ohjaus!$A$4:$B$20,2,FALSE)</f>
        <v>Pinnatuoli</v>
      </c>
    </row>
    <row r="5031" spans="1:8" x14ac:dyDescent="0.35">
      <c r="A5031" t="s">
        <v>38</v>
      </c>
      <c r="B5031">
        <v>2018</v>
      </c>
      <c r="C5031">
        <v>2</v>
      </c>
      <c r="D5031">
        <v>23600</v>
      </c>
      <c r="E5031">
        <v>938</v>
      </c>
      <c r="F5031">
        <v>95857.14</v>
      </c>
      <c r="G5031">
        <v>25606.68</v>
      </c>
      <c r="H5031" t="str">
        <f>VLOOKUP(myynnit[[#This Row],[TuoteID]],ohjaus!$A$4:$B$20,2,FALSE)</f>
        <v>Pinnatuoli</v>
      </c>
    </row>
    <row r="5032" spans="1:8" x14ac:dyDescent="0.35">
      <c r="A5032" t="s">
        <v>38</v>
      </c>
      <c r="B5032">
        <v>2018</v>
      </c>
      <c r="C5032">
        <v>2</v>
      </c>
      <c r="D5032">
        <v>23756</v>
      </c>
      <c r="E5032">
        <v>94</v>
      </c>
      <c r="F5032">
        <v>13887.05</v>
      </c>
      <c r="G5032">
        <v>6998.72</v>
      </c>
      <c r="H5032" t="str">
        <f>VLOOKUP(myynnit[[#This Row],[TuoteID]],ohjaus!$A$4:$B$20,2,FALSE)</f>
        <v>Pianotuoli</v>
      </c>
    </row>
    <row r="5033" spans="1:8" x14ac:dyDescent="0.35">
      <c r="A5033" t="s">
        <v>38</v>
      </c>
      <c r="B5033">
        <v>2018</v>
      </c>
      <c r="C5033">
        <v>2</v>
      </c>
      <c r="D5033">
        <v>24326</v>
      </c>
      <c r="E5033">
        <v>63</v>
      </c>
      <c r="F5033">
        <v>8392.4599999999991</v>
      </c>
      <c r="G5033">
        <v>1855.03</v>
      </c>
      <c r="H5033" t="str">
        <f>VLOOKUP(myynnit[[#This Row],[TuoteID]],ohjaus!$A$4:$B$20,2,FALSE)</f>
        <v>Lepotuoli</v>
      </c>
    </row>
    <row r="5034" spans="1:8" x14ac:dyDescent="0.35">
      <c r="A5034" t="s">
        <v>37</v>
      </c>
      <c r="B5034">
        <v>2018</v>
      </c>
      <c r="C5034">
        <v>3</v>
      </c>
      <c r="D5034">
        <v>12184</v>
      </c>
      <c r="E5034">
        <v>91</v>
      </c>
      <c r="F5034">
        <v>12878.19</v>
      </c>
      <c r="G5034">
        <v>6669.63</v>
      </c>
      <c r="H5034" t="str">
        <f>VLOOKUP(myynnit[[#This Row],[TuoteID]],ohjaus!$A$4:$B$20,2,FALSE)</f>
        <v>Rahi</v>
      </c>
    </row>
    <row r="5035" spans="1:8" x14ac:dyDescent="0.35">
      <c r="A5035" t="s">
        <v>37</v>
      </c>
      <c r="B5035">
        <v>2018</v>
      </c>
      <c r="C5035">
        <v>3</v>
      </c>
      <c r="D5035">
        <v>12622</v>
      </c>
      <c r="E5035">
        <v>59</v>
      </c>
      <c r="F5035">
        <v>16990.7</v>
      </c>
      <c r="G5035">
        <v>7205.31</v>
      </c>
      <c r="H5035" t="str">
        <f>VLOOKUP(myynnit[[#This Row],[TuoteID]],ohjaus!$A$4:$B$20,2,FALSE)</f>
        <v>Pianotuoli</v>
      </c>
    </row>
    <row r="5036" spans="1:8" x14ac:dyDescent="0.35">
      <c r="A5036" t="s">
        <v>37</v>
      </c>
      <c r="B5036">
        <v>2018</v>
      </c>
      <c r="C5036">
        <v>3</v>
      </c>
      <c r="D5036">
        <v>13527</v>
      </c>
      <c r="E5036">
        <v>843</v>
      </c>
      <c r="F5036">
        <v>129253.24</v>
      </c>
      <c r="G5036">
        <v>25707.53</v>
      </c>
      <c r="H5036" t="str">
        <f>VLOOKUP(myynnit[[#This Row],[TuoteID]],ohjaus!$A$4:$B$20,2,FALSE)</f>
        <v>Pinnatuoli</v>
      </c>
    </row>
    <row r="5037" spans="1:8" x14ac:dyDescent="0.35">
      <c r="A5037" t="s">
        <v>37</v>
      </c>
      <c r="B5037">
        <v>2018</v>
      </c>
      <c r="C5037">
        <v>3</v>
      </c>
      <c r="D5037">
        <v>13618</v>
      </c>
      <c r="E5037">
        <v>20</v>
      </c>
      <c r="F5037">
        <v>7991.9</v>
      </c>
      <c r="G5037">
        <v>3252.58</v>
      </c>
      <c r="H5037" t="str">
        <f>VLOOKUP(myynnit[[#This Row],[TuoteID]],ohjaus!$A$4:$B$20,2,FALSE)</f>
        <v>Pianotuoli</v>
      </c>
    </row>
    <row r="5038" spans="1:8" x14ac:dyDescent="0.35">
      <c r="A5038" t="s">
        <v>37</v>
      </c>
      <c r="B5038">
        <v>2018</v>
      </c>
      <c r="C5038">
        <v>3</v>
      </c>
      <c r="D5038">
        <v>16024</v>
      </c>
      <c r="E5038">
        <v>232</v>
      </c>
      <c r="F5038">
        <v>103019.12</v>
      </c>
      <c r="G5038">
        <v>32543.19</v>
      </c>
      <c r="H5038" t="str">
        <f>VLOOKUP(myynnit[[#This Row],[TuoteID]],ohjaus!$A$4:$B$20,2,FALSE)</f>
        <v>Työtuoli</v>
      </c>
    </row>
    <row r="5039" spans="1:8" x14ac:dyDescent="0.35">
      <c r="A5039" t="s">
        <v>37</v>
      </c>
      <c r="B5039">
        <v>2018</v>
      </c>
      <c r="C5039">
        <v>3</v>
      </c>
      <c r="D5039">
        <v>16650</v>
      </c>
      <c r="E5039">
        <v>54</v>
      </c>
      <c r="F5039">
        <v>9514.69</v>
      </c>
      <c r="G5039">
        <v>5061.74</v>
      </c>
      <c r="H5039" t="str">
        <f>VLOOKUP(myynnit[[#This Row],[TuoteID]],ohjaus!$A$4:$B$20,2,FALSE)</f>
        <v>Rahi</v>
      </c>
    </row>
    <row r="5040" spans="1:8" x14ac:dyDescent="0.35">
      <c r="A5040" t="s">
        <v>37</v>
      </c>
      <c r="B5040">
        <v>2018</v>
      </c>
      <c r="C5040">
        <v>3</v>
      </c>
      <c r="D5040">
        <v>17892</v>
      </c>
      <c r="E5040">
        <v>77</v>
      </c>
      <c r="F5040">
        <v>11410.99</v>
      </c>
      <c r="G5040">
        <v>2998.15</v>
      </c>
      <c r="H5040" t="str">
        <f>VLOOKUP(myynnit[[#This Row],[TuoteID]],ohjaus!$A$4:$B$20,2,FALSE)</f>
        <v>Lepotuoli</v>
      </c>
    </row>
    <row r="5041" spans="1:8" x14ac:dyDescent="0.35">
      <c r="A5041" t="s">
        <v>37</v>
      </c>
      <c r="B5041">
        <v>2018</v>
      </c>
      <c r="C5041">
        <v>3</v>
      </c>
      <c r="D5041">
        <v>18342</v>
      </c>
      <c r="E5041">
        <v>144</v>
      </c>
      <c r="F5041">
        <v>125039.08</v>
      </c>
      <c r="G5041">
        <v>34086.959999999999</v>
      </c>
      <c r="H5041" t="str">
        <f>VLOOKUP(myynnit[[#This Row],[TuoteID]],ohjaus!$A$4:$B$20,2,FALSE)</f>
        <v>Työtuoli</v>
      </c>
    </row>
    <row r="5042" spans="1:8" x14ac:dyDescent="0.35">
      <c r="A5042" t="s">
        <v>37</v>
      </c>
      <c r="B5042">
        <v>2018</v>
      </c>
      <c r="C5042">
        <v>3</v>
      </c>
      <c r="D5042">
        <v>20177</v>
      </c>
      <c r="E5042">
        <v>139</v>
      </c>
      <c r="F5042">
        <v>15041.78</v>
      </c>
      <c r="G5042">
        <v>6170.37</v>
      </c>
      <c r="H5042" t="str">
        <f>VLOOKUP(myynnit[[#This Row],[TuoteID]],ohjaus!$A$4:$B$20,2,FALSE)</f>
        <v>Säkkituoli</v>
      </c>
    </row>
    <row r="5043" spans="1:8" x14ac:dyDescent="0.35">
      <c r="A5043" t="s">
        <v>37</v>
      </c>
      <c r="B5043">
        <v>2018</v>
      </c>
      <c r="C5043">
        <v>3</v>
      </c>
      <c r="D5043">
        <v>21179</v>
      </c>
      <c r="E5043">
        <v>47</v>
      </c>
      <c r="F5043">
        <v>5325.06</v>
      </c>
      <c r="G5043">
        <v>2654.33</v>
      </c>
      <c r="H5043" t="str">
        <f>VLOOKUP(myynnit[[#This Row],[TuoteID]],ohjaus!$A$4:$B$20,2,FALSE)</f>
        <v>Rahi</v>
      </c>
    </row>
    <row r="5044" spans="1:8" x14ac:dyDescent="0.35">
      <c r="A5044" t="s">
        <v>37</v>
      </c>
      <c r="B5044">
        <v>2018</v>
      </c>
      <c r="C5044">
        <v>3</v>
      </c>
      <c r="D5044">
        <v>21260</v>
      </c>
      <c r="E5044">
        <v>65</v>
      </c>
      <c r="F5044">
        <v>13342.31</v>
      </c>
      <c r="G5044">
        <v>3228.81</v>
      </c>
      <c r="H5044" t="str">
        <f>VLOOKUP(myynnit[[#This Row],[TuoteID]],ohjaus!$A$4:$B$20,2,FALSE)</f>
        <v>Lepotuoli</v>
      </c>
    </row>
    <row r="5045" spans="1:8" x14ac:dyDescent="0.35">
      <c r="A5045" t="s">
        <v>37</v>
      </c>
      <c r="B5045">
        <v>2018</v>
      </c>
      <c r="C5045">
        <v>3</v>
      </c>
      <c r="D5045">
        <v>22317</v>
      </c>
      <c r="E5045">
        <v>124</v>
      </c>
      <c r="F5045">
        <v>10591.24</v>
      </c>
      <c r="G5045">
        <v>4300.01</v>
      </c>
      <c r="H5045" t="str">
        <f>VLOOKUP(myynnit[[#This Row],[TuoteID]],ohjaus!$A$4:$B$20,2,FALSE)</f>
        <v>Säkkituoli</v>
      </c>
    </row>
    <row r="5046" spans="1:8" x14ac:dyDescent="0.35">
      <c r="A5046" t="s">
        <v>37</v>
      </c>
      <c r="B5046">
        <v>2018</v>
      </c>
      <c r="C5046">
        <v>3</v>
      </c>
      <c r="D5046">
        <v>22940</v>
      </c>
      <c r="E5046">
        <v>818</v>
      </c>
      <c r="F5046">
        <v>106761.98</v>
      </c>
      <c r="G5046">
        <v>22396.91</v>
      </c>
      <c r="H5046" t="str">
        <f>VLOOKUP(myynnit[[#This Row],[TuoteID]],ohjaus!$A$4:$B$20,2,FALSE)</f>
        <v>Pinnatuoli</v>
      </c>
    </row>
    <row r="5047" spans="1:8" x14ac:dyDescent="0.35">
      <c r="A5047" t="s">
        <v>37</v>
      </c>
      <c r="B5047">
        <v>2018</v>
      </c>
      <c r="C5047">
        <v>3</v>
      </c>
      <c r="D5047">
        <v>23178</v>
      </c>
      <c r="E5047">
        <v>450</v>
      </c>
      <c r="F5047">
        <v>79205.279999999999</v>
      </c>
      <c r="G5047">
        <v>14893.09</v>
      </c>
      <c r="H5047" t="str">
        <f>VLOOKUP(myynnit[[#This Row],[TuoteID]],ohjaus!$A$4:$B$20,2,FALSE)</f>
        <v>Pinnatuoli</v>
      </c>
    </row>
    <row r="5048" spans="1:8" x14ac:dyDescent="0.35">
      <c r="A5048" t="s">
        <v>37</v>
      </c>
      <c r="B5048">
        <v>2018</v>
      </c>
      <c r="C5048">
        <v>3</v>
      </c>
      <c r="D5048">
        <v>23600</v>
      </c>
      <c r="E5048">
        <v>833</v>
      </c>
      <c r="F5048">
        <v>99690.72</v>
      </c>
      <c r="G5048">
        <v>20937.91</v>
      </c>
      <c r="H5048" t="str">
        <f>VLOOKUP(myynnit[[#This Row],[TuoteID]],ohjaus!$A$4:$B$20,2,FALSE)</f>
        <v>Pinnatuoli</v>
      </c>
    </row>
    <row r="5049" spans="1:8" x14ac:dyDescent="0.35">
      <c r="A5049" t="s">
        <v>37</v>
      </c>
      <c r="B5049">
        <v>2018</v>
      </c>
      <c r="C5049">
        <v>3</v>
      </c>
      <c r="D5049">
        <v>23756</v>
      </c>
      <c r="E5049">
        <v>86</v>
      </c>
      <c r="F5049">
        <v>16772.97</v>
      </c>
      <c r="G5049">
        <v>8118.46</v>
      </c>
      <c r="H5049" t="str">
        <f>VLOOKUP(myynnit[[#This Row],[TuoteID]],ohjaus!$A$4:$B$20,2,FALSE)</f>
        <v>Pianotuoli</v>
      </c>
    </row>
    <row r="5050" spans="1:8" x14ac:dyDescent="0.35">
      <c r="A5050" t="s">
        <v>37</v>
      </c>
      <c r="B5050">
        <v>2018</v>
      </c>
      <c r="C5050">
        <v>3</v>
      </c>
      <c r="D5050">
        <v>24326</v>
      </c>
      <c r="E5050">
        <v>109</v>
      </c>
      <c r="F5050">
        <v>14256.55</v>
      </c>
      <c r="G5050">
        <v>3962.2</v>
      </c>
      <c r="H5050" t="str">
        <f>VLOOKUP(myynnit[[#This Row],[TuoteID]],ohjaus!$A$4:$B$20,2,FALSE)</f>
        <v>Lepotuoli</v>
      </c>
    </row>
    <row r="5051" spans="1:8" x14ac:dyDescent="0.35">
      <c r="A5051" t="s">
        <v>40</v>
      </c>
      <c r="B5051">
        <v>2018</v>
      </c>
      <c r="C5051">
        <v>3</v>
      </c>
      <c r="D5051">
        <v>12184</v>
      </c>
      <c r="E5051">
        <v>38</v>
      </c>
      <c r="F5051">
        <v>4820.93</v>
      </c>
      <c r="G5051">
        <v>2190.14</v>
      </c>
      <c r="H5051" t="str">
        <f>VLOOKUP(myynnit[[#This Row],[TuoteID]],ohjaus!$A$4:$B$20,2,FALSE)</f>
        <v>Rahi</v>
      </c>
    </row>
    <row r="5052" spans="1:8" x14ac:dyDescent="0.35">
      <c r="A5052" t="s">
        <v>40</v>
      </c>
      <c r="B5052">
        <v>2018</v>
      </c>
      <c r="C5052">
        <v>3</v>
      </c>
      <c r="D5052">
        <v>12622</v>
      </c>
      <c r="E5052">
        <v>19</v>
      </c>
      <c r="F5052">
        <v>5131.6000000000004</v>
      </c>
      <c r="G5052">
        <v>2439.75</v>
      </c>
      <c r="H5052" t="str">
        <f>VLOOKUP(myynnit[[#This Row],[TuoteID]],ohjaus!$A$4:$B$20,2,FALSE)</f>
        <v>Pianotuoli</v>
      </c>
    </row>
    <row r="5053" spans="1:8" x14ac:dyDescent="0.35">
      <c r="A5053" t="s">
        <v>40</v>
      </c>
      <c r="B5053">
        <v>2018</v>
      </c>
      <c r="C5053">
        <v>3</v>
      </c>
      <c r="D5053">
        <v>13527</v>
      </c>
      <c r="E5053">
        <v>362</v>
      </c>
      <c r="F5053">
        <v>57429.56</v>
      </c>
      <c r="G5053">
        <v>10781.07</v>
      </c>
      <c r="H5053" t="str">
        <f>VLOOKUP(myynnit[[#This Row],[TuoteID]],ohjaus!$A$4:$B$20,2,FALSE)</f>
        <v>Pinnatuoli</v>
      </c>
    </row>
    <row r="5054" spans="1:8" x14ac:dyDescent="0.35">
      <c r="A5054" t="s">
        <v>40</v>
      </c>
      <c r="B5054">
        <v>2018</v>
      </c>
      <c r="C5054">
        <v>3</v>
      </c>
      <c r="D5054">
        <v>13618</v>
      </c>
      <c r="E5054">
        <v>9</v>
      </c>
      <c r="F5054">
        <v>3407.61</v>
      </c>
      <c r="G5054">
        <v>1371.91</v>
      </c>
      <c r="H5054" t="str">
        <f>VLOOKUP(myynnit[[#This Row],[TuoteID]],ohjaus!$A$4:$B$20,2,FALSE)</f>
        <v>Pianotuoli</v>
      </c>
    </row>
    <row r="5055" spans="1:8" x14ac:dyDescent="0.35">
      <c r="A5055" t="s">
        <v>40</v>
      </c>
      <c r="B5055">
        <v>2018</v>
      </c>
      <c r="C5055">
        <v>3</v>
      </c>
      <c r="D5055">
        <v>16024</v>
      </c>
      <c r="E5055">
        <v>225</v>
      </c>
      <c r="F5055">
        <v>100819.41</v>
      </c>
      <c r="G5055">
        <v>32711.41</v>
      </c>
      <c r="H5055" t="str">
        <f>VLOOKUP(myynnit[[#This Row],[TuoteID]],ohjaus!$A$4:$B$20,2,FALSE)</f>
        <v>Työtuoli</v>
      </c>
    </row>
    <row r="5056" spans="1:8" x14ac:dyDescent="0.35">
      <c r="A5056" t="s">
        <v>40</v>
      </c>
      <c r="B5056">
        <v>2018</v>
      </c>
      <c r="C5056">
        <v>3</v>
      </c>
      <c r="D5056">
        <v>16650</v>
      </c>
      <c r="E5056">
        <v>33</v>
      </c>
      <c r="F5056">
        <v>5637.94</v>
      </c>
      <c r="G5056">
        <v>3719.77</v>
      </c>
      <c r="H5056" t="str">
        <f>VLOOKUP(myynnit[[#This Row],[TuoteID]],ohjaus!$A$4:$B$20,2,FALSE)</f>
        <v>Rahi</v>
      </c>
    </row>
    <row r="5057" spans="1:8" x14ac:dyDescent="0.35">
      <c r="A5057" t="s">
        <v>40</v>
      </c>
      <c r="B5057">
        <v>2018</v>
      </c>
      <c r="C5057">
        <v>3</v>
      </c>
      <c r="D5057">
        <v>17892</v>
      </c>
      <c r="E5057">
        <v>52</v>
      </c>
      <c r="F5057">
        <v>7937.09</v>
      </c>
      <c r="G5057">
        <v>2064.04</v>
      </c>
      <c r="H5057" t="str">
        <f>VLOOKUP(myynnit[[#This Row],[TuoteID]],ohjaus!$A$4:$B$20,2,FALSE)</f>
        <v>Lepotuoli</v>
      </c>
    </row>
    <row r="5058" spans="1:8" x14ac:dyDescent="0.35">
      <c r="A5058" t="s">
        <v>40</v>
      </c>
      <c r="B5058">
        <v>2018</v>
      </c>
      <c r="C5058">
        <v>3</v>
      </c>
      <c r="D5058">
        <v>18342</v>
      </c>
      <c r="E5058">
        <v>13</v>
      </c>
      <c r="F5058">
        <v>11729.96</v>
      </c>
      <c r="G5058">
        <v>3365.36</v>
      </c>
      <c r="H5058" t="str">
        <f>VLOOKUP(myynnit[[#This Row],[TuoteID]],ohjaus!$A$4:$B$20,2,FALSE)</f>
        <v>Työtuoli</v>
      </c>
    </row>
    <row r="5059" spans="1:8" x14ac:dyDescent="0.35">
      <c r="A5059" t="s">
        <v>40</v>
      </c>
      <c r="B5059">
        <v>2018</v>
      </c>
      <c r="C5059">
        <v>3</v>
      </c>
      <c r="D5059">
        <v>20177</v>
      </c>
      <c r="E5059">
        <v>27</v>
      </c>
      <c r="F5059">
        <v>2747.95</v>
      </c>
      <c r="G5059">
        <v>1197.44</v>
      </c>
      <c r="H5059" t="str">
        <f>VLOOKUP(myynnit[[#This Row],[TuoteID]],ohjaus!$A$4:$B$20,2,FALSE)</f>
        <v>Säkkituoli</v>
      </c>
    </row>
    <row r="5060" spans="1:8" x14ac:dyDescent="0.35">
      <c r="A5060" t="s">
        <v>40</v>
      </c>
      <c r="B5060">
        <v>2018</v>
      </c>
      <c r="C5060">
        <v>3</v>
      </c>
      <c r="D5060">
        <v>21179</v>
      </c>
      <c r="E5060">
        <v>23</v>
      </c>
      <c r="F5060">
        <v>3279.57</v>
      </c>
      <c r="G5060">
        <v>1918.38</v>
      </c>
      <c r="H5060" t="str">
        <f>VLOOKUP(myynnit[[#This Row],[TuoteID]],ohjaus!$A$4:$B$20,2,FALSE)</f>
        <v>Rahi</v>
      </c>
    </row>
    <row r="5061" spans="1:8" x14ac:dyDescent="0.35">
      <c r="A5061" t="s">
        <v>40</v>
      </c>
      <c r="B5061">
        <v>2018</v>
      </c>
      <c r="C5061">
        <v>3</v>
      </c>
      <c r="D5061">
        <v>21260</v>
      </c>
      <c r="E5061">
        <v>30</v>
      </c>
      <c r="F5061">
        <v>5223.82</v>
      </c>
      <c r="G5061">
        <v>1162.79</v>
      </c>
      <c r="H5061" t="str">
        <f>VLOOKUP(myynnit[[#This Row],[TuoteID]],ohjaus!$A$4:$B$20,2,FALSE)</f>
        <v>Lepotuoli</v>
      </c>
    </row>
    <row r="5062" spans="1:8" x14ac:dyDescent="0.35">
      <c r="A5062" t="s">
        <v>40</v>
      </c>
      <c r="B5062">
        <v>2018</v>
      </c>
      <c r="C5062">
        <v>3</v>
      </c>
      <c r="D5062">
        <v>22317</v>
      </c>
      <c r="E5062">
        <v>14</v>
      </c>
      <c r="F5062">
        <v>1112.71</v>
      </c>
      <c r="G5062">
        <v>476.53</v>
      </c>
      <c r="H5062" t="str">
        <f>VLOOKUP(myynnit[[#This Row],[TuoteID]],ohjaus!$A$4:$B$20,2,FALSE)</f>
        <v>Säkkituoli</v>
      </c>
    </row>
    <row r="5063" spans="1:8" x14ac:dyDescent="0.35">
      <c r="A5063" t="s">
        <v>40</v>
      </c>
      <c r="B5063">
        <v>2018</v>
      </c>
      <c r="C5063">
        <v>3</v>
      </c>
      <c r="D5063">
        <v>22940</v>
      </c>
      <c r="E5063">
        <v>223</v>
      </c>
      <c r="F5063">
        <v>27651.21</v>
      </c>
      <c r="G5063">
        <v>6292.23</v>
      </c>
      <c r="H5063" t="str">
        <f>VLOOKUP(myynnit[[#This Row],[TuoteID]],ohjaus!$A$4:$B$20,2,FALSE)</f>
        <v>Pinnatuoli</v>
      </c>
    </row>
    <row r="5064" spans="1:8" x14ac:dyDescent="0.35">
      <c r="A5064" t="s">
        <v>40</v>
      </c>
      <c r="B5064">
        <v>2018</v>
      </c>
      <c r="C5064">
        <v>3</v>
      </c>
      <c r="D5064">
        <v>23178</v>
      </c>
      <c r="E5064">
        <v>278</v>
      </c>
      <c r="F5064">
        <v>44417.599999999999</v>
      </c>
      <c r="G5064">
        <v>10435.94</v>
      </c>
      <c r="H5064" t="str">
        <f>VLOOKUP(myynnit[[#This Row],[TuoteID]],ohjaus!$A$4:$B$20,2,FALSE)</f>
        <v>Pinnatuoli</v>
      </c>
    </row>
    <row r="5065" spans="1:8" x14ac:dyDescent="0.35">
      <c r="A5065" t="s">
        <v>40</v>
      </c>
      <c r="B5065">
        <v>2018</v>
      </c>
      <c r="C5065">
        <v>3</v>
      </c>
      <c r="D5065">
        <v>23600</v>
      </c>
      <c r="E5065">
        <v>531</v>
      </c>
      <c r="F5065">
        <v>55681.73</v>
      </c>
      <c r="G5065">
        <v>15051.04</v>
      </c>
      <c r="H5065" t="str">
        <f>VLOOKUP(myynnit[[#This Row],[TuoteID]],ohjaus!$A$4:$B$20,2,FALSE)</f>
        <v>Pinnatuoli</v>
      </c>
    </row>
    <row r="5066" spans="1:8" x14ac:dyDescent="0.35">
      <c r="A5066" t="s">
        <v>40</v>
      </c>
      <c r="B5066">
        <v>2018</v>
      </c>
      <c r="C5066">
        <v>3</v>
      </c>
      <c r="D5066">
        <v>23756</v>
      </c>
      <c r="E5066">
        <v>100</v>
      </c>
      <c r="F5066">
        <v>19223.36</v>
      </c>
      <c r="G5066">
        <v>9723.1200000000008</v>
      </c>
      <c r="H5066" t="str">
        <f>VLOOKUP(myynnit[[#This Row],[TuoteID]],ohjaus!$A$4:$B$20,2,FALSE)</f>
        <v>Pianotuoli</v>
      </c>
    </row>
    <row r="5067" spans="1:8" x14ac:dyDescent="0.35">
      <c r="A5067" t="s">
        <v>40</v>
      </c>
      <c r="B5067">
        <v>2018</v>
      </c>
      <c r="C5067">
        <v>3</v>
      </c>
      <c r="D5067">
        <v>24326</v>
      </c>
      <c r="E5067">
        <v>26</v>
      </c>
      <c r="F5067">
        <v>3425.49</v>
      </c>
      <c r="G5067">
        <v>1035.25</v>
      </c>
      <c r="H5067" t="str">
        <f>VLOOKUP(myynnit[[#This Row],[TuoteID]],ohjaus!$A$4:$B$20,2,FALSE)</f>
        <v>Lepotuoli</v>
      </c>
    </row>
    <row r="5068" spans="1:8" x14ac:dyDescent="0.35">
      <c r="A5068" t="s">
        <v>39</v>
      </c>
      <c r="B5068">
        <v>2018</v>
      </c>
      <c r="C5068">
        <v>3</v>
      </c>
      <c r="D5068">
        <v>12184</v>
      </c>
      <c r="E5068">
        <v>106</v>
      </c>
      <c r="F5068">
        <v>11955.12</v>
      </c>
      <c r="G5068">
        <v>7714.72</v>
      </c>
      <c r="H5068" t="str">
        <f>VLOOKUP(myynnit[[#This Row],[TuoteID]],ohjaus!$A$4:$B$20,2,FALSE)</f>
        <v>Rahi</v>
      </c>
    </row>
    <row r="5069" spans="1:8" x14ac:dyDescent="0.35">
      <c r="A5069" t="s">
        <v>39</v>
      </c>
      <c r="B5069">
        <v>2018</v>
      </c>
      <c r="C5069">
        <v>3</v>
      </c>
      <c r="D5069">
        <v>12622</v>
      </c>
      <c r="E5069">
        <v>35</v>
      </c>
      <c r="F5069">
        <v>10287.9</v>
      </c>
      <c r="G5069">
        <v>6306.71</v>
      </c>
      <c r="H5069" t="str">
        <f>VLOOKUP(myynnit[[#This Row],[TuoteID]],ohjaus!$A$4:$B$20,2,FALSE)</f>
        <v>Pianotuoli</v>
      </c>
    </row>
    <row r="5070" spans="1:8" x14ac:dyDescent="0.35">
      <c r="A5070" t="s">
        <v>39</v>
      </c>
      <c r="B5070">
        <v>2018</v>
      </c>
      <c r="C5070">
        <v>3</v>
      </c>
      <c r="D5070">
        <v>13527</v>
      </c>
      <c r="E5070">
        <v>372</v>
      </c>
      <c r="F5070">
        <v>65722.55</v>
      </c>
      <c r="G5070">
        <v>17722.66</v>
      </c>
      <c r="H5070" t="str">
        <f>VLOOKUP(myynnit[[#This Row],[TuoteID]],ohjaus!$A$4:$B$20,2,FALSE)</f>
        <v>Pinnatuoli</v>
      </c>
    </row>
    <row r="5071" spans="1:8" x14ac:dyDescent="0.35">
      <c r="A5071" t="s">
        <v>39</v>
      </c>
      <c r="B5071">
        <v>2018</v>
      </c>
      <c r="C5071">
        <v>3</v>
      </c>
      <c r="D5071">
        <v>13618</v>
      </c>
      <c r="E5071">
        <v>10</v>
      </c>
      <c r="F5071">
        <v>3539.86</v>
      </c>
      <c r="G5071">
        <v>1796.9</v>
      </c>
      <c r="H5071" t="str">
        <f>VLOOKUP(myynnit[[#This Row],[TuoteID]],ohjaus!$A$4:$B$20,2,FALSE)</f>
        <v>Pianotuoli</v>
      </c>
    </row>
    <row r="5072" spans="1:8" x14ac:dyDescent="0.35">
      <c r="A5072" t="s">
        <v>39</v>
      </c>
      <c r="B5072">
        <v>2018</v>
      </c>
      <c r="C5072">
        <v>3</v>
      </c>
      <c r="D5072">
        <v>16024</v>
      </c>
      <c r="E5072">
        <v>191</v>
      </c>
      <c r="F5072">
        <v>75431.94</v>
      </c>
      <c r="G5072">
        <v>19785.919999999998</v>
      </c>
      <c r="H5072" t="str">
        <f>VLOOKUP(myynnit[[#This Row],[TuoteID]],ohjaus!$A$4:$B$20,2,FALSE)</f>
        <v>Työtuoli</v>
      </c>
    </row>
    <row r="5073" spans="1:8" x14ac:dyDescent="0.35">
      <c r="A5073" t="s">
        <v>39</v>
      </c>
      <c r="B5073">
        <v>2018</v>
      </c>
      <c r="C5073">
        <v>3</v>
      </c>
      <c r="D5073">
        <v>16650</v>
      </c>
      <c r="E5073">
        <v>42</v>
      </c>
      <c r="F5073">
        <v>6353.68</v>
      </c>
      <c r="G5073">
        <v>5016.8599999999997</v>
      </c>
      <c r="H5073" t="str">
        <f>VLOOKUP(myynnit[[#This Row],[TuoteID]],ohjaus!$A$4:$B$20,2,FALSE)</f>
        <v>Rahi</v>
      </c>
    </row>
    <row r="5074" spans="1:8" x14ac:dyDescent="0.35">
      <c r="A5074" t="s">
        <v>39</v>
      </c>
      <c r="B5074">
        <v>2018</v>
      </c>
      <c r="C5074">
        <v>3</v>
      </c>
      <c r="D5074">
        <v>17892</v>
      </c>
      <c r="E5074">
        <v>50</v>
      </c>
      <c r="F5074">
        <v>6866.84</v>
      </c>
      <c r="G5074">
        <v>1945.32</v>
      </c>
      <c r="H5074" t="str">
        <f>VLOOKUP(myynnit[[#This Row],[TuoteID]],ohjaus!$A$4:$B$20,2,FALSE)</f>
        <v>Lepotuoli</v>
      </c>
    </row>
    <row r="5075" spans="1:8" x14ac:dyDescent="0.35">
      <c r="A5075" t="s">
        <v>39</v>
      </c>
      <c r="B5075">
        <v>2018</v>
      </c>
      <c r="C5075">
        <v>3</v>
      </c>
      <c r="D5075">
        <v>18342</v>
      </c>
      <c r="E5075">
        <v>80</v>
      </c>
      <c r="F5075">
        <v>74957.06</v>
      </c>
      <c r="G5075">
        <v>23770.57</v>
      </c>
      <c r="H5075" t="str">
        <f>VLOOKUP(myynnit[[#This Row],[TuoteID]],ohjaus!$A$4:$B$20,2,FALSE)</f>
        <v>Työtuoli</v>
      </c>
    </row>
    <row r="5076" spans="1:8" x14ac:dyDescent="0.35">
      <c r="A5076" t="s">
        <v>39</v>
      </c>
      <c r="B5076">
        <v>2018</v>
      </c>
      <c r="C5076">
        <v>3</v>
      </c>
      <c r="D5076">
        <v>20177</v>
      </c>
      <c r="E5076">
        <v>39</v>
      </c>
      <c r="F5076">
        <v>3469.3</v>
      </c>
      <c r="G5076">
        <v>1812.61</v>
      </c>
      <c r="H5076" t="str">
        <f>VLOOKUP(myynnit[[#This Row],[TuoteID]],ohjaus!$A$4:$B$20,2,FALSE)</f>
        <v>Säkkituoli</v>
      </c>
    </row>
    <row r="5077" spans="1:8" x14ac:dyDescent="0.35">
      <c r="A5077" t="s">
        <v>39</v>
      </c>
      <c r="B5077">
        <v>2018</v>
      </c>
      <c r="C5077">
        <v>3</v>
      </c>
      <c r="D5077">
        <v>21179</v>
      </c>
      <c r="E5077">
        <v>74</v>
      </c>
      <c r="F5077">
        <v>11987.12</v>
      </c>
      <c r="G5077">
        <v>7878.69</v>
      </c>
      <c r="H5077" t="str">
        <f>VLOOKUP(myynnit[[#This Row],[TuoteID]],ohjaus!$A$4:$B$20,2,FALSE)</f>
        <v>Rahi</v>
      </c>
    </row>
    <row r="5078" spans="1:8" x14ac:dyDescent="0.35">
      <c r="A5078" t="s">
        <v>39</v>
      </c>
      <c r="B5078">
        <v>2018</v>
      </c>
      <c r="C5078">
        <v>3</v>
      </c>
      <c r="D5078">
        <v>21260</v>
      </c>
      <c r="E5078">
        <v>33</v>
      </c>
      <c r="F5078">
        <v>6476.98</v>
      </c>
      <c r="G5078">
        <v>2232.98</v>
      </c>
      <c r="H5078" t="str">
        <f>VLOOKUP(myynnit[[#This Row],[TuoteID]],ohjaus!$A$4:$B$20,2,FALSE)</f>
        <v>Lepotuoli</v>
      </c>
    </row>
    <row r="5079" spans="1:8" x14ac:dyDescent="0.35">
      <c r="A5079" t="s">
        <v>39</v>
      </c>
      <c r="B5079">
        <v>2018</v>
      </c>
      <c r="C5079">
        <v>3</v>
      </c>
      <c r="D5079">
        <v>22317</v>
      </c>
      <c r="E5079">
        <v>51</v>
      </c>
      <c r="F5079">
        <v>3978.75</v>
      </c>
      <c r="G5079">
        <v>1624.74</v>
      </c>
      <c r="H5079" t="str">
        <f>VLOOKUP(myynnit[[#This Row],[TuoteID]],ohjaus!$A$4:$B$20,2,FALSE)</f>
        <v>Säkkituoli</v>
      </c>
    </row>
    <row r="5080" spans="1:8" x14ac:dyDescent="0.35">
      <c r="A5080" t="s">
        <v>39</v>
      </c>
      <c r="B5080">
        <v>2018</v>
      </c>
      <c r="C5080">
        <v>3</v>
      </c>
      <c r="D5080">
        <v>22940</v>
      </c>
      <c r="E5080">
        <v>468</v>
      </c>
      <c r="F5080">
        <v>62816.37</v>
      </c>
      <c r="G5080">
        <v>18134.61</v>
      </c>
      <c r="H5080" t="str">
        <f>VLOOKUP(myynnit[[#This Row],[TuoteID]],ohjaus!$A$4:$B$20,2,FALSE)</f>
        <v>Pinnatuoli</v>
      </c>
    </row>
    <row r="5081" spans="1:8" x14ac:dyDescent="0.35">
      <c r="A5081" t="s">
        <v>39</v>
      </c>
      <c r="B5081">
        <v>2018</v>
      </c>
      <c r="C5081">
        <v>3</v>
      </c>
      <c r="D5081">
        <v>23178</v>
      </c>
      <c r="E5081">
        <v>264</v>
      </c>
      <c r="F5081">
        <v>49554.18</v>
      </c>
      <c r="G5081">
        <v>11869.72</v>
      </c>
      <c r="H5081" t="str">
        <f>VLOOKUP(myynnit[[#This Row],[TuoteID]],ohjaus!$A$4:$B$20,2,FALSE)</f>
        <v>Pinnatuoli</v>
      </c>
    </row>
    <row r="5082" spans="1:8" x14ac:dyDescent="0.35">
      <c r="A5082" t="s">
        <v>39</v>
      </c>
      <c r="B5082">
        <v>2018</v>
      </c>
      <c r="C5082">
        <v>3</v>
      </c>
      <c r="D5082">
        <v>23600</v>
      </c>
      <c r="E5082">
        <v>861</v>
      </c>
      <c r="F5082">
        <v>97197.53</v>
      </c>
      <c r="G5082">
        <v>23901.200000000001</v>
      </c>
      <c r="H5082" t="str">
        <f>VLOOKUP(myynnit[[#This Row],[TuoteID]],ohjaus!$A$4:$B$20,2,FALSE)</f>
        <v>Pinnatuoli</v>
      </c>
    </row>
    <row r="5083" spans="1:8" x14ac:dyDescent="0.35">
      <c r="A5083" t="s">
        <v>39</v>
      </c>
      <c r="B5083">
        <v>2018</v>
      </c>
      <c r="C5083">
        <v>3</v>
      </c>
      <c r="D5083">
        <v>23756</v>
      </c>
      <c r="E5083">
        <v>136</v>
      </c>
      <c r="F5083">
        <v>22173.38</v>
      </c>
      <c r="G5083">
        <v>12116.1</v>
      </c>
      <c r="H5083" t="str">
        <f>VLOOKUP(myynnit[[#This Row],[TuoteID]],ohjaus!$A$4:$B$20,2,FALSE)</f>
        <v>Pianotuoli</v>
      </c>
    </row>
    <row r="5084" spans="1:8" x14ac:dyDescent="0.35">
      <c r="A5084" t="s">
        <v>39</v>
      </c>
      <c r="B5084">
        <v>2018</v>
      </c>
      <c r="C5084">
        <v>3</v>
      </c>
      <c r="D5084">
        <v>24326</v>
      </c>
      <c r="E5084">
        <v>121</v>
      </c>
      <c r="F5084">
        <v>19291.62</v>
      </c>
      <c r="G5084">
        <v>6606.25</v>
      </c>
      <c r="H5084" t="str">
        <f>VLOOKUP(myynnit[[#This Row],[TuoteID]],ohjaus!$A$4:$B$20,2,FALSE)</f>
        <v>Lepotuoli</v>
      </c>
    </row>
    <row r="5085" spans="1:8" x14ac:dyDescent="0.35">
      <c r="A5085" t="s">
        <v>38</v>
      </c>
      <c r="B5085">
        <v>2018</v>
      </c>
      <c r="C5085">
        <v>3</v>
      </c>
      <c r="D5085">
        <v>12184</v>
      </c>
      <c r="E5085">
        <v>85</v>
      </c>
      <c r="F5085">
        <v>9779.92</v>
      </c>
      <c r="G5085">
        <v>6305.12</v>
      </c>
      <c r="H5085" t="str">
        <f>VLOOKUP(myynnit[[#This Row],[TuoteID]],ohjaus!$A$4:$B$20,2,FALSE)</f>
        <v>Rahi</v>
      </c>
    </row>
    <row r="5086" spans="1:8" x14ac:dyDescent="0.35">
      <c r="A5086" t="s">
        <v>38</v>
      </c>
      <c r="B5086">
        <v>2018</v>
      </c>
      <c r="C5086">
        <v>3</v>
      </c>
      <c r="D5086">
        <v>12622</v>
      </c>
      <c r="E5086">
        <v>33</v>
      </c>
      <c r="F5086">
        <v>8109.96</v>
      </c>
      <c r="G5086">
        <v>4161.7</v>
      </c>
      <c r="H5086" t="str">
        <f>VLOOKUP(myynnit[[#This Row],[TuoteID]],ohjaus!$A$4:$B$20,2,FALSE)</f>
        <v>Pianotuoli</v>
      </c>
    </row>
    <row r="5087" spans="1:8" x14ac:dyDescent="0.35">
      <c r="A5087" t="s">
        <v>38</v>
      </c>
      <c r="B5087">
        <v>2018</v>
      </c>
      <c r="C5087">
        <v>3</v>
      </c>
      <c r="D5087">
        <v>13527</v>
      </c>
      <c r="E5087">
        <v>332</v>
      </c>
      <c r="F5087">
        <v>55280.35</v>
      </c>
      <c r="G5087">
        <v>11143.38</v>
      </c>
      <c r="H5087" t="str">
        <f>VLOOKUP(myynnit[[#This Row],[TuoteID]],ohjaus!$A$4:$B$20,2,FALSE)</f>
        <v>Pinnatuoli</v>
      </c>
    </row>
    <row r="5088" spans="1:8" x14ac:dyDescent="0.35">
      <c r="A5088" t="s">
        <v>38</v>
      </c>
      <c r="B5088">
        <v>2018</v>
      </c>
      <c r="C5088">
        <v>3</v>
      </c>
      <c r="D5088">
        <v>13618</v>
      </c>
      <c r="E5088">
        <v>10</v>
      </c>
      <c r="F5088">
        <v>3914.22</v>
      </c>
      <c r="G5088">
        <v>1993.62</v>
      </c>
      <c r="H5088" t="str">
        <f>VLOOKUP(myynnit[[#This Row],[TuoteID]],ohjaus!$A$4:$B$20,2,FALSE)</f>
        <v>Pianotuoli</v>
      </c>
    </row>
    <row r="5089" spans="1:8" x14ac:dyDescent="0.35">
      <c r="A5089" t="s">
        <v>38</v>
      </c>
      <c r="B5089">
        <v>2018</v>
      </c>
      <c r="C5089">
        <v>3</v>
      </c>
      <c r="D5089">
        <v>16024</v>
      </c>
      <c r="E5089">
        <v>150</v>
      </c>
      <c r="F5089">
        <v>70234.22</v>
      </c>
      <c r="G5089">
        <v>16596.57</v>
      </c>
      <c r="H5089" t="str">
        <f>VLOOKUP(myynnit[[#This Row],[TuoteID]],ohjaus!$A$4:$B$20,2,FALSE)</f>
        <v>Työtuoli</v>
      </c>
    </row>
    <row r="5090" spans="1:8" x14ac:dyDescent="0.35">
      <c r="A5090" t="s">
        <v>38</v>
      </c>
      <c r="B5090">
        <v>2018</v>
      </c>
      <c r="C5090">
        <v>3</v>
      </c>
      <c r="D5090">
        <v>16650</v>
      </c>
      <c r="E5090">
        <v>35</v>
      </c>
      <c r="F5090">
        <v>5590.88</v>
      </c>
      <c r="G5090">
        <v>3302.19</v>
      </c>
      <c r="H5090" t="str">
        <f>VLOOKUP(myynnit[[#This Row],[TuoteID]],ohjaus!$A$4:$B$20,2,FALSE)</f>
        <v>Rahi</v>
      </c>
    </row>
    <row r="5091" spans="1:8" x14ac:dyDescent="0.35">
      <c r="A5091" t="s">
        <v>38</v>
      </c>
      <c r="B5091">
        <v>2018</v>
      </c>
      <c r="C5091">
        <v>3</v>
      </c>
      <c r="D5091">
        <v>17892</v>
      </c>
      <c r="E5091">
        <v>88</v>
      </c>
      <c r="F5091">
        <v>13196.91</v>
      </c>
      <c r="G5091">
        <v>3694.96</v>
      </c>
      <c r="H5091" t="str">
        <f>VLOOKUP(myynnit[[#This Row],[TuoteID]],ohjaus!$A$4:$B$20,2,FALSE)</f>
        <v>Lepotuoli</v>
      </c>
    </row>
    <row r="5092" spans="1:8" x14ac:dyDescent="0.35">
      <c r="A5092" t="s">
        <v>38</v>
      </c>
      <c r="B5092">
        <v>2018</v>
      </c>
      <c r="C5092">
        <v>3</v>
      </c>
      <c r="D5092">
        <v>18342</v>
      </c>
      <c r="E5092">
        <v>109</v>
      </c>
      <c r="F5092">
        <v>97402.57</v>
      </c>
      <c r="G5092">
        <v>26845.34</v>
      </c>
      <c r="H5092" t="str">
        <f>VLOOKUP(myynnit[[#This Row],[TuoteID]],ohjaus!$A$4:$B$20,2,FALSE)</f>
        <v>Työtuoli</v>
      </c>
    </row>
    <row r="5093" spans="1:8" x14ac:dyDescent="0.35">
      <c r="A5093" t="s">
        <v>38</v>
      </c>
      <c r="B5093">
        <v>2018</v>
      </c>
      <c r="C5093">
        <v>3</v>
      </c>
      <c r="D5093">
        <v>20177</v>
      </c>
      <c r="E5093">
        <v>89</v>
      </c>
      <c r="F5093">
        <v>8802.01</v>
      </c>
      <c r="G5093">
        <v>3472</v>
      </c>
      <c r="H5093" t="str">
        <f>VLOOKUP(myynnit[[#This Row],[TuoteID]],ohjaus!$A$4:$B$20,2,FALSE)</f>
        <v>Säkkituoli</v>
      </c>
    </row>
    <row r="5094" spans="1:8" x14ac:dyDescent="0.35">
      <c r="A5094" t="s">
        <v>38</v>
      </c>
      <c r="B5094">
        <v>2018</v>
      </c>
      <c r="C5094">
        <v>3</v>
      </c>
      <c r="D5094">
        <v>21179</v>
      </c>
      <c r="E5094">
        <v>55</v>
      </c>
      <c r="F5094">
        <v>7542.51</v>
      </c>
      <c r="G5094">
        <v>4534.09</v>
      </c>
      <c r="H5094" t="str">
        <f>VLOOKUP(myynnit[[#This Row],[TuoteID]],ohjaus!$A$4:$B$20,2,FALSE)</f>
        <v>Rahi</v>
      </c>
    </row>
    <row r="5095" spans="1:8" x14ac:dyDescent="0.35">
      <c r="A5095" t="s">
        <v>38</v>
      </c>
      <c r="B5095">
        <v>2018</v>
      </c>
      <c r="C5095">
        <v>3</v>
      </c>
      <c r="D5095">
        <v>21260</v>
      </c>
      <c r="E5095">
        <v>84</v>
      </c>
      <c r="F5095">
        <v>16174.63</v>
      </c>
      <c r="G5095">
        <v>3540.49</v>
      </c>
      <c r="H5095" t="str">
        <f>VLOOKUP(myynnit[[#This Row],[TuoteID]],ohjaus!$A$4:$B$20,2,FALSE)</f>
        <v>Lepotuoli</v>
      </c>
    </row>
    <row r="5096" spans="1:8" x14ac:dyDescent="0.35">
      <c r="A5096" t="s">
        <v>38</v>
      </c>
      <c r="B5096">
        <v>2018</v>
      </c>
      <c r="C5096">
        <v>3</v>
      </c>
      <c r="D5096">
        <v>22317</v>
      </c>
      <c r="E5096">
        <v>40</v>
      </c>
      <c r="F5096">
        <v>3827.42</v>
      </c>
      <c r="G5096">
        <v>1392.66</v>
      </c>
      <c r="H5096" t="str">
        <f>VLOOKUP(myynnit[[#This Row],[TuoteID]],ohjaus!$A$4:$B$20,2,FALSE)</f>
        <v>Säkkituoli</v>
      </c>
    </row>
    <row r="5097" spans="1:8" x14ac:dyDescent="0.35">
      <c r="A5097" t="s">
        <v>38</v>
      </c>
      <c r="B5097">
        <v>2018</v>
      </c>
      <c r="C5097">
        <v>3</v>
      </c>
      <c r="D5097">
        <v>22940</v>
      </c>
      <c r="E5097">
        <v>586</v>
      </c>
      <c r="F5097">
        <v>79173.210000000006</v>
      </c>
      <c r="G5097">
        <v>17481.77</v>
      </c>
      <c r="H5097" t="str">
        <f>VLOOKUP(myynnit[[#This Row],[TuoteID]],ohjaus!$A$4:$B$20,2,FALSE)</f>
        <v>Pinnatuoli</v>
      </c>
    </row>
    <row r="5098" spans="1:8" x14ac:dyDescent="0.35">
      <c r="A5098" t="s">
        <v>38</v>
      </c>
      <c r="B5098">
        <v>2018</v>
      </c>
      <c r="C5098">
        <v>3</v>
      </c>
      <c r="D5098">
        <v>23178</v>
      </c>
      <c r="E5098">
        <v>233</v>
      </c>
      <c r="F5098">
        <v>38826.199999999997</v>
      </c>
      <c r="G5098">
        <v>8110.57</v>
      </c>
      <c r="H5098" t="str">
        <f>VLOOKUP(myynnit[[#This Row],[TuoteID]],ohjaus!$A$4:$B$20,2,FALSE)</f>
        <v>Pinnatuoli</v>
      </c>
    </row>
    <row r="5099" spans="1:8" x14ac:dyDescent="0.35">
      <c r="A5099" t="s">
        <v>38</v>
      </c>
      <c r="B5099">
        <v>2018</v>
      </c>
      <c r="C5099">
        <v>3</v>
      </c>
      <c r="D5099">
        <v>23600</v>
      </c>
      <c r="E5099">
        <v>553</v>
      </c>
      <c r="F5099">
        <v>62991.32</v>
      </c>
      <c r="G5099">
        <v>13343.4</v>
      </c>
      <c r="H5099" t="str">
        <f>VLOOKUP(myynnit[[#This Row],[TuoteID]],ohjaus!$A$4:$B$20,2,FALSE)</f>
        <v>Pinnatuoli</v>
      </c>
    </row>
    <row r="5100" spans="1:8" x14ac:dyDescent="0.35">
      <c r="A5100" t="s">
        <v>38</v>
      </c>
      <c r="B5100">
        <v>2018</v>
      </c>
      <c r="C5100">
        <v>3</v>
      </c>
      <c r="D5100">
        <v>23756</v>
      </c>
      <c r="E5100">
        <v>111</v>
      </c>
      <c r="F5100">
        <v>23377.040000000001</v>
      </c>
      <c r="G5100">
        <v>9478.61</v>
      </c>
      <c r="H5100" t="str">
        <f>VLOOKUP(myynnit[[#This Row],[TuoteID]],ohjaus!$A$4:$B$20,2,FALSE)</f>
        <v>Pianotuoli</v>
      </c>
    </row>
    <row r="5101" spans="1:8" x14ac:dyDescent="0.35">
      <c r="A5101" t="s">
        <v>38</v>
      </c>
      <c r="B5101">
        <v>2018</v>
      </c>
      <c r="C5101">
        <v>3</v>
      </c>
      <c r="D5101">
        <v>24326</v>
      </c>
      <c r="E5101">
        <v>136</v>
      </c>
      <c r="F5101">
        <v>20925.560000000001</v>
      </c>
      <c r="G5101">
        <v>5873.64</v>
      </c>
      <c r="H5101" t="str">
        <f>VLOOKUP(myynnit[[#This Row],[TuoteID]],ohjaus!$A$4:$B$20,2,FALSE)</f>
        <v>Lepotuoli</v>
      </c>
    </row>
    <row r="5102" spans="1:8" x14ac:dyDescent="0.35">
      <c r="A5102" t="s">
        <v>37</v>
      </c>
      <c r="B5102">
        <v>2018</v>
      </c>
      <c r="C5102">
        <v>4</v>
      </c>
      <c r="D5102">
        <v>12184</v>
      </c>
      <c r="E5102">
        <v>104</v>
      </c>
      <c r="F5102">
        <v>11377.24</v>
      </c>
      <c r="G5102">
        <v>5090.7</v>
      </c>
      <c r="H5102" t="str">
        <f>VLOOKUP(myynnit[[#This Row],[TuoteID]],ohjaus!$A$4:$B$20,2,FALSE)</f>
        <v>Rahi</v>
      </c>
    </row>
    <row r="5103" spans="1:8" x14ac:dyDescent="0.35">
      <c r="A5103" t="s">
        <v>37</v>
      </c>
      <c r="B5103">
        <v>2018</v>
      </c>
      <c r="C5103">
        <v>4</v>
      </c>
      <c r="D5103">
        <v>12622</v>
      </c>
      <c r="E5103">
        <v>28</v>
      </c>
      <c r="F5103">
        <v>6773.12</v>
      </c>
      <c r="G5103">
        <v>3698.46</v>
      </c>
      <c r="H5103" t="str">
        <f>VLOOKUP(myynnit[[#This Row],[TuoteID]],ohjaus!$A$4:$B$20,2,FALSE)</f>
        <v>Pianotuoli</v>
      </c>
    </row>
    <row r="5104" spans="1:8" x14ac:dyDescent="0.35">
      <c r="A5104" t="s">
        <v>37</v>
      </c>
      <c r="B5104">
        <v>2018</v>
      </c>
      <c r="C5104">
        <v>4</v>
      </c>
      <c r="D5104">
        <v>13527</v>
      </c>
      <c r="E5104">
        <v>593</v>
      </c>
      <c r="F5104">
        <v>99692.91</v>
      </c>
      <c r="G5104">
        <v>21822.61</v>
      </c>
      <c r="H5104" t="str">
        <f>VLOOKUP(myynnit[[#This Row],[TuoteID]],ohjaus!$A$4:$B$20,2,FALSE)</f>
        <v>Pinnatuoli</v>
      </c>
    </row>
    <row r="5105" spans="1:8" x14ac:dyDescent="0.35">
      <c r="A5105" t="s">
        <v>37</v>
      </c>
      <c r="B5105">
        <v>2018</v>
      </c>
      <c r="C5105">
        <v>4</v>
      </c>
      <c r="D5105">
        <v>13618</v>
      </c>
      <c r="E5105">
        <v>21</v>
      </c>
      <c r="F5105">
        <v>7553.75</v>
      </c>
      <c r="G5105">
        <v>3164.08</v>
      </c>
      <c r="H5105" t="str">
        <f>VLOOKUP(myynnit[[#This Row],[TuoteID]],ohjaus!$A$4:$B$20,2,FALSE)</f>
        <v>Pianotuoli</v>
      </c>
    </row>
    <row r="5106" spans="1:8" x14ac:dyDescent="0.35">
      <c r="A5106" t="s">
        <v>37</v>
      </c>
      <c r="B5106">
        <v>2018</v>
      </c>
      <c r="C5106">
        <v>4</v>
      </c>
      <c r="D5106">
        <v>16024</v>
      </c>
      <c r="E5106">
        <v>250</v>
      </c>
      <c r="F5106">
        <v>95676.71</v>
      </c>
      <c r="G5106">
        <v>28359.23</v>
      </c>
      <c r="H5106" t="str">
        <f>VLOOKUP(myynnit[[#This Row],[TuoteID]],ohjaus!$A$4:$B$20,2,FALSE)</f>
        <v>Työtuoli</v>
      </c>
    </row>
    <row r="5107" spans="1:8" x14ac:dyDescent="0.35">
      <c r="A5107" t="s">
        <v>37</v>
      </c>
      <c r="B5107">
        <v>2018</v>
      </c>
      <c r="C5107">
        <v>4</v>
      </c>
      <c r="D5107">
        <v>16650</v>
      </c>
      <c r="E5107">
        <v>77</v>
      </c>
      <c r="F5107">
        <v>12320.23</v>
      </c>
      <c r="G5107">
        <v>5050.7700000000004</v>
      </c>
      <c r="H5107" t="str">
        <f>VLOOKUP(myynnit[[#This Row],[TuoteID]],ohjaus!$A$4:$B$20,2,FALSE)</f>
        <v>Rahi</v>
      </c>
    </row>
    <row r="5108" spans="1:8" x14ac:dyDescent="0.35">
      <c r="A5108" t="s">
        <v>37</v>
      </c>
      <c r="B5108">
        <v>2018</v>
      </c>
      <c r="C5108">
        <v>4</v>
      </c>
      <c r="D5108">
        <v>17892</v>
      </c>
      <c r="E5108">
        <v>67</v>
      </c>
      <c r="F5108">
        <v>10203.56</v>
      </c>
      <c r="G5108">
        <v>2980.03</v>
      </c>
      <c r="H5108" t="str">
        <f>VLOOKUP(myynnit[[#This Row],[TuoteID]],ohjaus!$A$4:$B$20,2,FALSE)</f>
        <v>Lepotuoli</v>
      </c>
    </row>
    <row r="5109" spans="1:8" x14ac:dyDescent="0.35">
      <c r="A5109" t="s">
        <v>37</v>
      </c>
      <c r="B5109">
        <v>2018</v>
      </c>
      <c r="C5109">
        <v>4</v>
      </c>
      <c r="D5109">
        <v>18342</v>
      </c>
      <c r="E5109">
        <v>228</v>
      </c>
      <c r="F5109">
        <v>193792.52</v>
      </c>
      <c r="G5109">
        <v>58665.75</v>
      </c>
      <c r="H5109" t="str">
        <f>VLOOKUP(myynnit[[#This Row],[TuoteID]],ohjaus!$A$4:$B$20,2,FALSE)</f>
        <v>Työtuoli</v>
      </c>
    </row>
    <row r="5110" spans="1:8" x14ac:dyDescent="0.35">
      <c r="A5110" t="s">
        <v>37</v>
      </c>
      <c r="B5110">
        <v>2018</v>
      </c>
      <c r="C5110">
        <v>4</v>
      </c>
      <c r="D5110">
        <v>20177</v>
      </c>
      <c r="E5110">
        <v>95</v>
      </c>
      <c r="F5110">
        <v>10882.35</v>
      </c>
      <c r="G5110">
        <v>3848.67</v>
      </c>
      <c r="H5110" t="str">
        <f>VLOOKUP(myynnit[[#This Row],[TuoteID]],ohjaus!$A$4:$B$20,2,FALSE)</f>
        <v>Säkkituoli</v>
      </c>
    </row>
    <row r="5111" spans="1:8" x14ac:dyDescent="0.35">
      <c r="A5111" t="s">
        <v>37</v>
      </c>
      <c r="B5111">
        <v>2018</v>
      </c>
      <c r="C5111">
        <v>4</v>
      </c>
      <c r="D5111">
        <v>21179</v>
      </c>
      <c r="E5111">
        <v>42</v>
      </c>
      <c r="F5111">
        <v>5558.31</v>
      </c>
      <c r="G5111">
        <v>2582.6799999999998</v>
      </c>
      <c r="H5111" t="str">
        <f>VLOOKUP(myynnit[[#This Row],[TuoteID]],ohjaus!$A$4:$B$20,2,FALSE)</f>
        <v>Rahi</v>
      </c>
    </row>
    <row r="5112" spans="1:8" x14ac:dyDescent="0.35">
      <c r="A5112" t="s">
        <v>37</v>
      </c>
      <c r="B5112">
        <v>2018</v>
      </c>
      <c r="C5112">
        <v>4</v>
      </c>
      <c r="D5112">
        <v>21260</v>
      </c>
      <c r="E5112">
        <v>98</v>
      </c>
      <c r="F5112">
        <v>21159.95</v>
      </c>
      <c r="G5112">
        <v>5292.82</v>
      </c>
      <c r="H5112" t="str">
        <f>VLOOKUP(myynnit[[#This Row],[TuoteID]],ohjaus!$A$4:$B$20,2,FALSE)</f>
        <v>Lepotuoli</v>
      </c>
    </row>
    <row r="5113" spans="1:8" x14ac:dyDescent="0.35">
      <c r="A5113" t="s">
        <v>37</v>
      </c>
      <c r="B5113">
        <v>2018</v>
      </c>
      <c r="C5113">
        <v>4</v>
      </c>
      <c r="D5113">
        <v>22317</v>
      </c>
      <c r="E5113">
        <v>51</v>
      </c>
      <c r="F5113">
        <v>4236.5</v>
      </c>
      <c r="G5113">
        <v>1668.85</v>
      </c>
      <c r="H5113" t="str">
        <f>VLOOKUP(myynnit[[#This Row],[TuoteID]],ohjaus!$A$4:$B$20,2,FALSE)</f>
        <v>Säkkituoli</v>
      </c>
    </row>
    <row r="5114" spans="1:8" x14ac:dyDescent="0.35">
      <c r="A5114" t="s">
        <v>37</v>
      </c>
      <c r="B5114">
        <v>2018</v>
      </c>
      <c r="C5114">
        <v>4</v>
      </c>
      <c r="D5114">
        <v>22940</v>
      </c>
      <c r="E5114">
        <v>377</v>
      </c>
      <c r="F5114">
        <v>46715.59</v>
      </c>
      <c r="G5114">
        <v>7770.01</v>
      </c>
      <c r="H5114" t="str">
        <f>VLOOKUP(myynnit[[#This Row],[TuoteID]],ohjaus!$A$4:$B$20,2,FALSE)</f>
        <v>Pinnatuoli</v>
      </c>
    </row>
    <row r="5115" spans="1:8" x14ac:dyDescent="0.35">
      <c r="A5115" t="s">
        <v>37</v>
      </c>
      <c r="B5115">
        <v>2018</v>
      </c>
      <c r="C5115">
        <v>4</v>
      </c>
      <c r="D5115">
        <v>23178</v>
      </c>
      <c r="E5115">
        <v>389</v>
      </c>
      <c r="F5115">
        <v>71735.899999999994</v>
      </c>
      <c r="G5115">
        <v>11551.63</v>
      </c>
      <c r="H5115" t="str">
        <f>VLOOKUP(myynnit[[#This Row],[TuoteID]],ohjaus!$A$4:$B$20,2,FALSE)</f>
        <v>Pinnatuoli</v>
      </c>
    </row>
    <row r="5116" spans="1:8" x14ac:dyDescent="0.35">
      <c r="A5116" t="s">
        <v>37</v>
      </c>
      <c r="B5116">
        <v>2018</v>
      </c>
      <c r="C5116">
        <v>4</v>
      </c>
      <c r="D5116">
        <v>23600</v>
      </c>
      <c r="E5116">
        <v>798</v>
      </c>
      <c r="F5116">
        <v>87232.16</v>
      </c>
      <c r="G5116">
        <v>19181.080000000002</v>
      </c>
      <c r="H5116" t="str">
        <f>VLOOKUP(myynnit[[#This Row],[TuoteID]],ohjaus!$A$4:$B$20,2,FALSE)</f>
        <v>Pinnatuoli</v>
      </c>
    </row>
    <row r="5117" spans="1:8" x14ac:dyDescent="0.35">
      <c r="A5117" t="s">
        <v>37</v>
      </c>
      <c r="B5117">
        <v>2018</v>
      </c>
      <c r="C5117">
        <v>4</v>
      </c>
      <c r="D5117">
        <v>23756</v>
      </c>
      <c r="E5117">
        <v>123</v>
      </c>
      <c r="F5117">
        <v>20759.009999999998</v>
      </c>
      <c r="G5117">
        <v>8988.24</v>
      </c>
      <c r="H5117" t="str">
        <f>VLOOKUP(myynnit[[#This Row],[TuoteID]],ohjaus!$A$4:$B$20,2,FALSE)</f>
        <v>Pianotuoli</v>
      </c>
    </row>
    <row r="5118" spans="1:8" x14ac:dyDescent="0.35">
      <c r="A5118" t="s">
        <v>37</v>
      </c>
      <c r="B5118">
        <v>2018</v>
      </c>
      <c r="C5118">
        <v>4</v>
      </c>
      <c r="D5118">
        <v>24326</v>
      </c>
      <c r="E5118">
        <v>81</v>
      </c>
      <c r="F5118">
        <v>12608.25</v>
      </c>
      <c r="G5118">
        <v>3715.92</v>
      </c>
      <c r="H5118" t="str">
        <f>VLOOKUP(myynnit[[#This Row],[TuoteID]],ohjaus!$A$4:$B$20,2,FALSE)</f>
        <v>Lepotuoli</v>
      </c>
    </row>
    <row r="5119" spans="1:8" x14ac:dyDescent="0.35">
      <c r="A5119" t="s">
        <v>40</v>
      </c>
      <c r="B5119">
        <v>2018</v>
      </c>
      <c r="C5119">
        <v>4</v>
      </c>
      <c r="D5119">
        <v>12184</v>
      </c>
      <c r="E5119">
        <v>17</v>
      </c>
      <c r="F5119">
        <v>2215.0300000000002</v>
      </c>
      <c r="G5119">
        <v>1118.17</v>
      </c>
      <c r="H5119" t="str">
        <f>VLOOKUP(myynnit[[#This Row],[TuoteID]],ohjaus!$A$4:$B$20,2,FALSE)</f>
        <v>Rahi</v>
      </c>
    </row>
    <row r="5120" spans="1:8" x14ac:dyDescent="0.35">
      <c r="A5120" t="s">
        <v>40</v>
      </c>
      <c r="B5120">
        <v>2018</v>
      </c>
      <c r="C5120">
        <v>4</v>
      </c>
      <c r="D5120">
        <v>12622</v>
      </c>
      <c r="E5120">
        <v>12</v>
      </c>
      <c r="F5120">
        <v>2866.73</v>
      </c>
      <c r="G5120">
        <v>1323.78</v>
      </c>
      <c r="H5120" t="str">
        <f>VLOOKUP(myynnit[[#This Row],[TuoteID]],ohjaus!$A$4:$B$20,2,FALSE)</f>
        <v>Pianotuoli</v>
      </c>
    </row>
    <row r="5121" spans="1:8" x14ac:dyDescent="0.35">
      <c r="A5121" t="s">
        <v>40</v>
      </c>
      <c r="B5121">
        <v>2018</v>
      </c>
      <c r="C5121">
        <v>4</v>
      </c>
      <c r="D5121">
        <v>13527</v>
      </c>
      <c r="E5121">
        <v>330</v>
      </c>
      <c r="F5121">
        <v>51471.14</v>
      </c>
      <c r="G5121">
        <v>7998.55</v>
      </c>
      <c r="H5121" t="str">
        <f>VLOOKUP(myynnit[[#This Row],[TuoteID]],ohjaus!$A$4:$B$20,2,FALSE)</f>
        <v>Pinnatuoli</v>
      </c>
    </row>
    <row r="5122" spans="1:8" x14ac:dyDescent="0.35">
      <c r="A5122" t="s">
        <v>40</v>
      </c>
      <c r="B5122">
        <v>2018</v>
      </c>
      <c r="C5122">
        <v>4</v>
      </c>
      <c r="D5122">
        <v>13618</v>
      </c>
      <c r="E5122">
        <v>4</v>
      </c>
      <c r="F5122">
        <v>1350.19</v>
      </c>
      <c r="G5122">
        <v>672.07</v>
      </c>
      <c r="H5122" t="str">
        <f>VLOOKUP(myynnit[[#This Row],[TuoteID]],ohjaus!$A$4:$B$20,2,FALSE)</f>
        <v>Pianotuoli</v>
      </c>
    </row>
    <row r="5123" spans="1:8" x14ac:dyDescent="0.35">
      <c r="A5123" t="s">
        <v>40</v>
      </c>
      <c r="B5123">
        <v>2018</v>
      </c>
      <c r="C5123">
        <v>4</v>
      </c>
      <c r="D5123">
        <v>16024</v>
      </c>
      <c r="E5123">
        <v>112</v>
      </c>
      <c r="F5123">
        <v>52787.95</v>
      </c>
      <c r="G5123">
        <v>13824.11</v>
      </c>
      <c r="H5123" t="str">
        <f>VLOOKUP(myynnit[[#This Row],[TuoteID]],ohjaus!$A$4:$B$20,2,FALSE)</f>
        <v>Työtuoli</v>
      </c>
    </row>
    <row r="5124" spans="1:8" x14ac:dyDescent="0.35">
      <c r="A5124" t="s">
        <v>40</v>
      </c>
      <c r="B5124">
        <v>2018</v>
      </c>
      <c r="C5124">
        <v>4</v>
      </c>
      <c r="D5124">
        <v>16650</v>
      </c>
      <c r="E5124">
        <v>12</v>
      </c>
      <c r="F5124">
        <v>2042.13</v>
      </c>
      <c r="G5124">
        <v>1299.0999999999999</v>
      </c>
      <c r="H5124" t="str">
        <f>VLOOKUP(myynnit[[#This Row],[TuoteID]],ohjaus!$A$4:$B$20,2,FALSE)</f>
        <v>Rahi</v>
      </c>
    </row>
    <row r="5125" spans="1:8" x14ac:dyDescent="0.35">
      <c r="A5125" t="s">
        <v>40</v>
      </c>
      <c r="B5125">
        <v>2018</v>
      </c>
      <c r="C5125">
        <v>4</v>
      </c>
      <c r="D5125">
        <v>17892</v>
      </c>
      <c r="E5125">
        <v>101</v>
      </c>
      <c r="F5125">
        <v>14213</v>
      </c>
      <c r="G5125">
        <v>3132.3</v>
      </c>
      <c r="H5125" t="str">
        <f>VLOOKUP(myynnit[[#This Row],[TuoteID]],ohjaus!$A$4:$B$20,2,FALSE)</f>
        <v>Lepotuoli</v>
      </c>
    </row>
    <row r="5126" spans="1:8" x14ac:dyDescent="0.35">
      <c r="A5126" t="s">
        <v>40</v>
      </c>
      <c r="B5126">
        <v>2018</v>
      </c>
      <c r="C5126">
        <v>4</v>
      </c>
      <c r="D5126">
        <v>18342</v>
      </c>
      <c r="E5126">
        <v>15</v>
      </c>
      <c r="F5126">
        <v>12481.12</v>
      </c>
      <c r="G5126">
        <v>3328.73</v>
      </c>
      <c r="H5126" t="str">
        <f>VLOOKUP(myynnit[[#This Row],[TuoteID]],ohjaus!$A$4:$B$20,2,FALSE)</f>
        <v>Työtuoli</v>
      </c>
    </row>
    <row r="5127" spans="1:8" x14ac:dyDescent="0.35">
      <c r="A5127" t="s">
        <v>40</v>
      </c>
      <c r="B5127">
        <v>2018</v>
      </c>
      <c r="C5127">
        <v>4</v>
      </c>
      <c r="D5127">
        <v>20177</v>
      </c>
      <c r="E5127">
        <v>31</v>
      </c>
      <c r="F5127">
        <v>3461.72</v>
      </c>
      <c r="G5127">
        <v>1334.47</v>
      </c>
      <c r="H5127" t="str">
        <f>VLOOKUP(myynnit[[#This Row],[TuoteID]],ohjaus!$A$4:$B$20,2,FALSE)</f>
        <v>Säkkituoli</v>
      </c>
    </row>
    <row r="5128" spans="1:8" x14ac:dyDescent="0.35">
      <c r="A5128" t="s">
        <v>40</v>
      </c>
      <c r="B5128">
        <v>2018</v>
      </c>
      <c r="C5128">
        <v>4</v>
      </c>
      <c r="D5128">
        <v>21179</v>
      </c>
      <c r="E5128">
        <v>42</v>
      </c>
      <c r="F5128">
        <v>5506.27</v>
      </c>
      <c r="G5128">
        <v>3509.65</v>
      </c>
      <c r="H5128" t="str">
        <f>VLOOKUP(myynnit[[#This Row],[TuoteID]],ohjaus!$A$4:$B$20,2,FALSE)</f>
        <v>Rahi</v>
      </c>
    </row>
    <row r="5129" spans="1:8" x14ac:dyDescent="0.35">
      <c r="A5129" t="s">
        <v>40</v>
      </c>
      <c r="B5129">
        <v>2018</v>
      </c>
      <c r="C5129">
        <v>4</v>
      </c>
      <c r="D5129">
        <v>21260</v>
      </c>
      <c r="E5129">
        <v>27</v>
      </c>
      <c r="F5129">
        <v>4809.6899999999996</v>
      </c>
      <c r="G5129">
        <v>1244.74</v>
      </c>
      <c r="H5129" t="str">
        <f>VLOOKUP(myynnit[[#This Row],[TuoteID]],ohjaus!$A$4:$B$20,2,FALSE)</f>
        <v>Lepotuoli</v>
      </c>
    </row>
    <row r="5130" spans="1:8" x14ac:dyDescent="0.35">
      <c r="A5130" t="s">
        <v>40</v>
      </c>
      <c r="B5130">
        <v>2018</v>
      </c>
      <c r="C5130">
        <v>4</v>
      </c>
      <c r="D5130">
        <v>22317</v>
      </c>
      <c r="E5130">
        <v>13</v>
      </c>
      <c r="F5130">
        <v>1179.77</v>
      </c>
      <c r="G5130">
        <v>619.07000000000005</v>
      </c>
      <c r="H5130" t="str">
        <f>VLOOKUP(myynnit[[#This Row],[TuoteID]],ohjaus!$A$4:$B$20,2,FALSE)</f>
        <v>Säkkituoli</v>
      </c>
    </row>
    <row r="5131" spans="1:8" x14ac:dyDescent="0.35">
      <c r="A5131" t="s">
        <v>40</v>
      </c>
      <c r="B5131">
        <v>2018</v>
      </c>
      <c r="C5131">
        <v>4</v>
      </c>
      <c r="D5131">
        <v>22940</v>
      </c>
      <c r="E5131">
        <v>215</v>
      </c>
      <c r="F5131">
        <v>29930.55</v>
      </c>
      <c r="G5131">
        <v>7992.46</v>
      </c>
      <c r="H5131" t="str">
        <f>VLOOKUP(myynnit[[#This Row],[TuoteID]],ohjaus!$A$4:$B$20,2,FALSE)</f>
        <v>Pinnatuoli</v>
      </c>
    </row>
    <row r="5132" spans="1:8" x14ac:dyDescent="0.35">
      <c r="A5132" t="s">
        <v>40</v>
      </c>
      <c r="B5132">
        <v>2018</v>
      </c>
      <c r="C5132">
        <v>4</v>
      </c>
      <c r="D5132">
        <v>23178</v>
      </c>
      <c r="E5132">
        <v>208</v>
      </c>
      <c r="F5132">
        <v>40239.86</v>
      </c>
      <c r="G5132">
        <v>9710.8700000000008</v>
      </c>
      <c r="H5132" t="str">
        <f>VLOOKUP(myynnit[[#This Row],[TuoteID]],ohjaus!$A$4:$B$20,2,FALSE)</f>
        <v>Pinnatuoli</v>
      </c>
    </row>
    <row r="5133" spans="1:8" x14ac:dyDescent="0.35">
      <c r="A5133" t="s">
        <v>40</v>
      </c>
      <c r="B5133">
        <v>2018</v>
      </c>
      <c r="C5133">
        <v>4</v>
      </c>
      <c r="D5133">
        <v>23600</v>
      </c>
      <c r="E5133">
        <v>326</v>
      </c>
      <c r="F5133">
        <v>38770.129999999997</v>
      </c>
      <c r="G5133">
        <v>11911.24</v>
      </c>
      <c r="H5133" t="str">
        <f>VLOOKUP(myynnit[[#This Row],[TuoteID]],ohjaus!$A$4:$B$20,2,FALSE)</f>
        <v>Pinnatuoli</v>
      </c>
    </row>
    <row r="5134" spans="1:8" x14ac:dyDescent="0.35">
      <c r="A5134" t="s">
        <v>40</v>
      </c>
      <c r="B5134">
        <v>2018</v>
      </c>
      <c r="C5134">
        <v>4</v>
      </c>
      <c r="D5134">
        <v>23756</v>
      </c>
      <c r="E5134">
        <v>100</v>
      </c>
      <c r="F5134">
        <v>14821.79</v>
      </c>
      <c r="G5134">
        <v>7428.07</v>
      </c>
      <c r="H5134" t="str">
        <f>VLOOKUP(myynnit[[#This Row],[TuoteID]],ohjaus!$A$4:$B$20,2,FALSE)</f>
        <v>Pianotuoli</v>
      </c>
    </row>
    <row r="5135" spans="1:8" x14ac:dyDescent="0.35">
      <c r="A5135" t="s">
        <v>40</v>
      </c>
      <c r="B5135">
        <v>2018</v>
      </c>
      <c r="C5135">
        <v>4</v>
      </c>
      <c r="D5135">
        <v>24326</v>
      </c>
      <c r="E5135">
        <v>18</v>
      </c>
      <c r="F5135">
        <v>2742.14</v>
      </c>
      <c r="G5135">
        <v>769.54</v>
      </c>
      <c r="H5135" t="str">
        <f>VLOOKUP(myynnit[[#This Row],[TuoteID]],ohjaus!$A$4:$B$20,2,FALSE)</f>
        <v>Lepotuoli</v>
      </c>
    </row>
    <row r="5136" spans="1:8" x14ac:dyDescent="0.35">
      <c r="A5136" t="s">
        <v>39</v>
      </c>
      <c r="B5136">
        <v>2018</v>
      </c>
      <c r="C5136">
        <v>4</v>
      </c>
      <c r="D5136">
        <v>12184</v>
      </c>
      <c r="E5136">
        <v>42</v>
      </c>
      <c r="F5136">
        <v>6013.43</v>
      </c>
      <c r="G5136">
        <v>4659.93</v>
      </c>
      <c r="H5136" t="str">
        <f>VLOOKUP(myynnit[[#This Row],[TuoteID]],ohjaus!$A$4:$B$20,2,FALSE)</f>
        <v>Rahi</v>
      </c>
    </row>
    <row r="5137" spans="1:8" x14ac:dyDescent="0.35">
      <c r="A5137" t="s">
        <v>39</v>
      </c>
      <c r="B5137">
        <v>2018</v>
      </c>
      <c r="C5137">
        <v>4</v>
      </c>
      <c r="D5137">
        <v>12622</v>
      </c>
      <c r="E5137">
        <v>60</v>
      </c>
      <c r="F5137">
        <v>15900.12</v>
      </c>
      <c r="G5137">
        <v>9652.9699999999993</v>
      </c>
      <c r="H5137" t="str">
        <f>VLOOKUP(myynnit[[#This Row],[TuoteID]],ohjaus!$A$4:$B$20,2,FALSE)</f>
        <v>Pianotuoli</v>
      </c>
    </row>
    <row r="5138" spans="1:8" x14ac:dyDescent="0.35">
      <c r="A5138" t="s">
        <v>39</v>
      </c>
      <c r="B5138">
        <v>2018</v>
      </c>
      <c r="C5138">
        <v>4</v>
      </c>
      <c r="D5138">
        <v>13527</v>
      </c>
      <c r="E5138">
        <v>461</v>
      </c>
      <c r="F5138">
        <v>80920.87</v>
      </c>
      <c r="G5138">
        <v>22995.06</v>
      </c>
      <c r="H5138" t="str">
        <f>VLOOKUP(myynnit[[#This Row],[TuoteID]],ohjaus!$A$4:$B$20,2,FALSE)</f>
        <v>Pinnatuoli</v>
      </c>
    </row>
    <row r="5139" spans="1:8" x14ac:dyDescent="0.35">
      <c r="A5139" t="s">
        <v>39</v>
      </c>
      <c r="B5139">
        <v>2018</v>
      </c>
      <c r="C5139">
        <v>4</v>
      </c>
      <c r="D5139">
        <v>13618</v>
      </c>
      <c r="E5139">
        <v>16</v>
      </c>
      <c r="F5139">
        <v>5553.09</v>
      </c>
      <c r="G5139">
        <v>2907.37</v>
      </c>
      <c r="H5139" t="str">
        <f>VLOOKUP(myynnit[[#This Row],[TuoteID]],ohjaus!$A$4:$B$20,2,FALSE)</f>
        <v>Pianotuoli</v>
      </c>
    </row>
    <row r="5140" spans="1:8" x14ac:dyDescent="0.35">
      <c r="A5140" t="s">
        <v>39</v>
      </c>
      <c r="B5140">
        <v>2018</v>
      </c>
      <c r="C5140">
        <v>4</v>
      </c>
      <c r="D5140">
        <v>16024</v>
      </c>
      <c r="E5140">
        <v>160</v>
      </c>
      <c r="F5140">
        <v>66089.919999999998</v>
      </c>
      <c r="G5140">
        <v>16962.3</v>
      </c>
      <c r="H5140" t="str">
        <f>VLOOKUP(myynnit[[#This Row],[TuoteID]],ohjaus!$A$4:$B$20,2,FALSE)</f>
        <v>Työtuoli</v>
      </c>
    </row>
    <row r="5141" spans="1:8" x14ac:dyDescent="0.35">
      <c r="A5141" t="s">
        <v>39</v>
      </c>
      <c r="B5141">
        <v>2018</v>
      </c>
      <c r="C5141">
        <v>4</v>
      </c>
      <c r="D5141">
        <v>16650</v>
      </c>
      <c r="E5141">
        <v>40</v>
      </c>
      <c r="F5141">
        <v>5605.77</v>
      </c>
      <c r="G5141">
        <v>4176.51</v>
      </c>
      <c r="H5141" t="str">
        <f>VLOOKUP(myynnit[[#This Row],[TuoteID]],ohjaus!$A$4:$B$20,2,FALSE)</f>
        <v>Rahi</v>
      </c>
    </row>
    <row r="5142" spans="1:8" x14ac:dyDescent="0.35">
      <c r="A5142" t="s">
        <v>39</v>
      </c>
      <c r="B5142">
        <v>2018</v>
      </c>
      <c r="C5142">
        <v>4</v>
      </c>
      <c r="D5142">
        <v>17892</v>
      </c>
      <c r="E5142">
        <v>122</v>
      </c>
      <c r="F5142">
        <v>17000.62</v>
      </c>
      <c r="G5142">
        <v>4833.28</v>
      </c>
      <c r="H5142" t="str">
        <f>VLOOKUP(myynnit[[#This Row],[TuoteID]],ohjaus!$A$4:$B$20,2,FALSE)</f>
        <v>Lepotuoli</v>
      </c>
    </row>
    <row r="5143" spans="1:8" x14ac:dyDescent="0.35">
      <c r="A5143" t="s">
        <v>39</v>
      </c>
      <c r="B5143">
        <v>2018</v>
      </c>
      <c r="C5143">
        <v>4</v>
      </c>
      <c r="D5143">
        <v>18342</v>
      </c>
      <c r="E5143">
        <v>97</v>
      </c>
      <c r="F5143">
        <v>74173.48</v>
      </c>
      <c r="G5143">
        <v>23576.76</v>
      </c>
      <c r="H5143" t="str">
        <f>VLOOKUP(myynnit[[#This Row],[TuoteID]],ohjaus!$A$4:$B$20,2,FALSE)</f>
        <v>Työtuoli</v>
      </c>
    </row>
    <row r="5144" spans="1:8" x14ac:dyDescent="0.35">
      <c r="A5144" t="s">
        <v>39</v>
      </c>
      <c r="B5144">
        <v>2018</v>
      </c>
      <c r="C5144">
        <v>4</v>
      </c>
      <c r="D5144">
        <v>20177</v>
      </c>
      <c r="E5144">
        <v>60</v>
      </c>
      <c r="F5144">
        <v>5438.88</v>
      </c>
      <c r="G5144">
        <v>2473.79</v>
      </c>
      <c r="H5144" t="str">
        <f>VLOOKUP(myynnit[[#This Row],[TuoteID]],ohjaus!$A$4:$B$20,2,FALSE)</f>
        <v>Säkkituoli</v>
      </c>
    </row>
    <row r="5145" spans="1:8" x14ac:dyDescent="0.35">
      <c r="A5145" t="s">
        <v>39</v>
      </c>
      <c r="B5145">
        <v>2018</v>
      </c>
      <c r="C5145">
        <v>4</v>
      </c>
      <c r="D5145">
        <v>21179</v>
      </c>
      <c r="E5145">
        <v>58</v>
      </c>
      <c r="F5145">
        <v>6721.5</v>
      </c>
      <c r="G5145">
        <v>4270.3100000000004</v>
      </c>
      <c r="H5145" t="str">
        <f>VLOOKUP(myynnit[[#This Row],[TuoteID]],ohjaus!$A$4:$B$20,2,FALSE)</f>
        <v>Rahi</v>
      </c>
    </row>
    <row r="5146" spans="1:8" x14ac:dyDescent="0.35">
      <c r="A5146" t="s">
        <v>39</v>
      </c>
      <c r="B5146">
        <v>2018</v>
      </c>
      <c r="C5146">
        <v>4</v>
      </c>
      <c r="D5146">
        <v>21260</v>
      </c>
      <c r="E5146">
        <v>49</v>
      </c>
      <c r="F5146">
        <v>8853.65</v>
      </c>
      <c r="G5146">
        <v>2833.8</v>
      </c>
      <c r="H5146" t="str">
        <f>VLOOKUP(myynnit[[#This Row],[TuoteID]],ohjaus!$A$4:$B$20,2,FALSE)</f>
        <v>Lepotuoli</v>
      </c>
    </row>
    <row r="5147" spans="1:8" x14ac:dyDescent="0.35">
      <c r="A5147" t="s">
        <v>39</v>
      </c>
      <c r="B5147">
        <v>2018</v>
      </c>
      <c r="C5147">
        <v>4</v>
      </c>
      <c r="D5147">
        <v>22317</v>
      </c>
      <c r="E5147">
        <v>30</v>
      </c>
      <c r="F5147">
        <v>2361.59</v>
      </c>
      <c r="G5147">
        <v>1049.67</v>
      </c>
      <c r="H5147" t="str">
        <f>VLOOKUP(myynnit[[#This Row],[TuoteID]],ohjaus!$A$4:$B$20,2,FALSE)</f>
        <v>Säkkituoli</v>
      </c>
    </row>
    <row r="5148" spans="1:8" x14ac:dyDescent="0.35">
      <c r="A5148" t="s">
        <v>39</v>
      </c>
      <c r="B5148">
        <v>2018</v>
      </c>
      <c r="C5148">
        <v>4</v>
      </c>
      <c r="D5148">
        <v>22940</v>
      </c>
      <c r="E5148">
        <v>317</v>
      </c>
      <c r="F5148">
        <v>42417.98</v>
      </c>
      <c r="G5148">
        <v>11703.14</v>
      </c>
      <c r="H5148" t="str">
        <f>VLOOKUP(myynnit[[#This Row],[TuoteID]],ohjaus!$A$4:$B$20,2,FALSE)</f>
        <v>Pinnatuoli</v>
      </c>
    </row>
    <row r="5149" spans="1:8" x14ac:dyDescent="0.35">
      <c r="A5149" t="s">
        <v>39</v>
      </c>
      <c r="B5149">
        <v>2018</v>
      </c>
      <c r="C5149">
        <v>4</v>
      </c>
      <c r="D5149">
        <v>23178</v>
      </c>
      <c r="E5149">
        <v>247</v>
      </c>
      <c r="F5149">
        <v>46561.15</v>
      </c>
      <c r="G5149">
        <v>11959.79</v>
      </c>
      <c r="H5149" t="str">
        <f>VLOOKUP(myynnit[[#This Row],[TuoteID]],ohjaus!$A$4:$B$20,2,FALSE)</f>
        <v>Pinnatuoli</v>
      </c>
    </row>
    <row r="5150" spans="1:8" x14ac:dyDescent="0.35">
      <c r="A5150" t="s">
        <v>39</v>
      </c>
      <c r="B5150">
        <v>2018</v>
      </c>
      <c r="C5150">
        <v>4</v>
      </c>
      <c r="D5150">
        <v>23600</v>
      </c>
      <c r="E5150">
        <v>878</v>
      </c>
      <c r="F5150">
        <v>109573.91</v>
      </c>
      <c r="G5150">
        <v>35497.129999999997</v>
      </c>
      <c r="H5150" t="str">
        <f>VLOOKUP(myynnit[[#This Row],[TuoteID]],ohjaus!$A$4:$B$20,2,FALSE)</f>
        <v>Pinnatuoli</v>
      </c>
    </row>
    <row r="5151" spans="1:8" x14ac:dyDescent="0.35">
      <c r="A5151" t="s">
        <v>39</v>
      </c>
      <c r="B5151">
        <v>2018</v>
      </c>
      <c r="C5151">
        <v>4</v>
      </c>
      <c r="D5151">
        <v>23756</v>
      </c>
      <c r="E5151">
        <v>112</v>
      </c>
      <c r="F5151">
        <v>22524.42</v>
      </c>
      <c r="G5151">
        <v>11483.97</v>
      </c>
      <c r="H5151" t="str">
        <f>VLOOKUP(myynnit[[#This Row],[TuoteID]],ohjaus!$A$4:$B$20,2,FALSE)</f>
        <v>Pianotuoli</v>
      </c>
    </row>
    <row r="5152" spans="1:8" x14ac:dyDescent="0.35">
      <c r="A5152" t="s">
        <v>39</v>
      </c>
      <c r="B5152">
        <v>2018</v>
      </c>
      <c r="C5152">
        <v>4</v>
      </c>
      <c r="D5152">
        <v>24326</v>
      </c>
      <c r="E5152">
        <v>144</v>
      </c>
      <c r="F5152">
        <v>22719.360000000001</v>
      </c>
      <c r="G5152">
        <v>7082.27</v>
      </c>
      <c r="H5152" t="str">
        <f>VLOOKUP(myynnit[[#This Row],[TuoteID]],ohjaus!$A$4:$B$20,2,FALSE)</f>
        <v>Lepotuoli</v>
      </c>
    </row>
    <row r="5153" spans="1:8" x14ac:dyDescent="0.35">
      <c r="A5153" t="s">
        <v>38</v>
      </c>
      <c r="B5153">
        <v>2018</v>
      </c>
      <c r="C5153">
        <v>4</v>
      </c>
      <c r="D5153">
        <v>12184</v>
      </c>
      <c r="E5153">
        <v>82</v>
      </c>
      <c r="F5153">
        <v>10289.82</v>
      </c>
      <c r="G5153">
        <v>5902.58</v>
      </c>
      <c r="H5153" t="str">
        <f>VLOOKUP(myynnit[[#This Row],[TuoteID]],ohjaus!$A$4:$B$20,2,FALSE)</f>
        <v>Rahi</v>
      </c>
    </row>
    <row r="5154" spans="1:8" x14ac:dyDescent="0.35">
      <c r="A5154" t="s">
        <v>38</v>
      </c>
      <c r="B5154">
        <v>2018</v>
      </c>
      <c r="C5154">
        <v>4</v>
      </c>
      <c r="D5154">
        <v>12622</v>
      </c>
      <c r="E5154">
        <v>40</v>
      </c>
      <c r="F5154">
        <v>11304.8</v>
      </c>
      <c r="G5154">
        <v>5215.88</v>
      </c>
      <c r="H5154" t="str">
        <f>VLOOKUP(myynnit[[#This Row],[TuoteID]],ohjaus!$A$4:$B$20,2,FALSE)</f>
        <v>Pianotuoli</v>
      </c>
    </row>
    <row r="5155" spans="1:8" x14ac:dyDescent="0.35">
      <c r="A5155" t="s">
        <v>38</v>
      </c>
      <c r="B5155">
        <v>2018</v>
      </c>
      <c r="C5155">
        <v>4</v>
      </c>
      <c r="D5155">
        <v>13527</v>
      </c>
      <c r="E5155">
        <v>404</v>
      </c>
      <c r="F5155">
        <v>66594.960000000006</v>
      </c>
      <c r="G5155">
        <v>13299.23</v>
      </c>
      <c r="H5155" t="str">
        <f>VLOOKUP(myynnit[[#This Row],[TuoteID]],ohjaus!$A$4:$B$20,2,FALSE)</f>
        <v>Pinnatuoli</v>
      </c>
    </row>
    <row r="5156" spans="1:8" x14ac:dyDescent="0.35">
      <c r="A5156" t="s">
        <v>38</v>
      </c>
      <c r="B5156">
        <v>2018</v>
      </c>
      <c r="C5156">
        <v>4</v>
      </c>
      <c r="D5156">
        <v>13618</v>
      </c>
      <c r="E5156">
        <v>12</v>
      </c>
      <c r="F5156">
        <v>3980.99</v>
      </c>
      <c r="G5156">
        <v>1963.92</v>
      </c>
      <c r="H5156" t="str">
        <f>VLOOKUP(myynnit[[#This Row],[TuoteID]],ohjaus!$A$4:$B$20,2,FALSE)</f>
        <v>Pianotuoli</v>
      </c>
    </row>
    <row r="5157" spans="1:8" x14ac:dyDescent="0.35">
      <c r="A5157" t="s">
        <v>38</v>
      </c>
      <c r="B5157">
        <v>2018</v>
      </c>
      <c r="C5157">
        <v>4</v>
      </c>
      <c r="D5157">
        <v>16024</v>
      </c>
      <c r="E5157">
        <v>231</v>
      </c>
      <c r="F5157">
        <v>89898.28</v>
      </c>
      <c r="G5157">
        <v>24655.18</v>
      </c>
      <c r="H5157" t="str">
        <f>VLOOKUP(myynnit[[#This Row],[TuoteID]],ohjaus!$A$4:$B$20,2,FALSE)</f>
        <v>Työtuoli</v>
      </c>
    </row>
    <row r="5158" spans="1:8" x14ac:dyDescent="0.35">
      <c r="A5158" t="s">
        <v>38</v>
      </c>
      <c r="B5158">
        <v>2018</v>
      </c>
      <c r="C5158">
        <v>4</v>
      </c>
      <c r="D5158">
        <v>16650</v>
      </c>
      <c r="E5158">
        <v>60</v>
      </c>
      <c r="F5158">
        <v>10578.23</v>
      </c>
      <c r="G5158">
        <v>5717.32</v>
      </c>
      <c r="H5158" t="str">
        <f>VLOOKUP(myynnit[[#This Row],[TuoteID]],ohjaus!$A$4:$B$20,2,FALSE)</f>
        <v>Rahi</v>
      </c>
    </row>
    <row r="5159" spans="1:8" x14ac:dyDescent="0.35">
      <c r="A5159" t="s">
        <v>38</v>
      </c>
      <c r="B5159">
        <v>2018</v>
      </c>
      <c r="C5159">
        <v>4</v>
      </c>
      <c r="D5159">
        <v>17892</v>
      </c>
      <c r="E5159">
        <v>52</v>
      </c>
      <c r="F5159">
        <v>7186.64</v>
      </c>
      <c r="G5159">
        <v>1646.89</v>
      </c>
      <c r="H5159" t="str">
        <f>VLOOKUP(myynnit[[#This Row],[TuoteID]],ohjaus!$A$4:$B$20,2,FALSE)</f>
        <v>Lepotuoli</v>
      </c>
    </row>
    <row r="5160" spans="1:8" x14ac:dyDescent="0.35">
      <c r="A5160" t="s">
        <v>38</v>
      </c>
      <c r="B5160">
        <v>2018</v>
      </c>
      <c r="C5160">
        <v>4</v>
      </c>
      <c r="D5160">
        <v>18342</v>
      </c>
      <c r="E5160">
        <v>143</v>
      </c>
      <c r="F5160">
        <v>111330.41</v>
      </c>
      <c r="G5160">
        <v>27121.47</v>
      </c>
      <c r="H5160" t="str">
        <f>VLOOKUP(myynnit[[#This Row],[TuoteID]],ohjaus!$A$4:$B$20,2,FALSE)</f>
        <v>Työtuoli</v>
      </c>
    </row>
    <row r="5161" spans="1:8" x14ac:dyDescent="0.35">
      <c r="A5161" t="s">
        <v>38</v>
      </c>
      <c r="B5161">
        <v>2018</v>
      </c>
      <c r="C5161">
        <v>4</v>
      </c>
      <c r="D5161">
        <v>20177</v>
      </c>
      <c r="E5161">
        <v>36</v>
      </c>
      <c r="F5161">
        <v>3867.25</v>
      </c>
      <c r="G5161">
        <v>1523.09</v>
      </c>
      <c r="H5161" t="str">
        <f>VLOOKUP(myynnit[[#This Row],[TuoteID]],ohjaus!$A$4:$B$20,2,FALSE)</f>
        <v>Säkkituoli</v>
      </c>
    </row>
    <row r="5162" spans="1:8" x14ac:dyDescent="0.35">
      <c r="A5162" t="s">
        <v>38</v>
      </c>
      <c r="B5162">
        <v>2018</v>
      </c>
      <c r="C5162">
        <v>4</v>
      </c>
      <c r="D5162">
        <v>21179</v>
      </c>
      <c r="E5162">
        <v>44</v>
      </c>
      <c r="F5162">
        <v>6201.25</v>
      </c>
      <c r="G5162">
        <v>3897.4</v>
      </c>
      <c r="H5162" t="str">
        <f>VLOOKUP(myynnit[[#This Row],[TuoteID]],ohjaus!$A$4:$B$20,2,FALSE)</f>
        <v>Rahi</v>
      </c>
    </row>
    <row r="5163" spans="1:8" x14ac:dyDescent="0.35">
      <c r="A5163" t="s">
        <v>38</v>
      </c>
      <c r="B5163">
        <v>2018</v>
      </c>
      <c r="C5163">
        <v>4</v>
      </c>
      <c r="D5163">
        <v>21260</v>
      </c>
      <c r="E5163">
        <v>76</v>
      </c>
      <c r="F5163">
        <v>15809.71</v>
      </c>
      <c r="G5163">
        <v>4101.7700000000004</v>
      </c>
      <c r="H5163" t="str">
        <f>VLOOKUP(myynnit[[#This Row],[TuoteID]],ohjaus!$A$4:$B$20,2,FALSE)</f>
        <v>Lepotuoli</v>
      </c>
    </row>
    <row r="5164" spans="1:8" x14ac:dyDescent="0.35">
      <c r="A5164" t="s">
        <v>38</v>
      </c>
      <c r="B5164">
        <v>2018</v>
      </c>
      <c r="C5164">
        <v>4</v>
      </c>
      <c r="D5164">
        <v>22317</v>
      </c>
      <c r="E5164">
        <v>29</v>
      </c>
      <c r="F5164">
        <v>2588.06</v>
      </c>
      <c r="G5164">
        <v>918.93</v>
      </c>
      <c r="H5164" t="str">
        <f>VLOOKUP(myynnit[[#This Row],[TuoteID]],ohjaus!$A$4:$B$20,2,FALSE)</f>
        <v>Säkkituoli</v>
      </c>
    </row>
    <row r="5165" spans="1:8" x14ac:dyDescent="0.35">
      <c r="A5165" t="s">
        <v>38</v>
      </c>
      <c r="B5165">
        <v>2018</v>
      </c>
      <c r="C5165">
        <v>4</v>
      </c>
      <c r="D5165">
        <v>22940</v>
      </c>
      <c r="E5165">
        <v>356</v>
      </c>
      <c r="F5165">
        <v>45529.11</v>
      </c>
      <c r="G5165">
        <v>9212.3799999999992</v>
      </c>
      <c r="H5165" t="str">
        <f>VLOOKUP(myynnit[[#This Row],[TuoteID]],ohjaus!$A$4:$B$20,2,FALSE)</f>
        <v>Pinnatuoli</v>
      </c>
    </row>
    <row r="5166" spans="1:8" x14ac:dyDescent="0.35">
      <c r="A5166" t="s">
        <v>38</v>
      </c>
      <c r="B5166">
        <v>2018</v>
      </c>
      <c r="C5166">
        <v>4</v>
      </c>
      <c r="D5166">
        <v>23178</v>
      </c>
      <c r="E5166">
        <v>292</v>
      </c>
      <c r="F5166">
        <v>53411.94</v>
      </c>
      <c r="G5166">
        <v>9831.52</v>
      </c>
      <c r="H5166" t="str">
        <f>VLOOKUP(myynnit[[#This Row],[TuoteID]],ohjaus!$A$4:$B$20,2,FALSE)</f>
        <v>Pinnatuoli</v>
      </c>
    </row>
    <row r="5167" spans="1:8" x14ac:dyDescent="0.35">
      <c r="A5167" t="s">
        <v>38</v>
      </c>
      <c r="B5167">
        <v>2018</v>
      </c>
      <c r="C5167">
        <v>4</v>
      </c>
      <c r="D5167">
        <v>23600</v>
      </c>
      <c r="E5167">
        <v>834</v>
      </c>
      <c r="F5167">
        <v>88296.65</v>
      </c>
      <c r="G5167">
        <v>19861.32</v>
      </c>
      <c r="H5167" t="str">
        <f>VLOOKUP(myynnit[[#This Row],[TuoteID]],ohjaus!$A$4:$B$20,2,FALSE)</f>
        <v>Pinnatuoli</v>
      </c>
    </row>
    <row r="5168" spans="1:8" x14ac:dyDescent="0.35">
      <c r="A5168" t="s">
        <v>38</v>
      </c>
      <c r="B5168">
        <v>2018</v>
      </c>
      <c r="C5168">
        <v>4</v>
      </c>
      <c r="D5168">
        <v>23756</v>
      </c>
      <c r="E5168">
        <v>132</v>
      </c>
      <c r="F5168">
        <v>23280.98</v>
      </c>
      <c r="G5168">
        <v>12746.59</v>
      </c>
      <c r="H5168" t="str">
        <f>VLOOKUP(myynnit[[#This Row],[TuoteID]],ohjaus!$A$4:$B$20,2,FALSE)</f>
        <v>Pianotuoli</v>
      </c>
    </row>
    <row r="5169" spans="1:8" x14ac:dyDescent="0.35">
      <c r="A5169" t="s">
        <v>38</v>
      </c>
      <c r="B5169">
        <v>2018</v>
      </c>
      <c r="C5169">
        <v>4</v>
      </c>
      <c r="D5169">
        <v>24326</v>
      </c>
      <c r="E5169">
        <v>73</v>
      </c>
      <c r="F5169">
        <v>10965.87</v>
      </c>
      <c r="G5169">
        <v>2832.78</v>
      </c>
      <c r="H5169" t="str">
        <f>VLOOKUP(myynnit[[#This Row],[TuoteID]],ohjaus!$A$4:$B$20,2,FALSE)</f>
        <v>Lepotuoli</v>
      </c>
    </row>
    <row r="5170" spans="1:8" x14ac:dyDescent="0.35">
      <c r="A5170" t="s">
        <v>37</v>
      </c>
      <c r="B5170">
        <v>2018</v>
      </c>
      <c r="C5170">
        <v>5</v>
      </c>
      <c r="D5170">
        <v>12184</v>
      </c>
      <c r="E5170">
        <v>70</v>
      </c>
      <c r="F5170">
        <v>8524.23</v>
      </c>
      <c r="G5170">
        <v>3683.29</v>
      </c>
      <c r="H5170" t="str">
        <f>VLOOKUP(myynnit[[#This Row],[TuoteID]],ohjaus!$A$4:$B$20,2,FALSE)</f>
        <v>Rahi</v>
      </c>
    </row>
    <row r="5171" spans="1:8" x14ac:dyDescent="0.35">
      <c r="A5171" t="s">
        <v>37</v>
      </c>
      <c r="B5171">
        <v>2018</v>
      </c>
      <c r="C5171">
        <v>5</v>
      </c>
      <c r="D5171">
        <v>12622</v>
      </c>
      <c r="E5171">
        <v>76</v>
      </c>
      <c r="F5171">
        <v>17357.25</v>
      </c>
      <c r="G5171">
        <v>7000.11</v>
      </c>
      <c r="H5171" t="str">
        <f>VLOOKUP(myynnit[[#This Row],[TuoteID]],ohjaus!$A$4:$B$20,2,FALSE)</f>
        <v>Pianotuoli</v>
      </c>
    </row>
    <row r="5172" spans="1:8" x14ac:dyDescent="0.35">
      <c r="A5172" t="s">
        <v>37</v>
      </c>
      <c r="B5172">
        <v>2018</v>
      </c>
      <c r="C5172">
        <v>5</v>
      </c>
      <c r="D5172">
        <v>13527</v>
      </c>
      <c r="E5172">
        <v>450</v>
      </c>
      <c r="F5172">
        <v>66754.929999999993</v>
      </c>
      <c r="G5172">
        <v>11859.56</v>
      </c>
      <c r="H5172" t="str">
        <f>VLOOKUP(myynnit[[#This Row],[TuoteID]],ohjaus!$A$4:$B$20,2,FALSE)</f>
        <v>Pinnatuoli</v>
      </c>
    </row>
    <row r="5173" spans="1:8" x14ac:dyDescent="0.35">
      <c r="A5173" t="s">
        <v>37</v>
      </c>
      <c r="B5173">
        <v>2018</v>
      </c>
      <c r="C5173">
        <v>5</v>
      </c>
      <c r="D5173">
        <v>13618</v>
      </c>
      <c r="E5173">
        <v>14</v>
      </c>
      <c r="F5173">
        <v>5215.71</v>
      </c>
      <c r="G5173">
        <v>2156.21</v>
      </c>
      <c r="H5173" t="str">
        <f>VLOOKUP(myynnit[[#This Row],[TuoteID]],ohjaus!$A$4:$B$20,2,FALSE)</f>
        <v>Pianotuoli</v>
      </c>
    </row>
    <row r="5174" spans="1:8" x14ac:dyDescent="0.35">
      <c r="A5174" t="s">
        <v>37</v>
      </c>
      <c r="B5174">
        <v>2018</v>
      </c>
      <c r="C5174">
        <v>5</v>
      </c>
      <c r="D5174">
        <v>16024</v>
      </c>
      <c r="E5174">
        <v>222</v>
      </c>
      <c r="F5174">
        <v>95027.26</v>
      </c>
      <c r="G5174">
        <v>24380.67</v>
      </c>
      <c r="H5174" t="str">
        <f>VLOOKUP(myynnit[[#This Row],[TuoteID]],ohjaus!$A$4:$B$20,2,FALSE)</f>
        <v>Työtuoli</v>
      </c>
    </row>
    <row r="5175" spans="1:8" x14ac:dyDescent="0.35">
      <c r="A5175" t="s">
        <v>37</v>
      </c>
      <c r="B5175">
        <v>2018</v>
      </c>
      <c r="C5175">
        <v>5</v>
      </c>
      <c r="D5175">
        <v>16650</v>
      </c>
      <c r="E5175">
        <v>39</v>
      </c>
      <c r="F5175">
        <v>5363.74</v>
      </c>
      <c r="G5175">
        <v>2674.21</v>
      </c>
      <c r="H5175" t="str">
        <f>VLOOKUP(myynnit[[#This Row],[TuoteID]],ohjaus!$A$4:$B$20,2,FALSE)</f>
        <v>Rahi</v>
      </c>
    </row>
    <row r="5176" spans="1:8" x14ac:dyDescent="0.35">
      <c r="A5176" t="s">
        <v>37</v>
      </c>
      <c r="B5176">
        <v>2018</v>
      </c>
      <c r="C5176">
        <v>5</v>
      </c>
      <c r="D5176">
        <v>17892</v>
      </c>
      <c r="E5176">
        <v>69</v>
      </c>
      <c r="F5176">
        <v>9692.1200000000008</v>
      </c>
      <c r="G5176">
        <v>2793.85</v>
      </c>
      <c r="H5176" t="str">
        <f>VLOOKUP(myynnit[[#This Row],[TuoteID]],ohjaus!$A$4:$B$20,2,FALSE)</f>
        <v>Lepotuoli</v>
      </c>
    </row>
    <row r="5177" spans="1:8" x14ac:dyDescent="0.35">
      <c r="A5177" t="s">
        <v>37</v>
      </c>
      <c r="B5177">
        <v>2018</v>
      </c>
      <c r="C5177">
        <v>5</v>
      </c>
      <c r="D5177">
        <v>18342</v>
      </c>
      <c r="E5177">
        <v>178</v>
      </c>
      <c r="F5177">
        <v>156175.78</v>
      </c>
      <c r="G5177">
        <v>48458.9</v>
      </c>
      <c r="H5177" t="str">
        <f>VLOOKUP(myynnit[[#This Row],[TuoteID]],ohjaus!$A$4:$B$20,2,FALSE)</f>
        <v>Työtuoli</v>
      </c>
    </row>
    <row r="5178" spans="1:8" x14ac:dyDescent="0.35">
      <c r="A5178" t="s">
        <v>37</v>
      </c>
      <c r="B5178">
        <v>2018</v>
      </c>
      <c r="C5178">
        <v>5</v>
      </c>
      <c r="D5178">
        <v>20177</v>
      </c>
      <c r="E5178">
        <v>101</v>
      </c>
      <c r="F5178">
        <v>10519.37</v>
      </c>
      <c r="G5178">
        <v>3568.26</v>
      </c>
      <c r="H5178" t="str">
        <f>VLOOKUP(myynnit[[#This Row],[TuoteID]],ohjaus!$A$4:$B$20,2,FALSE)</f>
        <v>Säkkituoli</v>
      </c>
    </row>
    <row r="5179" spans="1:8" x14ac:dyDescent="0.35">
      <c r="A5179" t="s">
        <v>37</v>
      </c>
      <c r="B5179">
        <v>2018</v>
      </c>
      <c r="C5179">
        <v>5</v>
      </c>
      <c r="D5179">
        <v>21179</v>
      </c>
      <c r="E5179">
        <v>55</v>
      </c>
      <c r="F5179">
        <v>6002.29</v>
      </c>
      <c r="G5179">
        <v>3192.27</v>
      </c>
      <c r="H5179" t="str">
        <f>VLOOKUP(myynnit[[#This Row],[TuoteID]],ohjaus!$A$4:$B$20,2,FALSE)</f>
        <v>Rahi</v>
      </c>
    </row>
    <row r="5180" spans="1:8" x14ac:dyDescent="0.35">
      <c r="A5180" t="s">
        <v>37</v>
      </c>
      <c r="B5180">
        <v>2018</v>
      </c>
      <c r="C5180">
        <v>5</v>
      </c>
      <c r="D5180">
        <v>21260</v>
      </c>
      <c r="E5180">
        <v>107</v>
      </c>
      <c r="F5180">
        <v>19297.54</v>
      </c>
      <c r="G5180">
        <v>6312.16</v>
      </c>
      <c r="H5180" t="str">
        <f>VLOOKUP(myynnit[[#This Row],[TuoteID]],ohjaus!$A$4:$B$20,2,FALSE)</f>
        <v>Lepotuoli</v>
      </c>
    </row>
    <row r="5181" spans="1:8" x14ac:dyDescent="0.35">
      <c r="A5181" t="s">
        <v>37</v>
      </c>
      <c r="B5181">
        <v>2018</v>
      </c>
      <c r="C5181">
        <v>5</v>
      </c>
      <c r="D5181">
        <v>22317</v>
      </c>
      <c r="E5181">
        <v>112</v>
      </c>
      <c r="F5181">
        <v>11047.27</v>
      </c>
      <c r="G5181">
        <v>3709.42</v>
      </c>
      <c r="H5181" t="str">
        <f>VLOOKUP(myynnit[[#This Row],[TuoteID]],ohjaus!$A$4:$B$20,2,FALSE)</f>
        <v>Säkkituoli</v>
      </c>
    </row>
    <row r="5182" spans="1:8" x14ac:dyDescent="0.35">
      <c r="A5182" t="s">
        <v>37</v>
      </c>
      <c r="B5182">
        <v>2018</v>
      </c>
      <c r="C5182">
        <v>5</v>
      </c>
      <c r="D5182">
        <v>22940</v>
      </c>
      <c r="E5182">
        <v>645</v>
      </c>
      <c r="F5182">
        <v>81783.759999999995</v>
      </c>
      <c r="G5182">
        <v>17261.689999999999</v>
      </c>
      <c r="H5182" t="str">
        <f>VLOOKUP(myynnit[[#This Row],[TuoteID]],ohjaus!$A$4:$B$20,2,FALSE)</f>
        <v>Pinnatuoli</v>
      </c>
    </row>
    <row r="5183" spans="1:8" x14ac:dyDescent="0.35">
      <c r="A5183" t="s">
        <v>37</v>
      </c>
      <c r="B5183">
        <v>2018</v>
      </c>
      <c r="C5183">
        <v>5</v>
      </c>
      <c r="D5183">
        <v>23178</v>
      </c>
      <c r="E5183">
        <v>432</v>
      </c>
      <c r="F5183">
        <v>69806.62</v>
      </c>
      <c r="G5183">
        <v>11596.92</v>
      </c>
      <c r="H5183" t="str">
        <f>VLOOKUP(myynnit[[#This Row],[TuoteID]],ohjaus!$A$4:$B$20,2,FALSE)</f>
        <v>Pinnatuoli</v>
      </c>
    </row>
    <row r="5184" spans="1:8" x14ac:dyDescent="0.35">
      <c r="A5184" t="s">
        <v>37</v>
      </c>
      <c r="B5184">
        <v>2018</v>
      </c>
      <c r="C5184">
        <v>5</v>
      </c>
      <c r="D5184">
        <v>23600</v>
      </c>
      <c r="E5184">
        <v>855</v>
      </c>
      <c r="F5184">
        <v>102250.82</v>
      </c>
      <c r="G5184">
        <v>27643.49</v>
      </c>
      <c r="H5184" t="str">
        <f>VLOOKUP(myynnit[[#This Row],[TuoteID]],ohjaus!$A$4:$B$20,2,FALSE)</f>
        <v>Pinnatuoli</v>
      </c>
    </row>
    <row r="5185" spans="1:8" x14ac:dyDescent="0.35">
      <c r="A5185" t="s">
        <v>37</v>
      </c>
      <c r="B5185">
        <v>2018</v>
      </c>
      <c r="C5185">
        <v>5</v>
      </c>
      <c r="D5185">
        <v>23756</v>
      </c>
      <c r="E5185">
        <v>72</v>
      </c>
      <c r="F5185">
        <v>14584.01</v>
      </c>
      <c r="G5185">
        <v>6491.43</v>
      </c>
      <c r="H5185" t="str">
        <f>VLOOKUP(myynnit[[#This Row],[TuoteID]],ohjaus!$A$4:$B$20,2,FALSE)</f>
        <v>Pianotuoli</v>
      </c>
    </row>
    <row r="5186" spans="1:8" x14ac:dyDescent="0.35">
      <c r="A5186" t="s">
        <v>37</v>
      </c>
      <c r="B5186">
        <v>2018</v>
      </c>
      <c r="C5186">
        <v>5</v>
      </c>
      <c r="D5186">
        <v>24326</v>
      </c>
      <c r="E5186">
        <v>77</v>
      </c>
      <c r="F5186">
        <v>9913.66</v>
      </c>
      <c r="G5186">
        <v>2938.04</v>
      </c>
      <c r="H5186" t="str">
        <f>VLOOKUP(myynnit[[#This Row],[TuoteID]],ohjaus!$A$4:$B$20,2,FALSE)</f>
        <v>Lepotuoli</v>
      </c>
    </row>
    <row r="5187" spans="1:8" x14ac:dyDescent="0.35">
      <c r="A5187" t="s">
        <v>40</v>
      </c>
      <c r="B5187">
        <v>2018</v>
      </c>
      <c r="C5187">
        <v>5</v>
      </c>
      <c r="D5187">
        <v>12184</v>
      </c>
      <c r="E5187">
        <v>30</v>
      </c>
      <c r="F5187">
        <v>3294.8</v>
      </c>
      <c r="G5187">
        <v>1877.52</v>
      </c>
      <c r="H5187" t="str">
        <f>VLOOKUP(myynnit[[#This Row],[TuoteID]],ohjaus!$A$4:$B$20,2,FALSE)</f>
        <v>Rahi</v>
      </c>
    </row>
    <row r="5188" spans="1:8" x14ac:dyDescent="0.35">
      <c r="A5188" t="s">
        <v>40</v>
      </c>
      <c r="B5188">
        <v>2018</v>
      </c>
      <c r="C5188">
        <v>5</v>
      </c>
      <c r="D5188">
        <v>12622</v>
      </c>
      <c r="E5188">
        <v>22</v>
      </c>
      <c r="F5188">
        <v>4906.83</v>
      </c>
      <c r="G5188">
        <v>1916.79</v>
      </c>
      <c r="H5188" t="str">
        <f>VLOOKUP(myynnit[[#This Row],[TuoteID]],ohjaus!$A$4:$B$20,2,FALSE)</f>
        <v>Pianotuoli</v>
      </c>
    </row>
    <row r="5189" spans="1:8" x14ac:dyDescent="0.35">
      <c r="A5189" t="s">
        <v>40</v>
      </c>
      <c r="B5189">
        <v>2018</v>
      </c>
      <c r="C5189">
        <v>5</v>
      </c>
      <c r="D5189">
        <v>13527</v>
      </c>
      <c r="E5189">
        <v>317</v>
      </c>
      <c r="F5189">
        <v>48665.65</v>
      </c>
      <c r="G5189">
        <v>8618.52</v>
      </c>
      <c r="H5189" t="str">
        <f>VLOOKUP(myynnit[[#This Row],[TuoteID]],ohjaus!$A$4:$B$20,2,FALSE)</f>
        <v>Pinnatuoli</v>
      </c>
    </row>
    <row r="5190" spans="1:8" x14ac:dyDescent="0.35">
      <c r="A5190" t="s">
        <v>40</v>
      </c>
      <c r="B5190">
        <v>2018</v>
      </c>
      <c r="C5190">
        <v>5</v>
      </c>
      <c r="D5190">
        <v>13618</v>
      </c>
      <c r="E5190">
        <v>10</v>
      </c>
      <c r="F5190">
        <v>3848.21</v>
      </c>
      <c r="G5190">
        <v>1580.32</v>
      </c>
      <c r="H5190" t="str">
        <f>VLOOKUP(myynnit[[#This Row],[TuoteID]],ohjaus!$A$4:$B$20,2,FALSE)</f>
        <v>Pianotuoli</v>
      </c>
    </row>
    <row r="5191" spans="1:8" x14ac:dyDescent="0.35">
      <c r="A5191" t="s">
        <v>40</v>
      </c>
      <c r="B5191">
        <v>2018</v>
      </c>
      <c r="C5191">
        <v>5</v>
      </c>
      <c r="D5191">
        <v>16024</v>
      </c>
      <c r="E5191">
        <v>216</v>
      </c>
      <c r="F5191">
        <v>89061.08</v>
      </c>
      <c r="G5191">
        <v>31287.89</v>
      </c>
      <c r="H5191" t="str">
        <f>VLOOKUP(myynnit[[#This Row],[TuoteID]],ohjaus!$A$4:$B$20,2,FALSE)</f>
        <v>Työtuoli</v>
      </c>
    </row>
    <row r="5192" spans="1:8" x14ac:dyDescent="0.35">
      <c r="A5192" t="s">
        <v>40</v>
      </c>
      <c r="B5192">
        <v>2018</v>
      </c>
      <c r="C5192">
        <v>5</v>
      </c>
      <c r="D5192">
        <v>16650</v>
      </c>
      <c r="E5192">
        <v>37</v>
      </c>
      <c r="F5192">
        <v>6383.7</v>
      </c>
      <c r="G5192">
        <v>3846.45</v>
      </c>
      <c r="H5192" t="str">
        <f>VLOOKUP(myynnit[[#This Row],[TuoteID]],ohjaus!$A$4:$B$20,2,FALSE)</f>
        <v>Rahi</v>
      </c>
    </row>
    <row r="5193" spans="1:8" x14ac:dyDescent="0.35">
      <c r="A5193" t="s">
        <v>40</v>
      </c>
      <c r="B5193">
        <v>2018</v>
      </c>
      <c r="C5193">
        <v>5</v>
      </c>
      <c r="D5193">
        <v>17892</v>
      </c>
      <c r="E5193">
        <v>45</v>
      </c>
      <c r="F5193">
        <v>6123.63</v>
      </c>
      <c r="G5193">
        <v>1672.27</v>
      </c>
      <c r="H5193" t="str">
        <f>VLOOKUP(myynnit[[#This Row],[TuoteID]],ohjaus!$A$4:$B$20,2,FALSE)</f>
        <v>Lepotuoli</v>
      </c>
    </row>
    <row r="5194" spans="1:8" x14ac:dyDescent="0.35">
      <c r="A5194" t="s">
        <v>40</v>
      </c>
      <c r="B5194">
        <v>2018</v>
      </c>
      <c r="C5194">
        <v>5</v>
      </c>
      <c r="D5194">
        <v>18342</v>
      </c>
      <c r="E5194">
        <v>20</v>
      </c>
      <c r="F5194">
        <v>18818.830000000002</v>
      </c>
      <c r="G5194">
        <v>6465.77</v>
      </c>
      <c r="H5194" t="str">
        <f>VLOOKUP(myynnit[[#This Row],[TuoteID]],ohjaus!$A$4:$B$20,2,FALSE)</f>
        <v>Työtuoli</v>
      </c>
    </row>
    <row r="5195" spans="1:8" x14ac:dyDescent="0.35">
      <c r="A5195" t="s">
        <v>40</v>
      </c>
      <c r="B5195">
        <v>2018</v>
      </c>
      <c r="C5195">
        <v>5</v>
      </c>
      <c r="D5195">
        <v>20177</v>
      </c>
      <c r="E5195">
        <v>21</v>
      </c>
      <c r="F5195">
        <v>1981.15</v>
      </c>
      <c r="G5195">
        <v>714.51</v>
      </c>
      <c r="H5195" t="str">
        <f>VLOOKUP(myynnit[[#This Row],[TuoteID]],ohjaus!$A$4:$B$20,2,FALSE)</f>
        <v>Säkkituoli</v>
      </c>
    </row>
    <row r="5196" spans="1:8" x14ac:dyDescent="0.35">
      <c r="A5196" t="s">
        <v>40</v>
      </c>
      <c r="B5196">
        <v>2018</v>
      </c>
      <c r="C5196">
        <v>5</v>
      </c>
      <c r="D5196">
        <v>21179</v>
      </c>
      <c r="E5196">
        <v>19</v>
      </c>
      <c r="F5196">
        <v>2089.85</v>
      </c>
      <c r="G5196">
        <v>1057.18</v>
      </c>
      <c r="H5196" t="str">
        <f>VLOOKUP(myynnit[[#This Row],[TuoteID]],ohjaus!$A$4:$B$20,2,FALSE)</f>
        <v>Rahi</v>
      </c>
    </row>
    <row r="5197" spans="1:8" x14ac:dyDescent="0.35">
      <c r="A5197" t="s">
        <v>40</v>
      </c>
      <c r="B5197">
        <v>2018</v>
      </c>
      <c r="C5197">
        <v>5</v>
      </c>
      <c r="D5197">
        <v>21260</v>
      </c>
      <c r="E5197">
        <v>27</v>
      </c>
      <c r="F5197">
        <v>4769.2299999999996</v>
      </c>
      <c r="G5197">
        <v>1077.3900000000001</v>
      </c>
      <c r="H5197" t="str">
        <f>VLOOKUP(myynnit[[#This Row],[TuoteID]],ohjaus!$A$4:$B$20,2,FALSE)</f>
        <v>Lepotuoli</v>
      </c>
    </row>
    <row r="5198" spans="1:8" x14ac:dyDescent="0.35">
      <c r="A5198" t="s">
        <v>40</v>
      </c>
      <c r="B5198">
        <v>2018</v>
      </c>
      <c r="C5198">
        <v>5</v>
      </c>
      <c r="D5198">
        <v>22317</v>
      </c>
      <c r="E5198">
        <v>15</v>
      </c>
      <c r="F5198">
        <v>1188.24</v>
      </c>
      <c r="G5198">
        <v>613.41999999999996</v>
      </c>
      <c r="H5198" t="str">
        <f>VLOOKUP(myynnit[[#This Row],[TuoteID]],ohjaus!$A$4:$B$20,2,FALSE)</f>
        <v>Säkkituoli</v>
      </c>
    </row>
    <row r="5199" spans="1:8" x14ac:dyDescent="0.35">
      <c r="A5199" t="s">
        <v>40</v>
      </c>
      <c r="B5199">
        <v>2018</v>
      </c>
      <c r="C5199">
        <v>5</v>
      </c>
      <c r="D5199">
        <v>22940</v>
      </c>
      <c r="E5199">
        <v>228</v>
      </c>
      <c r="F5199">
        <v>27506</v>
      </c>
      <c r="G5199">
        <v>6599.11</v>
      </c>
      <c r="H5199" t="str">
        <f>VLOOKUP(myynnit[[#This Row],[TuoteID]],ohjaus!$A$4:$B$20,2,FALSE)</f>
        <v>Pinnatuoli</v>
      </c>
    </row>
    <row r="5200" spans="1:8" x14ac:dyDescent="0.35">
      <c r="A5200" t="s">
        <v>40</v>
      </c>
      <c r="B5200">
        <v>2018</v>
      </c>
      <c r="C5200">
        <v>5</v>
      </c>
      <c r="D5200">
        <v>23178</v>
      </c>
      <c r="E5200">
        <v>155</v>
      </c>
      <c r="F5200">
        <v>29367.74</v>
      </c>
      <c r="G5200">
        <v>7081.86</v>
      </c>
      <c r="H5200" t="str">
        <f>VLOOKUP(myynnit[[#This Row],[TuoteID]],ohjaus!$A$4:$B$20,2,FALSE)</f>
        <v>Pinnatuoli</v>
      </c>
    </row>
    <row r="5201" spans="1:8" x14ac:dyDescent="0.35">
      <c r="A5201" t="s">
        <v>40</v>
      </c>
      <c r="B5201">
        <v>2018</v>
      </c>
      <c r="C5201">
        <v>5</v>
      </c>
      <c r="D5201">
        <v>23600</v>
      </c>
      <c r="E5201">
        <v>484</v>
      </c>
      <c r="F5201">
        <v>51782.01</v>
      </c>
      <c r="G5201">
        <v>13608.26</v>
      </c>
      <c r="H5201" t="str">
        <f>VLOOKUP(myynnit[[#This Row],[TuoteID]],ohjaus!$A$4:$B$20,2,FALSE)</f>
        <v>Pinnatuoli</v>
      </c>
    </row>
    <row r="5202" spans="1:8" x14ac:dyDescent="0.35">
      <c r="A5202" t="s">
        <v>40</v>
      </c>
      <c r="B5202">
        <v>2018</v>
      </c>
      <c r="C5202">
        <v>5</v>
      </c>
      <c r="D5202">
        <v>23756</v>
      </c>
      <c r="E5202">
        <v>63</v>
      </c>
      <c r="F5202">
        <v>10790.38</v>
      </c>
      <c r="G5202">
        <v>5284.18</v>
      </c>
      <c r="H5202" t="str">
        <f>VLOOKUP(myynnit[[#This Row],[TuoteID]],ohjaus!$A$4:$B$20,2,FALSE)</f>
        <v>Pianotuoli</v>
      </c>
    </row>
    <row r="5203" spans="1:8" x14ac:dyDescent="0.35">
      <c r="A5203" t="s">
        <v>40</v>
      </c>
      <c r="B5203">
        <v>2018</v>
      </c>
      <c r="C5203">
        <v>5</v>
      </c>
      <c r="D5203">
        <v>24326</v>
      </c>
      <c r="E5203">
        <v>28</v>
      </c>
      <c r="F5203">
        <v>4249.22</v>
      </c>
      <c r="G5203">
        <v>1279.98</v>
      </c>
      <c r="H5203" t="str">
        <f>VLOOKUP(myynnit[[#This Row],[TuoteID]],ohjaus!$A$4:$B$20,2,FALSE)</f>
        <v>Lepotuoli</v>
      </c>
    </row>
    <row r="5204" spans="1:8" x14ac:dyDescent="0.35">
      <c r="A5204" t="s">
        <v>39</v>
      </c>
      <c r="B5204">
        <v>2018</v>
      </c>
      <c r="C5204">
        <v>5</v>
      </c>
      <c r="D5204">
        <v>12184</v>
      </c>
      <c r="E5204">
        <v>61</v>
      </c>
      <c r="F5204">
        <v>8163.98</v>
      </c>
      <c r="G5204">
        <v>5569.45</v>
      </c>
      <c r="H5204" t="str">
        <f>VLOOKUP(myynnit[[#This Row],[TuoteID]],ohjaus!$A$4:$B$20,2,FALSE)</f>
        <v>Rahi</v>
      </c>
    </row>
    <row r="5205" spans="1:8" x14ac:dyDescent="0.35">
      <c r="A5205" t="s">
        <v>39</v>
      </c>
      <c r="B5205">
        <v>2018</v>
      </c>
      <c r="C5205">
        <v>5</v>
      </c>
      <c r="D5205">
        <v>12622</v>
      </c>
      <c r="E5205">
        <v>24</v>
      </c>
      <c r="F5205">
        <v>6325.9</v>
      </c>
      <c r="G5205">
        <v>4075.55</v>
      </c>
      <c r="H5205" t="str">
        <f>VLOOKUP(myynnit[[#This Row],[TuoteID]],ohjaus!$A$4:$B$20,2,FALSE)</f>
        <v>Pianotuoli</v>
      </c>
    </row>
    <row r="5206" spans="1:8" x14ac:dyDescent="0.35">
      <c r="A5206" t="s">
        <v>39</v>
      </c>
      <c r="B5206">
        <v>2018</v>
      </c>
      <c r="C5206">
        <v>5</v>
      </c>
      <c r="D5206">
        <v>13527</v>
      </c>
      <c r="E5206">
        <v>513</v>
      </c>
      <c r="F5206">
        <v>91792.91</v>
      </c>
      <c r="G5206">
        <v>22933.41</v>
      </c>
      <c r="H5206" t="str">
        <f>VLOOKUP(myynnit[[#This Row],[TuoteID]],ohjaus!$A$4:$B$20,2,FALSE)</f>
        <v>Pinnatuoli</v>
      </c>
    </row>
    <row r="5207" spans="1:8" x14ac:dyDescent="0.35">
      <c r="A5207" t="s">
        <v>39</v>
      </c>
      <c r="B5207">
        <v>2018</v>
      </c>
      <c r="C5207">
        <v>5</v>
      </c>
      <c r="D5207">
        <v>13618</v>
      </c>
      <c r="E5207">
        <v>29</v>
      </c>
      <c r="F5207">
        <v>10821.54</v>
      </c>
      <c r="G5207">
        <v>5489.46</v>
      </c>
      <c r="H5207" t="str">
        <f>VLOOKUP(myynnit[[#This Row],[TuoteID]],ohjaus!$A$4:$B$20,2,FALSE)</f>
        <v>Pianotuoli</v>
      </c>
    </row>
    <row r="5208" spans="1:8" x14ac:dyDescent="0.35">
      <c r="A5208" t="s">
        <v>39</v>
      </c>
      <c r="B5208">
        <v>2018</v>
      </c>
      <c r="C5208">
        <v>5</v>
      </c>
      <c r="D5208">
        <v>16024</v>
      </c>
      <c r="E5208">
        <v>133</v>
      </c>
      <c r="F5208">
        <v>52225.760000000002</v>
      </c>
      <c r="G5208">
        <v>14151.7</v>
      </c>
      <c r="H5208" t="str">
        <f>VLOOKUP(myynnit[[#This Row],[TuoteID]],ohjaus!$A$4:$B$20,2,FALSE)</f>
        <v>Työtuoli</v>
      </c>
    </row>
    <row r="5209" spans="1:8" x14ac:dyDescent="0.35">
      <c r="A5209" t="s">
        <v>39</v>
      </c>
      <c r="B5209">
        <v>2018</v>
      </c>
      <c r="C5209">
        <v>5</v>
      </c>
      <c r="D5209">
        <v>16650</v>
      </c>
      <c r="E5209">
        <v>24</v>
      </c>
      <c r="F5209">
        <v>3191.79</v>
      </c>
      <c r="G5209">
        <v>1957.19</v>
      </c>
      <c r="H5209" t="str">
        <f>VLOOKUP(myynnit[[#This Row],[TuoteID]],ohjaus!$A$4:$B$20,2,FALSE)</f>
        <v>Rahi</v>
      </c>
    </row>
    <row r="5210" spans="1:8" x14ac:dyDescent="0.35">
      <c r="A5210" t="s">
        <v>39</v>
      </c>
      <c r="B5210">
        <v>2018</v>
      </c>
      <c r="C5210">
        <v>5</v>
      </c>
      <c r="D5210">
        <v>17892</v>
      </c>
      <c r="E5210">
        <v>108</v>
      </c>
      <c r="F5210">
        <v>14643.84</v>
      </c>
      <c r="G5210">
        <v>4981.4399999999996</v>
      </c>
      <c r="H5210" t="str">
        <f>VLOOKUP(myynnit[[#This Row],[TuoteID]],ohjaus!$A$4:$B$20,2,FALSE)</f>
        <v>Lepotuoli</v>
      </c>
    </row>
    <row r="5211" spans="1:8" x14ac:dyDescent="0.35">
      <c r="A5211" t="s">
        <v>39</v>
      </c>
      <c r="B5211">
        <v>2018</v>
      </c>
      <c r="C5211">
        <v>5</v>
      </c>
      <c r="D5211">
        <v>18342</v>
      </c>
      <c r="E5211">
        <v>107</v>
      </c>
      <c r="F5211">
        <v>81203.69</v>
      </c>
      <c r="G5211">
        <v>25577.919999999998</v>
      </c>
      <c r="H5211" t="str">
        <f>VLOOKUP(myynnit[[#This Row],[TuoteID]],ohjaus!$A$4:$B$20,2,FALSE)</f>
        <v>Työtuoli</v>
      </c>
    </row>
    <row r="5212" spans="1:8" x14ac:dyDescent="0.35">
      <c r="A5212" t="s">
        <v>39</v>
      </c>
      <c r="B5212">
        <v>2018</v>
      </c>
      <c r="C5212">
        <v>5</v>
      </c>
      <c r="D5212">
        <v>20177</v>
      </c>
      <c r="E5212">
        <v>47</v>
      </c>
      <c r="F5212">
        <v>4257.16</v>
      </c>
      <c r="G5212">
        <v>2157.8000000000002</v>
      </c>
      <c r="H5212" t="str">
        <f>VLOOKUP(myynnit[[#This Row],[TuoteID]],ohjaus!$A$4:$B$20,2,FALSE)</f>
        <v>Säkkituoli</v>
      </c>
    </row>
    <row r="5213" spans="1:8" x14ac:dyDescent="0.35">
      <c r="A5213" t="s">
        <v>39</v>
      </c>
      <c r="B5213">
        <v>2018</v>
      </c>
      <c r="C5213">
        <v>5</v>
      </c>
      <c r="D5213">
        <v>21179</v>
      </c>
      <c r="E5213">
        <v>39</v>
      </c>
      <c r="F5213">
        <v>5273.4</v>
      </c>
      <c r="G5213">
        <v>3051.92</v>
      </c>
      <c r="H5213" t="str">
        <f>VLOOKUP(myynnit[[#This Row],[TuoteID]],ohjaus!$A$4:$B$20,2,FALSE)</f>
        <v>Rahi</v>
      </c>
    </row>
    <row r="5214" spans="1:8" x14ac:dyDescent="0.35">
      <c r="A5214" t="s">
        <v>39</v>
      </c>
      <c r="B5214">
        <v>2018</v>
      </c>
      <c r="C5214">
        <v>5</v>
      </c>
      <c r="D5214">
        <v>21260</v>
      </c>
      <c r="E5214">
        <v>54</v>
      </c>
      <c r="F5214">
        <v>9517.2000000000007</v>
      </c>
      <c r="G5214">
        <v>2992.56</v>
      </c>
      <c r="H5214" t="str">
        <f>VLOOKUP(myynnit[[#This Row],[TuoteID]],ohjaus!$A$4:$B$20,2,FALSE)</f>
        <v>Lepotuoli</v>
      </c>
    </row>
    <row r="5215" spans="1:8" x14ac:dyDescent="0.35">
      <c r="A5215" t="s">
        <v>39</v>
      </c>
      <c r="B5215">
        <v>2018</v>
      </c>
      <c r="C5215">
        <v>5</v>
      </c>
      <c r="D5215">
        <v>22317</v>
      </c>
      <c r="E5215">
        <v>28</v>
      </c>
      <c r="F5215">
        <v>2206.14</v>
      </c>
      <c r="G5215">
        <v>1161.9100000000001</v>
      </c>
      <c r="H5215" t="str">
        <f>VLOOKUP(myynnit[[#This Row],[TuoteID]],ohjaus!$A$4:$B$20,2,FALSE)</f>
        <v>Säkkituoli</v>
      </c>
    </row>
    <row r="5216" spans="1:8" x14ac:dyDescent="0.35">
      <c r="A5216" t="s">
        <v>39</v>
      </c>
      <c r="B5216">
        <v>2018</v>
      </c>
      <c r="C5216">
        <v>5</v>
      </c>
      <c r="D5216">
        <v>22940</v>
      </c>
      <c r="E5216">
        <v>473</v>
      </c>
      <c r="F5216">
        <v>66455.960000000006</v>
      </c>
      <c r="G5216">
        <v>17118.18</v>
      </c>
      <c r="H5216" t="str">
        <f>VLOOKUP(myynnit[[#This Row],[TuoteID]],ohjaus!$A$4:$B$20,2,FALSE)</f>
        <v>Pinnatuoli</v>
      </c>
    </row>
    <row r="5217" spans="1:8" x14ac:dyDescent="0.35">
      <c r="A5217" t="s">
        <v>39</v>
      </c>
      <c r="B5217">
        <v>2018</v>
      </c>
      <c r="C5217">
        <v>5</v>
      </c>
      <c r="D5217">
        <v>23178</v>
      </c>
      <c r="E5217">
        <v>203</v>
      </c>
      <c r="F5217">
        <v>36445.160000000003</v>
      </c>
      <c r="G5217">
        <v>8829.76</v>
      </c>
      <c r="H5217" t="str">
        <f>VLOOKUP(myynnit[[#This Row],[TuoteID]],ohjaus!$A$4:$B$20,2,FALSE)</f>
        <v>Pinnatuoli</v>
      </c>
    </row>
    <row r="5218" spans="1:8" x14ac:dyDescent="0.35">
      <c r="A5218" t="s">
        <v>39</v>
      </c>
      <c r="B5218">
        <v>2018</v>
      </c>
      <c r="C5218">
        <v>5</v>
      </c>
      <c r="D5218">
        <v>23600</v>
      </c>
      <c r="E5218">
        <v>1072</v>
      </c>
      <c r="F5218">
        <v>109060.68</v>
      </c>
      <c r="G5218">
        <v>30039.22</v>
      </c>
      <c r="H5218" t="str">
        <f>VLOOKUP(myynnit[[#This Row],[TuoteID]],ohjaus!$A$4:$B$20,2,FALSE)</f>
        <v>Pinnatuoli</v>
      </c>
    </row>
    <row r="5219" spans="1:8" x14ac:dyDescent="0.35">
      <c r="A5219" t="s">
        <v>39</v>
      </c>
      <c r="B5219">
        <v>2018</v>
      </c>
      <c r="C5219">
        <v>5</v>
      </c>
      <c r="D5219">
        <v>23756</v>
      </c>
      <c r="E5219">
        <v>103</v>
      </c>
      <c r="F5219">
        <v>22277.21</v>
      </c>
      <c r="G5219">
        <v>14165.32</v>
      </c>
      <c r="H5219" t="str">
        <f>VLOOKUP(myynnit[[#This Row],[TuoteID]],ohjaus!$A$4:$B$20,2,FALSE)</f>
        <v>Pianotuoli</v>
      </c>
    </row>
    <row r="5220" spans="1:8" x14ac:dyDescent="0.35">
      <c r="A5220" t="s">
        <v>39</v>
      </c>
      <c r="B5220">
        <v>2018</v>
      </c>
      <c r="C5220">
        <v>5</v>
      </c>
      <c r="D5220">
        <v>24326</v>
      </c>
      <c r="E5220">
        <v>99</v>
      </c>
      <c r="F5220">
        <v>13767.13</v>
      </c>
      <c r="G5220">
        <v>3935.81</v>
      </c>
      <c r="H5220" t="str">
        <f>VLOOKUP(myynnit[[#This Row],[TuoteID]],ohjaus!$A$4:$B$20,2,FALSE)</f>
        <v>Lepotuoli</v>
      </c>
    </row>
    <row r="5221" spans="1:8" x14ac:dyDescent="0.35">
      <c r="A5221" t="s">
        <v>38</v>
      </c>
      <c r="B5221">
        <v>2018</v>
      </c>
      <c r="C5221">
        <v>5</v>
      </c>
      <c r="D5221">
        <v>12184</v>
      </c>
      <c r="E5221">
        <v>62</v>
      </c>
      <c r="F5221">
        <v>6467.91</v>
      </c>
      <c r="G5221">
        <v>3547.54</v>
      </c>
      <c r="H5221" t="str">
        <f>VLOOKUP(myynnit[[#This Row],[TuoteID]],ohjaus!$A$4:$B$20,2,FALSE)</f>
        <v>Rahi</v>
      </c>
    </row>
    <row r="5222" spans="1:8" x14ac:dyDescent="0.35">
      <c r="A5222" t="s">
        <v>38</v>
      </c>
      <c r="B5222">
        <v>2018</v>
      </c>
      <c r="C5222">
        <v>5</v>
      </c>
      <c r="D5222">
        <v>12622</v>
      </c>
      <c r="E5222">
        <v>42</v>
      </c>
      <c r="F5222">
        <v>12036.97</v>
      </c>
      <c r="G5222">
        <v>5845.69</v>
      </c>
      <c r="H5222" t="str">
        <f>VLOOKUP(myynnit[[#This Row],[TuoteID]],ohjaus!$A$4:$B$20,2,FALSE)</f>
        <v>Pianotuoli</v>
      </c>
    </row>
    <row r="5223" spans="1:8" x14ac:dyDescent="0.35">
      <c r="A5223" t="s">
        <v>38</v>
      </c>
      <c r="B5223">
        <v>2018</v>
      </c>
      <c r="C5223">
        <v>5</v>
      </c>
      <c r="D5223">
        <v>13527</v>
      </c>
      <c r="E5223">
        <v>686</v>
      </c>
      <c r="F5223">
        <v>112397.87</v>
      </c>
      <c r="G5223">
        <v>24727.29</v>
      </c>
      <c r="H5223" t="str">
        <f>VLOOKUP(myynnit[[#This Row],[TuoteID]],ohjaus!$A$4:$B$20,2,FALSE)</f>
        <v>Pinnatuoli</v>
      </c>
    </row>
    <row r="5224" spans="1:8" x14ac:dyDescent="0.35">
      <c r="A5224" t="s">
        <v>38</v>
      </c>
      <c r="B5224">
        <v>2018</v>
      </c>
      <c r="C5224">
        <v>5</v>
      </c>
      <c r="D5224">
        <v>13618</v>
      </c>
      <c r="E5224">
        <v>9</v>
      </c>
      <c r="F5224">
        <v>3892.42</v>
      </c>
      <c r="G5224">
        <v>1619.66</v>
      </c>
      <c r="H5224" t="str">
        <f>VLOOKUP(myynnit[[#This Row],[TuoteID]],ohjaus!$A$4:$B$20,2,FALSE)</f>
        <v>Pianotuoli</v>
      </c>
    </row>
    <row r="5225" spans="1:8" x14ac:dyDescent="0.35">
      <c r="A5225" t="s">
        <v>38</v>
      </c>
      <c r="B5225">
        <v>2018</v>
      </c>
      <c r="C5225">
        <v>5</v>
      </c>
      <c r="D5225">
        <v>16024</v>
      </c>
      <c r="E5225">
        <v>203</v>
      </c>
      <c r="F5225">
        <v>91462.59</v>
      </c>
      <c r="G5225">
        <v>21868.34</v>
      </c>
      <c r="H5225" t="str">
        <f>VLOOKUP(myynnit[[#This Row],[TuoteID]],ohjaus!$A$4:$B$20,2,FALSE)</f>
        <v>Työtuoli</v>
      </c>
    </row>
    <row r="5226" spans="1:8" x14ac:dyDescent="0.35">
      <c r="A5226" t="s">
        <v>38</v>
      </c>
      <c r="B5226">
        <v>2018</v>
      </c>
      <c r="C5226">
        <v>5</v>
      </c>
      <c r="D5226">
        <v>16650</v>
      </c>
      <c r="E5226">
        <v>23</v>
      </c>
      <c r="F5226">
        <v>3840.92</v>
      </c>
      <c r="G5226">
        <v>2447.21</v>
      </c>
      <c r="H5226" t="str">
        <f>VLOOKUP(myynnit[[#This Row],[TuoteID]],ohjaus!$A$4:$B$20,2,FALSE)</f>
        <v>Rahi</v>
      </c>
    </row>
    <row r="5227" spans="1:8" x14ac:dyDescent="0.35">
      <c r="A5227" t="s">
        <v>38</v>
      </c>
      <c r="B5227">
        <v>2018</v>
      </c>
      <c r="C5227">
        <v>5</v>
      </c>
      <c r="D5227">
        <v>17892</v>
      </c>
      <c r="E5227">
        <v>91</v>
      </c>
      <c r="F5227">
        <v>11730.7</v>
      </c>
      <c r="G5227">
        <v>2639.08</v>
      </c>
      <c r="H5227" t="str">
        <f>VLOOKUP(myynnit[[#This Row],[TuoteID]],ohjaus!$A$4:$B$20,2,FALSE)</f>
        <v>Lepotuoli</v>
      </c>
    </row>
    <row r="5228" spans="1:8" x14ac:dyDescent="0.35">
      <c r="A5228" t="s">
        <v>38</v>
      </c>
      <c r="B5228">
        <v>2018</v>
      </c>
      <c r="C5228">
        <v>5</v>
      </c>
      <c r="D5228">
        <v>18342</v>
      </c>
      <c r="E5228">
        <v>225</v>
      </c>
      <c r="F5228">
        <v>192062.34</v>
      </c>
      <c r="G5228">
        <v>49037.88</v>
      </c>
      <c r="H5228" t="str">
        <f>VLOOKUP(myynnit[[#This Row],[TuoteID]],ohjaus!$A$4:$B$20,2,FALSE)</f>
        <v>Työtuoli</v>
      </c>
    </row>
    <row r="5229" spans="1:8" x14ac:dyDescent="0.35">
      <c r="A5229" t="s">
        <v>38</v>
      </c>
      <c r="B5229">
        <v>2018</v>
      </c>
      <c r="C5229">
        <v>5</v>
      </c>
      <c r="D5229">
        <v>20177</v>
      </c>
      <c r="E5229">
        <v>86</v>
      </c>
      <c r="F5229">
        <v>9374.08</v>
      </c>
      <c r="G5229">
        <v>3260.16</v>
      </c>
      <c r="H5229" t="str">
        <f>VLOOKUP(myynnit[[#This Row],[TuoteID]],ohjaus!$A$4:$B$20,2,FALSE)</f>
        <v>Säkkituoli</v>
      </c>
    </row>
    <row r="5230" spans="1:8" x14ac:dyDescent="0.35">
      <c r="A5230" t="s">
        <v>38</v>
      </c>
      <c r="B5230">
        <v>2018</v>
      </c>
      <c r="C5230">
        <v>5</v>
      </c>
      <c r="D5230">
        <v>21179</v>
      </c>
      <c r="E5230">
        <v>52</v>
      </c>
      <c r="F5230">
        <v>6216.15</v>
      </c>
      <c r="G5230">
        <v>3314.28</v>
      </c>
      <c r="H5230" t="str">
        <f>VLOOKUP(myynnit[[#This Row],[TuoteID]],ohjaus!$A$4:$B$20,2,FALSE)</f>
        <v>Rahi</v>
      </c>
    </row>
    <row r="5231" spans="1:8" x14ac:dyDescent="0.35">
      <c r="A5231" t="s">
        <v>38</v>
      </c>
      <c r="B5231">
        <v>2018</v>
      </c>
      <c r="C5231">
        <v>5</v>
      </c>
      <c r="D5231">
        <v>21260</v>
      </c>
      <c r="E5231">
        <v>52</v>
      </c>
      <c r="F5231">
        <v>10593.03</v>
      </c>
      <c r="G5231">
        <v>2414.8000000000002</v>
      </c>
      <c r="H5231" t="str">
        <f>VLOOKUP(myynnit[[#This Row],[TuoteID]],ohjaus!$A$4:$B$20,2,FALSE)</f>
        <v>Lepotuoli</v>
      </c>
    </row>
    <row r="5232" spans="1:8" x14ac:dyDescent="0.35">
      <c r="A5232" t="s">
        <v>38</v>
      </c>
      <c r="B5232">
        <v>2018</v>
      </c>
      <c r="C5232">
        <v>5</v>
      </c>
      <c r="D5232">
        <v>22317</v>
      </c>
      <c r="E5232">
        <v>65</v>
      </c>
      <c r="F5232">
        <v>6490.89</v>
      </c>
      <c r="G5232">
        <v>2178.7600000000002</v>
      </c>
      <c r="H5232" t="str">
        <f>VLOOKUP(myynnit[[#This Row],[TuoteID]],ohjaus!$A$4:$B$20,2,FALSE)</f>
        <v>Säkkituoli</v>
      </c>
    </row>
    <row r="5233" spans="1:8" x14ac:dyDescent="0.35">
      <c r="A5233" t="s">
        <v>38</v>
      </c>
      <c r="B5233">
        <v>2018</v>
      </c>
      <c r="C5233">
        <v>5</v>
      </c>
      <c r="D5233">
        <v>22940</v>
      </c>
      <c r="E5233">
        <v>514</v>
      </c>
      <c r="F5233">
        <v>71085.67</v>
      </c>
      <c r="G5233">
        <v>14334.04</v>
      </c>
      <c r="H5233" t="str">
        <f>VLOOKUP(myynnit[[#This Row],[TuoteID]],ohjaus!$A$4:$B$20,2,FALSE)</f>
        <v>Pinnatuoli</v>
      </c>
    </row>
    <row r="5234" spans="1:8" x14ac:dyDescent="0.35">
      <c r="A5234" t="s">
        <v>38</v>
      </c>
      <c r="B5234">
        <v>2018</v>
      </c>
      <c r="C5234">
        <v>5</v>
      </c>
      <c r="D5234">
        <v>23178</v>
      </c>
      <c r="E5234">
        <v>189</v>
      </c>
      <c r="F5234">
        <v>34153.269999999997</v>
      </c>
      <c r="G5234">
        <v>6629.8</v>
      </c>
      <c r="H5234" t="str">
        <f>VLOOKUP(myynnit[[#This Row],[TuoteID]],ohjaus!$A$4:$B$20,2,FALSE)</f>
        <v>Pinnatuoli</v>
      </c>
    </row>
    <row r="5235" spans="1:8" x14ac:dyDescent="0.35">
      <c r="A5235" t="s">
        <v>38</v>
      </c>
      <c r="B5235">
        <v>2018</v>
      </c>
      <c r="C5235">
        <v>5</v>
      </c>
      <c r="D5235">
        <v>23600</v>
      </c>
      <c r="E5235">
        <v>744</v>
      </c>
      <c r="F5235">
        <v>85988.800000000003</v>
      </c>
      <c r="G5235">
        <v>20268.57</v>
      </c>
      <c r="H5235" t="str">
        <f>VLOOKUP(myynnit[[#This Row],[TuoteID]],ohjaus!$A$4:$B$20,2,FALSE)</f>
        <v>Pinnatuoli</v>
      </c>
    </row>
    <row r="5236" spans="1:8" x14ac:dyDescent="0.35">
      <c r="A5236" t="s">
        <v>38</v>
      </c>
      <c r="B5236">
        <v>2018</v>
      </c>
      <c r="C5236">
        <v>5</v>
      </c>
      <c r="D5236">
        <v>23756</v>
      </c>
      <c r="E5236">
        <v>114</v>
      </c>
      <c r="F5236">
        <v>18201.8</v>
      </c>
      <c r="G5236">
        <v>8985.26</v>
      </c>
      <c r="H5236" t="str">
        <f>VLOOKUP(myynnit[[#This Row],[TuoteID]],ohjaus!$A$4:$B$20,2,FALSE)</f>
        <v>Pianotuoli</v>
      </c>
    </row>
    <row r="5237" spans="1:8" x14ac:dyDescent="0.35">
      <c r="A5237" t="s">
        <v>38</v>
      </c>
      <c r="B5237">
        <v>2018</v>
      </c>
      <c r="C5237">
        <v>5</v>
      </c>
      <c r="D5237">
        <v>24326</v>
      </c>
      <c r="E5237">
        <v>51</v>
      </c>
      <c r="F5237">
        <v>7759.34</v>
      </c>
      <c r="G5237">
        <v>1775.7</v>
      </c>
      <c r="H5237" t="str">
        <f>VLOOKUP(myynnit[[#This Row],[TuoteID]],ohjaus!$A$4:$B$20,2,FALSE)</f>
        <v>Lepotuoli</v>
      </c>
    </row>
    <row r="5238" spans="1:8" x14ac:dyDescent="0.35">
      <c r="A5238" t="s">
        <v>37</v>
      </c>
      <c r="B5238">
        <v>2018</v>
      </c>
      <c r="C5238">
        <v>6</v>
      </c>
      <c r="D5238">
        <v>12184</v>
      </c>
      <c r="E5238">
        <v>93</v>
      </c>
      <c r="F5238">
        <v>11067.66</v>
      </c>
      <c r="G5238">
        <v>5288.28</v>
      </c>
      <c r="H5238" t="str">
        <f>VLOOKUP(myynnit[[#This Row],[TuoteID]],ohjaus!$A$4:$B$20,2,FALSE)</f>
        <v>Rahi</v>
      </c>
    </row>
    <row r="5239" spans="1:8" x14ac:dyDescent="0.35">
      <c r="A5239" t="s">
        <v>37</v>
      </c>
      <c r="B5239">
        <v>2018</v>
      </c>
      <c r="C5239">
        <v>6</v>
      </c>
      <c r="D5239">
        <v>12622</v>
      </c>
      <c r="E5239">
        <v>52</v>
      </c>
      <c r="F5239">
        <v>11578.07</v>
      </c>
      <c r="G5239">
        <v>5637.99</v>
      </c>
      <c r="H5239" t="str">
        <f>VLOOKUP(myynnit[[#This Row],[TuoteID]],ohjaus!$A$4:$B$20,2,FALSE)</f>
        <v>Pianotuoli</v>
      </c>
    </row>
    <row r="5240" spans="1:8" x14ac:dyDescent="0.35">
      <c r="A5240" t="s">
        <v>37</v>
      </c>
      <c r="B5240">
        <v>2018</v>
      </c>
      <c r="C5240">
        <v>6</v>
      </c>
      <c r="D5240">
        <v>13527</v>
      </c>
      <c r="E5240">
        <v>646</v>
      </c>
      <c r="F5240">
        <v>109331.34</v>
      </c>
      <c r="G5240">
        <v>19698.900000000001</v>
      </c>
      <c r="H5240" t="str">
        <f>VLOOKUP(myynnit[[#This Row],[TuoteID]],ohjaus!$A$4:$B$20,2,FALSE)</f>
        <v>Pinnatuoli</v>
      </c>
    </row>
    <row r="5241" spans="1:8" x14ac:dyDescent="0.35">
      <c r="A5241" t="s">
        <v>37</v>
      </c>
      <c r="B5241">
        <v>2018</v>
      </c>
      <c r="C5241">
        <v>6</v>
      </c>
      <c r="D5241">
        <v>13618</v>
      </c>
      <c r="E5241">
        <v>13</v>
      </c>
      <c r="F5241">
        <v>5095.74</v>
      </c>
      <c r="G5241">
        <v>2629.23</v>
      </c>
      <c r="H5241" t="str">
        <f>VLOOKUP(myynnit[[#This Row],[TuoteID]],ohjaus!$A$4:$B$20,2,FALSE)</f>
        <v>Pianotuoli</v>
      </c>
    </row>
    <row r="5242" spans="1:8" x14ac:dyDescent="0.35">
      <c r="A5242" t="s">
        <v>37</v>
      </c>
      <c r="B5242">
        <v>2018</v>
      </c>
      <c r="C5242">
        <v>6</v>
      </c>
      <c r="D5242">
        <v>16024</v>
      </c>
      <c r="E5242">
        <v>292</v>
      </c>
      <c r="F5242">
        <v>131399.43</v>
      </c>
      <c r="G5242">
        <v>40000.07</v>
      </c>
      <c r="H5242" t="str">
        <f>VLOOKUP(myynnit[[#This Row],[TuoteID]],ohjaus!$A$4:$B$20,2,FALSE)</f>
        <v>Työtuoli</v>
      </c>
    </row>
    <row r="5243" spans="1:8" x14ac:dyDescent="0.35">
      <c r="A5243" t="s">
        <v>37</v>
      </c>
      <c r="B5243">
        <v>2018</v>
      </c>
      <c r="C5243">
        <v>6</v>
      </c>
      <c r="D5243">
        <v>16650</v>
      </c>
      <c r="E5243">
        <v>27</v>
      </c>
      <c r="F5243">
        <v>4446.57</v>
      </c>
      <c r="G5243">
        <v>2155.15</v>
      </c>
      <c r="H5243" t="str">
        <f>VLOOKUP(myynnit[[#This Row],[TuoteID]],ohjaus!$A$4:$B$20,2,FALSE)</f>
        <v>Rahi</v>
      </c>
    </row>
    <row r="5244" spans="1:8" x14ac:dyDescent="0.35">
      <c r="A5244" t="s">
        <v>37</v>
      </c>
      <c r="B5244">
        <v>2018</v>
      </c>
      <c r="C5244">
        <v>6</v>
      </c>
      <c r="D5244">
        <v>17892</v>
      </c>
      <c r="E5244">
        <v>160</v>
      </c>
      <c r="F5244">
        <v>20891.52</v>
      </c>
      <c r="G5244">
        <v>6798.74</v>
      </c>
      <c r="H5244" t="str">
        <f>VLOOKUP(myynnit[[#This Row],[TuoteID]],ohjaus!$A$4:$B$20,2,FALSE)</f>
        <v>Lepotuoli</v>
      </c>
    </row>
    <row r="5245" spans="1:8" x14ac:dyDescent="0.35">
      <c r="A5245" t="s">
        <v>37</v>
      </c>
      <c r="B5245">
        <v>2018</v>
      </c>
      <c r="C5245">
        <v>6</v>
      </c>
      <c r="D5245">
        <v>18342</v>
      </c>
      <c r="E5245">
        <v>122</v>
      </c>
      <c r="F5245">
        <v>91126.92</v>
      </c>
      <c r="G5245">
        <v>25846.3</v>
      </c>
      <c r="H5245" t="str">
        <f>VLOOKUP(myynnit[[#This Row],[TuoteID]],ohjaus!$A$4:$B$20,2,FALSE)</f>
        <v>Työtuoli</v>
      </c>
    </row>
    <row r="5246" spans="1:8" x14ac:dyDescent="0.35">
      <c r="A5246" t="s">
        <v>37</v>
      </c>
      <c r="B5246">
        <v>2018</v>
      </c>
      <c r="C5246">
        <v>6</v>
      </c>
      <c r="D5246">
        <v>20177</v>
      </c>
      <c r="E5246">
        <v>91</v>
      </c>
      <c r="F5246">
        <v>10566.92</v>
      </c>
      <c r="G5246">
        <v>4572.9399999999996</v>
      </c>
      <c r="H5246" t="str">
        <f>VLOOKUP(myynnit[[#This Row],[TuoteID]],ohjaus!$A$4:$B$20,2,FALSE)</f>
        <v>Säkkituoli</v>
      </c>
    </row>
    <row r="5247" spans="1:8" x14ac:dyDescent="0.35">
      <c r="A5247" t="s">
        <v>37</v>
      </c>
      <c r="B5247">
        <v>2018</v>
      </c>
      <c r="C5247">
        <v>6</v>
      </c>
      <c r="D5247">
        <v>21179</v>
      </c>
      <c r="E5247">
        <v>81</v>
      </c>
      <c r="F5247">
        <v>11121.84</v>
      </c>
      <c r="G5247">
        <v>4926.57</v>
      </c>
      <c r="H5247" t="str">
        <f>VLOOKUP(myynnit[[#This Row],[TuoteID]],ohjaus!$A$4:$B$20,2,FALSE)</f>
        <v>Rahi</v>
      </c>
    </row>
    <row r="5248" spans="1:8" x14ac:dyDescent="0.35">
      <c r="A5248" t="s">
        <v>37</v>
      </c>
      <c r="B5248">
        <v>2018</v>
      </c>
      <c r="C5248">
        <v>6</v>
      </c>
      <c r="D5248">
        <v>21260</v>
      </c>
      <c r="E5248">
        <v>64</v>
      </c>
      <c r="F5248">
        <v>13764.14</v>
      </c>
      <c r="G5248">
        <v>4220.78</v>
      </c>
      <c r="H5248" t="str">
        <f>VLOOKUP(myynnit[[#This Row],[TuoteID]],ohjaus!$A$4:$B$20,2,FALSE)</f>
        <v>Lepotuoli</v>
      </c>
    </row>
    <row r="5249" spans="1:8" x14ac:dyDescent="0.35">
      <c r="A5249" t="s">
        <v>37</v>
      </c>
      <c r="B5249">
        <v>2018</v>
      </c>
      <c r="C5249">
        <v>6</v>
      </c>
      <c r="D5249">
        <v>22317</v>
      </c>
      <c r="E5249">
        <v>82</v>
      </c>
      <c r="F5249">
        <v>7540.77</v>
      </c>
      <c r="G5249">
        <v>2624.28</v>
      </c>
      <c r="H5249" t="str">
        <f>VLOOKUP(myynnit[[#This Row],[TuoteID]],ohjaus!$A$4:$B$20,2,FALSE)</f>
        <v>Säkkituoli</v>
      </c>
    </row>
    <row r="5250" spans="1:8" x14ac:dyDescent="0.35">
      <c r="A5250" t="s">
        <v>37</v>
      </c>
      <c r="B5250">
        <v>2018</v>
      </c>
      <c r="C5250">
        <v>6</v>
      </c>
      <c r="D5250">
        <v>22940</v>
      </c>
      <c r="E5250">
        <v>850</v>
      </c>
      <c r="F5250">
        <v>105933.6</v>
      </c>
      <c r="G5250">
        <v>16970.13</v>
      </c>
      <c r="H5250" t="str">
        <f>VLOOKUP(myynnit[[#This Row],[TuoteID]],ohjaus!$A$4:$B$20,2,FALSE)</f>
        <v>Pinnatuoli</v>
      </c>
    </row>
    <row r="5251" spans="1:8" x14ac:dyDescent="0.35">
      <c r="A5251" t="s">
        <v>37</v>
      </c>
      <c r="B5251">
        <v>2018</v>
      </c>
      <c r="C5251">
        <v>6</v>
      </c>
      <c r="D5251">
        <v>23178</v>
      </c>
      <c r="E5251">
        <v>460</v>
      </c>
      <c r="F5251">
        <v>75663.39</v>
      </c>
      <c r="G5251">
        <v>13799.87</v>
      </c>
      <c r="H5251" t="str">
        <f>VLOOKUP(myynnit[[#This Row],[TuoteID]],ohjaus!$A$4:$B$20,2,FALSE)</f>
        <v>Pinnatuoli</v>
      </c>
    </row>
    <row r="5252" spans="1:8" x14ac:dyDescent="0.35">
      <c r="A5252" t="s">
        <v>37</v>
      </c>
      <c r="B5252">
        <v>2018</v>
      </c>
      <c r="C5252">
        <v>6</v>
      </c>
      <c r="D5252">
        <v>23600</v>
      </c>
      <c r="E5252">
        <v>599</v>
      </c>
      <c r="F5252">
        <v>63213.48</v>
      </c>
      <c r="G5252">
        <v>13705.35</v>
      </c>
      <c r="H5252" t="str">
        <f>VLOOKUP(myynnit[[#This Row],[TuoteID]],ohjaus!$A$4:$B$20,2,FALSE)</f>
        <v>Pinnatuoli</v>
      </c>
    </row>
    <row r="5253" spans="1:8" x14ac:dyDescent="0.35">
      <c r="A5253" t="s">
        <v>37</v>
      </c>
      <c r="B5253">
        <v>2018</v>
      </c>
      <c r="C5253">
        <v>6</v>
      </c>
      <c r="D5253">
        <v>23756</v>
      </c>
      <c r="E5253">
        <v>113</v>
      </c>
      <c r="F5253">
        <v>21981.73</v>
      </c>
      <c r="G5253">
        <v>11597.77</v>
      </c>
      <c r="H5253" t="str">
        <f>VLOOKUP(myynnit[[#This Row],[TuoteID]],ohjaus!$A$4:$B$20,2,FALSE)</f>
        <v>Pianotuoli</v>
      </c>
    </row>
    <row r="5254" spans="1:8" x14ac:dyDescent="0.35">
      <c r="A5254" t="s">
        <v>37</v>
      </c>
      <c r="B5254">
        <v>2018</v>
      </c>
      <c r="C5254">
        <v>6</v>
      </c>
      <c r="D5254">
        <v>24326</v>
      </c>
      <c r="E5254">
        <v>213</v>
      </c>
      <c r="F5254">
        <v>32487</v>
      </c>
      <c r="G5254">
        <v>7991.2</v>
      </c>
      <c r="H5254" t="str">
        <f>VLOOKUP(myynnit[[#This Row],[TuoteID]],ohjaus!$A$4:$B$20,2,FALSE)</f>
        <v>Lepotuoli</v>
      </c>
    </row>
    <row r="5255" spans="1:8" x14ac:dyDescent="0.35">
      <c r="A5255" t="s">
        <v>40</v>
      </c>
      <c r="B5255">
        <v>2018</v>
      </c>
      <c r="C5255">
        <v>6</v>
      </c>
      <c r="D5255">
        <v>12184</v>
      </c>
      <c r="E5255">
        <v>23</v>
      </c>
      <c r="F5255">
        <v>2918.2</v>
      </c>
      <c r="G5255">
        <v>1252.6400000000001</v>
      </c>
      <c r="H5255" t="str">
        <f>VLOOKUP(myynnit[[#This Row],[TuoteID]],ohjaus!$A$4:$B$20,2,FALSE)</f>
        <v>Rahi</v>
      </c>
    </row>
    <row r="5256" spans="1:8" x14ac:dyDescent="0.35">
      <c r="A5256" t="s">
        <v>40</v>
      </c>
      <c r="B5256">
        <v>2018</v>
      </c>
      <c r="C5256">
        <v>6</v>
      </c>
      <c r="D5256">
        <v>12622</v>
      </c>
      <c r="E5256">
        <v>13</v>
      </c>
      <c r="F5256">
        <v>3082.07</v>
      </c>
      <c r="G5256">
        <v>1210.93</v>
      </c>
      <c r="H5256" t="str">
        <f>VLOOKUP(myynnit[[#This Row],[TuoteID]],ohjaus!$A$4:$B$20,2,FALSE)</f>
        <v>Pianotuoli</v>
      </c>
    </row>
    <row r="5257" spans="1:8" x14ac:dyDescent="0.35">
      <c r="A5257" t="s">
        <v>40</v>
      </c>
      <c r="B5257">
        <v>2018</v>
      </c>
      <c r="C5257">
        <v>6</v>
      </c>
      <c r="D5257">
        <v>13527</v>
      </c>
      <c r="E5257">
        <v>228</v>
      </c>
      <c r="F5257">
        <v>34597.269999999997</v>
      </c>
      <c r="G5257">
        <v>6756.44</v>
      </c>
      <c r="H5257" t="str">
        <f>VLOOKUP(myynnit[[#This Row],[TuoteID]],ohjaus!$A$4:$B$20,2,FALSE)</f>
        <v>Pinnatuoli</v>
      </c>
    </row>
    <row r="5258" spans="1:8" x14ac:dyDescent="0.35">
      <c r="A5258" t="s">
        <v>40</v>
      </c>
      <c r="B5258">
        <v>2018</v>
      </c>
      <c r="C5258">
        <v>6</v>
      </c>
      <c r="D5258">
        <v>13618</v>
      </c>
      <c r="E5258">
        <v>9</v>
      </c>
      <c r="F5258">
        <v>2887.02</v>
      </c>
      <c r="G5258">
        <v>1168.81</v>
      </c>
      <c r="H5258" t="str">
        <f>VLOOKUP(myynnit[[#This Row],[TuoteID]],ohjaus!$A$4:$B$20,2,FALSE)</f>
        <v>Pianotuoli</v>
      </c>
    </row>
    <row r="5259" spans="1:8" x14ac:dyDescent="0.35">
      <c r="A5259" t="s">
        <v>40</v>
      </c>
      <c r="B5259">
        <v>2018</v>
      </c>
      <c r="C5259">
        <v>6</v>
      </c>
      <c r="D5259">
        <v>16024</v>
      </c>
      <c r="E5259">
        <v>183</v>
      </c>
      <c r="F5259">
        <v>75431.41</v>
      </c>
      <c r="G5259">
        <v>22431.91</v>
      </c>
      <c r="H5259" t="str">
        <f>VLOOKUP(myynnit[[#This Row],[TuoteID]],ohjaus!$A$4:$B$20,2,FALSE)</f>
        <v>Työtuoli</v>
      </c>
    </row>
    <row r="5260" spans="1:8" x14ac:dyDescent="0.35">
      <c r="A5260" t="s">
        <v>40</v>
      </c>
      <c r="B5260">
        <v>2018</v>
      </c>
      <c r="C5260">
        <v>6</v>
      </c>
      <c r="D5260">
        <v>16650</v>
      </c>
      <c r="E5260">
        <v>22</v>
      </c>
      <c r="F5260">
        <v>3262.42</v>
      </c>
      <c r="G5260">
        <v>1794.97</v>
      </c>
      <c r="H5260" t="str">
        <f>VLOOKUP(myynnit[[#This Row],[TuoteID]],ohjaus!$A$4:$B$20,2,FALSE)</f>
        <v>Rahi</v>
      </c>
    </row>
    <row r="5261" spans="1:8" x14ac:dyDescent="0.35">
      <c r="A5261" t="s">
        <v>40</v>
      </c>
      <c r="B5261">
        <v>2018</v>
      </c>
      <c r="C5261">
        <v>6</v>
      </c>
      <c r="D5261">
        <v>17892</v>
      </c>
      <c r="E5261">
        <v>76</v>
      </c>
      <c r="F5261">
        <v>10667.24</v>
      </c>
      <c r="G5261">
        <v>2473.25</v>
      </c>
      <c r="H5261" t="str">
        <f>VLOOKUP(myynnit[[#This Row],[TuoteID]],ohjaus!$A$4:$B$20,2,FALSE)</f>
        <v>Lepotuoli</v>
      </c>
    </row>
    <row r="5262" spans="1:8" x14ac:dyDescent="0.35">
      <c r="A5262" t="s">
        <v>40</v>
      </c>
      <c r="B5262">
        <v>2018</v>
      </c>
      <c r="C5262">
        <v>6</v>
      </c>
      <c r="D5262">
        <v>18342</v>
      </c>
      <c r="E5262">
        <v>17</v>
      </c>
      <c r="F5262">
        <v>13582.43</v>
      </c>
      <c r="G5262">
        <v>4592.17</v>
      </c>
      <c r="H5262" t="str">
        <f>VLOOKUP(myynnit[[#This Row],[TuoteID]],ohjaus!$A$4:$B$20,2,FALSE)</f>
        <v>Työtuoli</v>
      </c>
    </row>
    <row r="5263" spans="1:8" x14ac:dyDescent="0.35">
      <c r="A5263" t="s">
        <v>40</v>
      </c>
      <c r="B5263">
        <v>2018</v>
      </c>
      <c r="C5263">
        <v>6</v>
      </c>
      <c r="D5263">
        <v>20177</v>
      </c>
      <c r="E5263">
        <v>19</v>
      </c>
      <c r="F5263">
        <v>1655.83</v>
      </c>
      <c r="G5263">
        <v>720.97</v>
      </c>
      <c r="H5263" t="str">
        <f>VLOOKUP(myynnit[[#This Row],[TuoteID]],ohjaus!$A$4:$B$20,2,FALSE)</f>
        <v>Säkkituoli</v>
      </c>
    </row>
    <row r="5264" spans="1:8" x14ac:dyDescent="0.35">
      <c r="A5264" t="s">
        <v>40</v>
      </c>
      <c r="B5264">
        <v>2018</v>
      </c>
      <c r="C5264">
        <v>6</v>
      </c>
      <c r="D5264">
        <v>21179</v>
      </c>
      <c r="E5264">
        <v>43</v>
      </c>
      <c r="F5264">
        <v>5636.05</v>
      </c>
      <c r="G5264">
        <v>3358.56</v>
      </c>
      <c r="H5264" t="str">
        <f>VLOOKUP(myynnit[[#This Row],[TuoteID]],ohjaus!$A$4:$B$20,2,FALSE)</f>
        <v>Rahi</v>
      </c>
    </row>
    <row r="5265" spans="1:8" x14ac:dyDescent="0.35">
      <c r="A5265" t="s">
        <v>40</v>
      </c>
      <c r="B5265">
        <v>2018</v>
      </c>
      <c r="C5265">
        <v>6</v>
      </c>
      <c r="D5265">
        <v>21260</v>
      </c>
      <c r="E5265">
        <v>52</v>
      </c>
      <c r="F5265">
        <v>9166.19</v>
      </c>
      <c r="G5265">
        <v>1929.05</v>
      </c>
      <c r="H5265" t="str">
        <f>VLOOKUP(myynnit[[#This Row],[TuoteID]],ohjaus!$A$4:$B$20,2,FALSE)</f>
        <v>Lepotuoli</v>
      </c>
    </row>
    <row r="5266" spans="1:8" x14ac:dyDescent="0.35">
      <c r="A5266" t="s">
        <v>40</v>
      </c>
      <c r="B5266">
        <v>2018</v>
      </c>
      <c r="C5266">
        <v>6</v>
      </c>
      <c r="D5266">
        <v>22317</v>
      </c>
      <c r="E5266">
        <v>18</v>
      </c>
      <c r="F5266">
        <v>1719.41</v>
      </c>
      <c r="G5266">
        <v>690.83</v>
      </c>
      <c r="H5266" t="str">
        <f>VLOOKUP(myynnit[[#This Row],[TuoteID]],ohjaus!$A$4:$B$20,2,FALSE)</f>
        <v>Säkkituoli</v>
      </c>
    </row>
    <row r="5267" spans="1:8" x14ac:dyDescent="0.35">
      <c r="A5267" t="s">
        <v>40</v>
      </c>
      <c r="B5267">
        <v>2018</v>
      </c>
      <c r="C5267">
        <v>6</v>
      </c>
      <c r="D5267">
        <v>22940</v>
      </c>
      <c r="E5267">
        <v>202</v>
      </c>
      <c r="F5267">
        <v>28257.03</v>
      </c>
      <c r="G5267">
        <v>8043.4</v>
      </c>
      <c r="H5267" t="str">
        <f>VLOOKUP(myynnit[[#This Row],[TuoteID]],ohjaus!$A$4:$B$20,2,FALSE)</f>
        <v>Pinnatuoli</v>
      </c>
    </row>
    <row r="5268" spans="1:8" x14ac:dyDescent="0.35">
      <c r="A5268" t="s">
        <v>40</v>
      </c>
      <c r="B5268">
        <v>2018</v>
      </c>
      <c r="C5268">
        <v>6</v>
      </c>
      <c r="D5268">
        <v>23178</v>
      </c>
      <c r="E5268">
        <v>143</v>
      </c>
      <c r="F5268">
        <v>23965.09</v>
      </c>
      <c r="G5268">
        <v>7210.6</v>
      </c>
      <c r="H5268" t="str">
        <f>VLOOKUP(myynnit[[#This Row],[TuoteID]],ohjaus!$A$4:$B$20,2,FALSE)</f>
        <v>Pinnatuoli</v>
      </c>
    </row>
    <row r="5269" spans="1:8" x14ac:dyDescent="0.35">
      <c r="A5269" t="s">
        <v>40</v>
      </c>
      <c r="B5269">
        <v>2018</v>
      </c>
      <c r="C5269">
        <v>6</v>
      </c>
      <c r="D5269">
        <v>23600</v>
      </c>
      <c r="E5269">
        <v>681</v>
      </c>
      <c r="F5269">
        <v>80172.58</v>
      </c>
      <c r="G5269">
        <v>22347.57</v>
      </c>
      <c r="H5269" t="str">
        <f>VLOOKUP(myynnit[[#This Row],[TuoteID]],ohjaus!$A$4:$B$20,2,FALSE)</f>
        <v>Pinnatuoli</v>
      </c>
    </row>
    <row r="5270" spans="1:8" x14ac:dyDescent="0.35">
      <c r="A5270" t="s">
        <v>40</v>
      </c>
      <c r="B5270">
        <v>2018</v>
      </c>
      <c r="C5270">
        <v>6</v>
      </c>
      <c r="D5270">
        <v>23756</v>
      </c>
      <c r="E5270">
        <v>95</v>
      </c>
      <c r="F5270">
        <v>15043.35</v>
      </c>
      <c r="G5270">
        <v>6416.99</v>
      </c>
      <c r="H5270" t="str">
        <f>VLOOKUP(myynnit[[#This Row],[TuoteID]],ohjaus!$A$4:$B$20,2,FALSE)</f>
        <v>Pianotuoli</v>
      </c>
    </row>
    <row r="5271" spans="1:8" x14ac:dyDescent="0.35">
      <c r="A5271" t="s">
        <v>40</v>
      </c>
      <c r="B5271">
        <v>2018</v>
      </c>
      <c r="C5271">
        <v>6</v>
      </c>
      <c r="D5271">
        <v>24326</v>
      </c>
      <c r="E5271">
        <v>40</v>
      </c>
      <c r="F5271">
        <v>5708.23</v>
      </c>
      <c r="G5271">
        <v>1737.39</v>
      </c>
      <c r="H5271" t="str">
        <f>VLOOKUP(myynnit[[#This Row],[TuoteID]],ohjaus!$A$4:$B$20,2,FALSE)</f>
        <v>Lepotuoli</v>
      </c>
    </row>
    <row r="5272" spans="1:8" x14ac:dyDescent="0.35">
      <c r="A5272" t="s">
        <v>39</v>
      </c>
      <c r="B5272">
        <v>2018</v>
      </c>
      <c r="C5272">
        <v>6</v>
      </c>
      <c r="D5272">
        <v>12184</v>
      </c>
      <c r="E5272">
        <v>118</v>
      </c>
      <c r="F5272">
        <v>14691.52</v>
      </c>
      <c r="G5272">
        <v>8913.42</v>
      </c>
      <c r="H5272" t="str">
        <f>VLOOKUP(myynnit[[#This Row],[TuoteID]],ohjaus!$A$4:$B$20,2,FALSE)</f>
        <v>Rahi</v>
      </c>
    </row>
    <row r="5273" spans="1:8" x14ac:dyDescent="0.35">
      <c r="A5273" t="s">
        <v>39</v>
      </c>
      <c r="B5273">
        <v>2018</v>
      </c>
      <c r="C5273">
        <v>6</v>
      </c>
      <c r="D5273">
        <v>12622</v>
      </c>
      <c r="E5273">
        <v>46</v>
      </c>
      <c r="F5273">
        <v>13720.39</v>
      </c>
      <c r="G5273">
        <v>8505.9500000000007</v>
      </c>
      <c r="H5273" t="str">
        <f>VLOOKUP(myynnit[[#This Row],[TuoteID]],ohjaus!$A$4:$B$20,2,FALSE)</f>
        <v>Pianotuoli</v>
      </c>
    </row>
    <row r="5274" spans="1:8" x14ac:dyDescent="0.35">
      <c r="A5274" t="s">
        <v>39</v>
      </c>
      <c r="B5274">
        <v>2018</v>
      </c>
      <c r="C5274">
        <v>6</v>
      </c>
      <c r="D5274">
        <v>13527</v>
      </c>
      <c r="E5274">
        <v>257</v>
      </c>
      <c r="F5274">
        <v>38327.360000000001</v>
      </c>
      <c r="G5274">
        <v>8587.23</v>
      </c>
      <c r="H5274" t="str">
        <f>VLOOKUP(myynnit[[#This Row],[TuoteID]],ohjaus!$A$4:$B$20,2,FALSE)</f>
        <v>Pinnatuoli</v>
      </c>
    </row>
    <row r="5275" spans="1:8" x14ac:dyDescent="0.35">
      <c r="A5275" t="s">
        <v>39</v>
      </c>
      <c r="B5275">
        <v>2018</v>
      </c>
      <c r="C5275">
        <v>6</v>
      </c>
      <c r="D5275">
        <v>13618</v>
      </c>
      <c r="E5275">
        <v>28</v>
      </c>
      <c r="F5275">
        <v>12050.3</v>
      </c>
      <c r="G5275">
        <v>7552.86</v>
      </c>
      <c r="H5275" t="str">
        <f>VLOOKUP(myynnit[[#This Row],[TuoteID]],ohjaus!$A$4:$B$20,2,FALSE)</f>
        <v>Pianotuoli</v>
      </c>
    </row>
    <row r="5276" spans="1:8" x14ac:dyDescent="0.35">
      <c r="A5276" t="s">
        <v>39</v>
      </c>
      <c r="B5276">
        <v>2018</v>
      </c>
      <c r="C5276">
        <v>6</v>
      </c>
      <c r="D5276">
        <v>16024</v>
      </c>
      <c r="E5276">
        <v>312</v>
      </c>
      <c r="F5276">
        <v>123407.83</v>
      </c>
      <c r="G5276">
        <v>37650.11</v>
      </c>
      <c r="H5276" t="str">
        <f>VLOOKUP(myynnit[[#This Row],[TuoteID]],ohjaus!$A$4:$B$20,2,FALSE)</f>
        <v>Työtuoli</v>
      </c>
    </row>
    <row r="5277" spans="1:8" x14ac:dyDescent="0.35">
      <c r="A5277" t="s">
        <v>39</v>
      </c>
      <c r="B5277">
        <v>2018</v>
      </c>
      <c r="C5277">
        <v>6</v>
      </c>
      <c r="D5277">
        <v>16650</v>
      </c>
      <c r="E5277">
        <v>43</v>
      </c>
      <c r="F5277">
        <v>6724.86</v>
      </c>
      <c r="G5277">
        <v>5010.0200000000004</v>
      </c>
      <c r="H5277" t="str">
        <f>VLOOKUP(myynnit[[#This Row],[TuoteID]],ohjaus!$A$4:$B$20,2,FALSE)</f>
        <v>Rahi</v>
      </c>
    </row>
    <row r="5278" spans="1:8" x14ac:dyDescent="0.35">
      <c r="A5278" t="s">
        <v>39</v>
      </c>
      <c r="B5278">
        <v>2018</v>
      </c>
      <c r="C5278">
        <v>6</v>
      </c>
      <c r="D5278">
        <v>17892</v>
      </c>
      <c r="E5278">
        <v>75</v>
      </c>
      <c r="F5278">
        <v>11381.77</v>
      </c>
      <c r="G5278">
        <v>3618.19</v>
      </c>
      <c r="H5278" t="str">
        <f>VLOOKUP(myynnit[[#This Row],[TuoteID]],ohjaus!$A$4:$B$20,2,FALSE)</f>
        <v>Lepotuoli</v>
      </c>
    </row>
    <row r="5279" spans="1:8" x14ac:dyDescent="0.35">
      <c r="A5279" t="s">
        <v>39</v>
      </c>
      <c r="B5279">
        <v>2018</v>
      </c>
      <c r="C5279">
        <v>6</v>
      </c>
      <c r="D5279">
        <v>18342</v>
      </c>
      <c r="E5279">
        <v>66</v>
      </c>
      <c r="F5279">
        <v>53267.1</v>
      </c>
      <c r="G5279">
        <v>14890.92</v>
      </c>
      <c r="H5279" t="str">
        <f>VLOOKUP(myynnit[[#This Row],[TuoteID]],ohjaus!$A$4:$B$20,2,FALSE)</f>
        <v>Työtuoli</v>
      </c>
    </row>
    <row r="5280" spans="1:8" x14ac:dyDescent="0.35">
      <c r="A5280" t="s">
        <v>39</v>
      </c>
      <c r="B5280">
        <v>2018</v>
      </c>
      <c r="C5280">
        <v>6</v>
      </c>
      <c r="D5280">
        <v>20177</v>
      </c>
      <c r="E5280">
        <v>54</v>
      </c>
      <c r="F5280">
        <v>6469.02</v>
      </c>
      <c r="G5280">
        <v>3026.07</v>
      </c>
      <c r="H5280" t="str">
        <f>VLOOKUP(myynnit[[#This Row],[TuoteID]],ohjaus!$A$4:$B$20,2,FALSE)</f>
        <v>Säkkituoli</v>
      </c>
    </row>
    <row r="5281" spans="1:8" x14ac:dyDescent="0.35">
      <c r="A5281" t="s">
        <v>39</v>
      </c>
      <c r="B5281">
        <v>2018</v>
      </c>
      <c r="C5281">
        <v>6</v>
      </c>
      <c r="D5281">
        <v>21179</v>
      </c>
      <c r="E5281">
        <v>54</v>
      </c>
      <c r="F5281">
        <v>8279.89</v>
      </c>
      <c r="G5281">
        <v>5383.83</v>
      </c>
      <c r="H5281" t="str">
        <f>VLOOKUP(myynnit[[#This Row],[TuoteID]],ohjaus!$A$4:$B$20,2,FALSE)</f>
        <v>Rahi</v>
      </c>
    </row>
    <row r="5282" spans="1:8" x14ac:dyDescent="0.35">
      <c r="A5282" t="s">
        <v>39</v>
      </c>
      <c r="B5282">
        <v>2018</v>
      </c>
      <c r="C5282">
        <v>6</v>
      </c>
      <c r="D5282">
        <v>21260</v>
      </c>
      <c r="E5282">
        <v>63</v>
      </c>
      <c r="F5282">
        <v>10785.14</v>
      </c>
      <c r="G5282">
        <v>3209.22</v>
      </c>
      <c r="H5282" t="str">
        <f>VLOOKUP(myynnit[[#This Row],[TuoteID]],ohjaus!$A$4:$B$20,2,FALSE)</f>
        <v>Lepotuoli</v>
      </c>
    </row>
    <row r="5283" spans="1:8" x14ac:dyDescent="0.35">
      <c r="A5283" t="s">
        <v>39</v>
      </c>
      <c r="B5283">
        <v>2018</v>
      </c>
      <c r="C5283">
        <v>6</v>
      </c>
      <c r="D5283">
        <v>22317</v>
      </c>
      <c r="E5283">
        <v>43</v>
      </c>
      <c r="F5283">
        <v>3602.49</v>
      </c>
      <c r="G5283">
        <v>1769.61</v>
      </c>
      <c r="H5283" t="str">
        <f>VLOOKUP(myynnit[[#This Row],[TuoteID]],ohjaus!$A$4:$B$20,2,FALSE)</f>
        <v>Säkkituoli</v>
      </c>
    </row>
    <row r="5284" spans="1:8" x14ac:dyDescent="0.35">
      <c r="A5284" t="s">
        <v>39</v>
      </c>
      <c r="B5284">
        <v>2018</v>
      </c>
      <c r="C5284">
        <v>6</v>
      </c>
      <c r="D5284">
        <v>22940</v>
      </c>
      <c r="E5284">
        <v>378</v>
      </c>
      <c r="F5284">
        <v>52952.07</v>
      </c>
      <c r="G5284">
        <v>12212.62</v>
      </c>
      <c r="H5284" t="str">
        <f>VLOOKUP(myynnit[[#This Row],[TuoteID]],ohjaus!$A$4:$B$20,2,FALSE)</f>
        <v>Pinnatuoli</v>
      </c>
    </row>
    <row r="5285" spans="1:8" x14ac:dyDescent="0.35">
      <c r="A5285" t="s">
        <v>39</v>
      </c>
      <c r="B5285">
        <v>2018</v>
      </c>
      <c r="C5285">
        <v>6</v>
      </c>
      <c r="D5285">
        <v>23178</v>
      </c>
      <c r="E5285">
        <v>135</v>
      </c>
      <c r="F5285">
        <v>21804.2</v>
      </c>
      <c r="G5285">
        <v>6304.16</v>
      </c>
      <c r="H5285" t="str">
        <f>VLOOKUP(myynnit[[#This Row],[TuoteID]],ohjaus!$A$4:$B$20,2,FALSE)</f>
        <v>Pinnatuoli</v>
      </c>
    </row>
    <row r="5286" spans="1:8" x14ac:dyDescent="0.35">
      <c r="A5286" t="s">
        <v>39</v>
      </c>
      <c r="B5286">
        <v>2018</v>
      </c>
      <c r="C5286">
        <v>6</v>
      </c>
      <c r="D5286">
        <v>23600</v>
      </c>
      <c r="E5286">
        <v>746</v>
      </c>
      <c r="F5286">
        <v>86996.36</v>
      </c>
      <c r="G5286">
        <v>28223.26</v>
      </c>
      <c r="H5286" t="str">
        <f>VLOOKUP(myynnit[[#This Row],[TuoteID]],ohjaus!$A$4:$B$20,2,FALSE)</f>
        <v>Pinnatuoli</v>
      </c>
    </row>
    <row r="5287" spans="1:8" x14ac:dyDescent="0.35">
      <c r="A5287" t="s">
        <v>39</v>
      </c>
      <c r="B5287">
        <v>2018</v>
      </c>
      <c r="C5287">
        <v>6</v>
      </c>
      <c r="D5287">
        <v>23756</v>
      </c>
      <c r="E5287">
        <v>105</v>
      </c>
      <c r="F5287">
        <v>21247.72</v>
      </c>
      <c r="G5287">
        <v>11559.09</v>
      </c>
      <c r="H5287" t="str">
        <f>VLOOKUP(myynnit[[#This Row],[TuoteID]],ohjaus!$A$4:$B$20,2,FALSE)</f>
        <v>Pianotuoli</v>
      </c>
    </row>
    <row r="5288" spans="1:8" x14ac:dyDescent="0.35">
      <c r="A5288" t="s">
        <v>39</v>
      </c>
      <c r="B5288">
        <v>2018</v>
      </c>
      <c r="C5288">
        <v>6</v>
      </c>
      <c r="D5288">
        <v>24326</v>
      </c>
      <c r="E5288">
        <v>62</v>
      </c>
      <c r="F5288">
        <v>8925.8799999999992</v>
      </c>
      <c r="G5288">
        <v>2692.49</v>
      </c>
      <c r="H5288" t="str">
        <f>VLOOKUP(myynnit[[#This Row],[TuoteID]],ohjaus!$A$4:$B$20,2,FALSE)</f>
        <v>Lepotuoli</v>
      </c>
    </row>
    <row r="5289" spans="1:8" x14ac:dyDescent="0.35">
      <c r="A5289" t="s">
        <v>38</v>
      </c>
      <c r="B5289">
        <v>2018</v>
      </c>
      <c r="C5289">
        <v>6</v>
      </c>
      <c r="D5289">
        <v>12184</v>
      </c>
      <c r="E5289">
        <v>98</v>
      </c>
      <c r="F5289">
        <v>13805.7</v>
      </c>
      <c r="G5289">
        <v>8391.7999999999993</v>
      </c>
      <c r="H5289" t="str">
        <f>VLOOKUP(myynnit[[#This Row],[TuoteID]],ohjaus!$A$4:$B$20,2,FALSE)</f>
        <v>Rahi</v>
      </c>
    </row>
    <row r="5290" spans="1:8" x14ac:dyDescent="0.35">
      <c r="A5290" t="s">
        <v>38</v>
      </c>
      <c r="B5290">
        <v>2018</v>
      </c>
      <c r="C5290">
        <v>6</v>
      </c>
      <c r="D5290">
        <v>12622</v>
      </c>
      <c r="E5290">
        <v>59</v>
      </c>
      <c r="F5290">
        <v>13022.17</v>
      </c>
      <c r="G5290">
        <v>6983.9</v>
      </c>
      <c r="H5290" t="str">
        <f>VLOOKUP(myynnit[[#This Row],[TuoteID]],ohjaus!$A$4:$B$20,2,FALSE)</f>
        <v>Pianotuoli</v>
      </c>
    </row>
    <row r="5291" spans="1:8" x14ac:dyDescent="0.35">
      <c r="A5291" t="s">
        <v>38</v>
      </c>
      <c r="B5291">
        <v>2018</v>
      </c>
      <c r="C5291">
        <v>6</v>
      </c>
      <c r="D5291">
        <v>13527</v>
      </c>
      <c r="E5291">
        <v>575</v>
      </c>
      <c r="F5291">
        <v>95893.35</v>
      </c>
      <c r="G5291">
        <v>21334.2</v>
      </c>
      <c r="H5291" t="str">
        <f>VLOOKUP(myynnit[[#This Row],[TuoteID]],ohjaus!$A$4:$B$20,2,FALSE)</f>
        <v>Pinnatuoli</v>
      </c>
    </row>
    <row r="5292" spans="1:8" x14ac:dyDescent="0.35">
      <c r="A5292" t="s">
        <v>38</v>
      </c>
      <c r="B5292">
        <v>2018</v>
      </c>
      <c r="C5292">
        <v>6</v>
      </c>
      <c r="D5292">
        <v>13618</v>
      </c>
      <c r="E5292">
        <v>15</v>
      </c>
      <c r="F5292">
        <v>6769.71</v>
      </c>
      <c r="G5292">
        <v>3042.85</v>
      </c>
      <c r="H5292" t="str">
        <f>VLOOKUP(myynnit[[#This Row],[TuoteID]],ohjaus!$A$4:$B$20,2,FALSE)</f>
        <v>Pianotuoli</v>
      </c>
    </row>
    <row r="5293" spans="1:8" x14ac:dyDescent="0.35">
      <c r="A5293" t="s">
        <v>38</v>
      </c>
      <c r="B5293">
        <v>2018</v>
      </c>
      <c r="C5293">
        <v>6</v>
      </c>
      <c r="D5293">
        <v>16024</v>
      </c>
      <c r="E5293">
        <v>207</v>
      </c>
      <c r="F5293">
        <v>79744.17</v>
      </c>
      <c r="G5293">
        <v>20596.28</v>
      </c>
      <c r="H5293" t="str">
        <f>VLOOKUP(myynnit[[#This Row],[TuoteID]],ohjaus!$A$4:$B$20,2,FALSE)</f>
        <v>Työtuoli</v>
      </c>
    </row>
    <row r="5294" spans="1:8" x14ac:dyDescent="0.35">
      <c r="A5294" t="s">
        <v>38</v>
      </c>
      <c r="B5294">
        <v>2018</v>
      </c>
      <c r="C5294">
        <v>6</v>
      </c>
      <c r="D5294">
        <v>16650</v>
      </c>
      <c r="E5294">
        <v>60</v>
      </c>
      <c r="F5294">
        <v>8364.16</v>
      </c>
      <c r="G5294">
        <v>5252.25</v>
      </c>
      <c r="H5294" t="str">
        <f>VLOOKUP(myynnit[[#This Row],[TuoteID]],ohjaus!$A$4:$B$20,2,FALSE)</f>
        <v>Rahi</v>
      </c>
    </row>
    <row r="5295" spans="1:8" x14ac:dyDescent="0.35">
      <c r="A5295" t="s">
        <v>38</v>
      </c>
      <c r="B5295">
        <v>2018</v>
      </c>
      <c r="C5295">
        <v>6</v>
      </c>
      <c r="D5295">
        <v>17892</v>
      </c>
      <c r="E5295">
        <v>80</v>
      </c>
      <c r="F5295">
        <v>12374.19</v>
      </c>
      <c r="G5295">
        <v>3511.73</v>
      </c>
      <c r="H5295" t="str">
        <f>VLOOKUP(myynnit[[#This Row],[TuoteID]],ohjaus!$A$4:$B$20,2,FALSE)</f>
        <v>Lepotuoli</v>
      </c>
    </row>
    <row r="5296" spans="1:8" x14ac:dyDescent="0.35">
      <c r="A5296" t="s">
        <v>38</v>
      </c>
      <c r="B5296">
        <v>2018</v>
      </c>
      <c r="C5296">
        <v>6</v>
      </c>
      <c r="D5296">
        <v>18342</v>
      </c>
      <c r="E5296">
        <v>209</v>
      </c>
      <c r="F5296">
        <v>180045.27</v>
      </c>
      <c r="G5296">
        <v>40204.730000000003</v>
      </c>
      <c r="H5296" t="str">
        <f>VLOOKUP(myynnit[[#This Row],[TuoteID]],ohjaus!$A$4:$B$20,2,FALSE)</f>
        <v>Työtuoli</v>
      </c>
    </row>
    <row r="5297" spans="1:8" x14ac:dyDescent="0.35">
      <c r="A5297" t="s">
        <v>38</v>
      </c>
      <c r="B5297">
        <v>2018</v>
      </c>
      <c r="C5297">
        <v>6</v>
      </c>
      <c r="D5297">
        <v>20177</v>
      </c>
      <c r="E5297">
        <v>106</v>
      </c>
      <c r="F5297">
        <v>11487</v>
      </c>
      <c r="G5297">
        <v>4119.33</v>
      </c>
      <c r="H5297" t="str">
        <f>VLOOKUP(myynnit[[#This Row],[TuoteID]],ohjaus!$A$4:$B$20,2,FALSE)</f>
        <v>Säkkituoli</v>
      </c>
    </row>
    <row r="5298" spans="1:8" x14ac:dyDescent="0.35">
      <c r="A5298" t="s">
        <v>38</v>
      </c>
      <c r="B5298">
        <v>2018</v>
      </c>
      <c r="C5298">
        <v>6</v>
      </c>
      <c r="D5298">
        <v>21179</v>
      </c>
      <c r="E5298">
        <v>25</v>
      </c>
      <c r="F5298">
        <v>3272.67</v>
      </c>
      <c r="G5298">
        <v>2089.19</v>
      </c>
      <c r="H5298" t="str">
        <f>VLOOKUP(myynnit[[#This Row],[TuoteID]],ohjaus!$A$4:$B$20,2,FALSE)</f>
        <v>Rahi</v>
      </c>
    </row>
    <row r="5299" spans="1:8" x14ac:dyDescent="0.35">
      <c r="A5299" t="s">
        <v>38</v>
      </c>
      <c r="B5299">
        <v>2018</v>
      </c>
      <c r="C5299">
        <v>6</v>
      </c>
      <c r="D5299">
        <v>21260</v>
      </c>
      <c r="E5299">
        <v>45</v>
      </c>
      <c r="F5299">
        <v>8247.51</v>
      </c>
      <c r="G5299">
        <v>2364.9699999999998</v>
      </c>
      <c r="H5299" t="str">
        <f>VLOOKUP(myynnit[[#This Row],[TuoteID]],ohjaus!$A$4:$B$20,2,FALSE)</f>
        <v>Lepotuoli</v>
      </c>
    </row>
    <row r="5300" spans="1:8" x14ac:dyDescent="0.35">
      <c r="A5300" t="s">
        <v>38</v>
      </c>
      <c r="B5300">
        <v>2018</v>
      </c>
      <c r="C5300">
        <v>6</v>
      </c>
      <c r="D5300">
        <v>22317</v>
      </c>
      <c r="E5300">
        <v>48</v>
      </c>
      <c r="F5300">
        <v>4328.4799999999996</v>
      </c>
      <c r="G5300">
        <v>1880.32</v>
      </c>
      <c r="H5300" t="str">
        <f>VLOOKUP(myynnit[[#This Row],[TuoteID]],ohjaus!$A$4:$B$20,2,FALSE)</f>
        <v>Säkkituoli</v>
      </c>
    </row>
    <row r="5301" spans="1:8" x14ac:dyDescent="0.35">
      <c r="A5301" t="s">
        <v>38</v>
      </c>
      <c r="B5301">
        <v>2018</v>
      </c>
      <c r="C5301">
        <v>6</v>
      </c>
      <c r="D5301">
        <v>22940</v>
      </c>
      <c r="E5301">
        <v>620</v>
      </c>
      <c r="F5301">
        <v>81333.990000000005</v>
      </c>
      <c r="G5301">
        <v>17879.95</v>
      </c>
      <c r="H5301" t="str">
        <f>VLOOKUP(myynnit[[#This Row],[TuoteID]],ohjaus!$A$4:$B$20,2,FALSE)</f>
        <v>Pinnatuoli</v>
      </c>
    </row>
    <row r="5302" spans="1:8" x14ac:dyDescent="0.35">
      <c r="A5302" t="s">
        <v>38</v>
      </c>
      <c r="B5302">
        <v>2018</v>
      </c>
      <c r="C5302">
        <v>6</v>
      </c>
      <c r="D5302">
        <v>23178</v>
      </c>
      <c r="E5302">
        <v>288</v>
      </c>
      <c r="F5302">
        <v>47191.85</v>
      </c>
      <c r="G5302">
        <v>11009.18</v>
      </c>
      <c r="H5302" t="str">
        <f>VLOOKUP(myynnit[[#This Row],[TuoteID]],ohjaus!$A$4:$B$20,2,FALSE)</f>
        <v>Pinnatuoli</v>
      </c>
    </row>
    <row r="5303" spans="1:8" x14ac:dyDescent="0.35">
      <c r="A5303" t="s">
        <v>38</v>
      </c>
      <c r="B5303">
        <v>2018</v>
      </c>
      <c r="C5303">
        <v>6</v>
      </c>
      <c r="D5303">
        <v>23600</v>
      </c>
      <c r="E5303">
        <v>598</v>
      </c>
      <c r="F5303">
        <v>64527.67</v>
      </c>
      <c r="G5303">
        <v>13734.14</v>
      </c>
      <c r="H5303" t="str">
        <f>VLOOKUP(myynnit[[#This Row],[TuoteID]],ohjaus!$A$4:$B$20,2,FALSE)</f>
        <v>Pinnatuoli</v>
      </c>
    </row>
    <row r="5304" spans="1:8" x14ac:dyDescent="0.35">
      <c r="A5304" t="s">
        <v>38</v>
      </c>
      <c r="B5304">
        <v>2018</v>
      </c>
      <c r="C5304">
        <v>6</v>
      </c>
      <c r="D5304">
        <v>23756</v>
      </c>
      <c r="E5304">
        <v>117</v>
      </c>
      <c r="F5304">
        <v>20521.990000000002</v>
      </c>
      <c r="G5304">
        <v>9998.4500000000007</v>
      </c>
      <c r="H5304" t="str">
        <f>VLOOKUP(myynnit[[#This Row],[TuoteID]],ohjaus!$A$4:$B$20,2,FALSE)</f>
        <v>Pianotuoli</v>
      </c>
    </row>
    <row r="5305" spans="1:8" x14ac:dyDescent="0.35">
      <c r="A5305" t="s">
        <v>38</v>
      </c>
      <c r="B5305">
        <v>2018</v>
      </c>
      <c r="C5305">
        <v>6</v>
      </c>
      <c r="D5305">
        <v>24326</v>
      </c>
      <c r="E5305">
        <v>129</v>
      </c>
      <c r="F5305">
        <v>16853.98</v>
      </c>
      <c r="G5305">
        <v>4710.28</v>
      </c>
      <c r="H5305" t="str">
        <f>VLOOKUP(myynnit[[#This Row],[TuoteID]],ohjaus!$A$4:$B$20,2,FALSE)</f>
        <v>Lepotuoli</v>
      </c>
    </row>
    <row r="5306" spans="1:8" x14ac:dyDescent="0.35">
      <c r="A5306" t="s">
        <v>37</v>
      </c>
      <c r="B5306">
        <v>2018</v>
      </c>
      <c r="C5306">
        <v>7</v>
      </c>
      <c r="D5306">
        <v>12184</v>
      </c>
      <c r="E5306">
        <v>111</v>
      </c>
      <c r="F5306">
        <v>11029.22</v>
      </c>
      <c r="G5306">
        <v>5426.86</v>
      </c>
      <c r="H5306" t="str">
        <f>VLOOKUP(myynnit[[#This Row],[TuoteID]],ohjaus!$A$4:$B$20,2,FALSE)</f>
        <v>Rahi</v>
      </c>
    </row>
    <row r="5307" spans="1:8" x14ac:dyDescent="0.35">
      <c r="A5307" t="s">
        <v>37</v>
      </c>
      <c r="B5307">
        <v>2018</v>
      </c>
      <c r="C5307">
        <v>7</v>
      </c>
      <c r="D5307">
        <v>12622</v>
      </c>
      <c r="E5307">
        <v>61</v>
      </c>
      <c r="F5307">
        <v>18267.22</v>
      </c>
      <c r="G5307">
        <v>8039.43</v>
      </c>
      <c r="H5307" t="str">
        <f>VLOOKUP(myynnit[[#This Row],[TuoteID]],ohjaus!$A$4:$B$20,2,FALSE)</f>
        <v>Pianotuoli</v>
      </c>
    </row>
    <row r="5308" spans="1:8" x14ac:dyDescent="0.35">
      <c r="A5308" t="s">
        <v>37</v>
      </c>
      <c r="B5308">
        <v>2018</v>
      </c>
      <c r="C5308">
        <v>7</v>
      </c>
      <c r="D5308">
        <v>13527</v>
      </c>
      <c r="E5308">
        <v>305</v>
      </c>
      <c r="F5308">
        <v>45621.57</v>
      </c>
      <c r="G5308">
        <v>8026.29</v>
      </c>
      <c r="H5308" t="str">
        <f>VLOOKUP(myynnit[[#This Row],[TuoteID]],ohjaus!$A$4:$B$20,2,FALSE)</f>
        <v>Pinnatuoli</v>
      </c>
    </row>
    <row r="5309" spans="1:8" x14ac:dyDescent="0.35">
      <c r="A5309" t="s">
        <v>37</v>
      </c>
      <c r="B5309">
        <v>2018</v>
      </c>
      <c r="C5309">
        <v>7</v>
      </c>
      <c r="D5309">
        <v>13618</v>
      </c>
      <c r="E5309">
        <v>18</v>
      </c>
      <c r="F5309">
        <v>6606.07</v>
      </c>
      <c r="G5309">
        <v>2904.92</v>
      </c>
      <c r="H5309" t="str">
        <f>VLOOKUP(myynnit[[#This Row],[TuoteID]],ohjaus!$A$4:$B$20,2,FALSE)</f>
        <v>Pianotuoli</v>
      </c>
    </row>
    <row r="5310" spans="1:8" x14ac:dyDescent="0.35">
      <c r="A5310" t="s">
        <v>37</v>
      </c>
      <c r="B5310">
        <v>2018</v>
      </c>
      <c r="C5310">
        <v>7</v>
      </c>
      <c r="D5310">
        <v>16024</v>
      </c>
      <c r="E5310">
        <v>337</v>
      </c>
      <c r="F5310">
        <v>150680.68</v>
      </c>
      <c r="G5310">
        <v>46488.67</v>
      </c>
      <c r="H5310" t="str">
        <f>VLOOKUP(myynnit[[#This Row],[TuoteID]],ohjaus!$A$4:$B$20,2,FALSE)</f>
        <v>Työtuoli</v>
      </c>
    </row>
    <row r="5311" spans="1:8" x14ac:dyDescent="0.35">
      <c r="A5311" t="s">
        <v>37</v>
      </c>
      <c r="B5311">
        <v>2018</v>
      </c>
      <c r="C5311">
        <v>7</v>
      </c>
      <c r="D5311">
        <v>16650</v>
      </c>
      <c r="E5311">
        <v>48</v>
      </c>
      <c r="F5311">
        <v>7464.71</v>
      </c>
      <c r="G5311">
        <v>3706.32</v>
      </c>
      <c r="H5311" t="str">
        <f>VLOOKUP(myynnit[[#This Row],[TuoteID]],ohjaus!$A$4:$B$20,2,FALSE)</f>
        <v>Rahi</v>
      </c>
    </row>
    <row r="5312" spans="1:8" x14ac:dyDescent="0.35">
      <c r="A5312" t="s">
        <v>37</v>
      </c>
      <c r="B5312">
        <v>2018</v>
      </c>
      <c r="C5312">
        <v>7</v>
      </c>
      <c r="D5312">
        <v>17892</v>
      </c>
      <c r="E5312">
        <v>166</v>
      </c>
      <c r="F5312">
        <v>20895.080000000002</v>
      </c>
      <c r="G5312">
        <v>5189.87</v>
      </c>
      <c r="H5312" t="str">
        <f>VLOOKUP(myynnit[[#This Row],[TuoteID]],ohjaus!$A$4:$B$20,2,FALSE)</f>
        <v>Lepotuoli</v>
      </c>
    </row>
    <row r="5313" spans="1:8" x14ac:dyDescent="0.35">
      <c r="A5313" t="s">
        <v>37</v>
      </c>
      <c r="B5313">
        <v>2018</v>
      </c>
      <c r="C5313">
        <v>7</v>
      </c>
      <c r="D5313">
        <v>18342</v>
      </c>
      <c r="E5313">
        <v>263</v>
      </c>
      <c r="F5313">
        <v>221381.48</v>
      </c>
      <c r="G5313">
        <v>70188.509999999995</v>
      </c>
      <c r="H5313" t="str">
        <f>VLOOKUP(myynnit[[#This Row],[TuoteID]],ohjaus!$A$4:$B$20,2,FALSE)</f>
        <v>Työtuoli</v>
      </c>
    </row>
    <row r="5314" spans="1:8" x14ac:dyDescent="0.35">
      <c r="A5314" t="s">
        <v>37</v>
      </c>
      <c r="B5314">
        <v>2018</v>
      </c>
      <c r="C5314">
        <v>7</v>
      </c>
      <c r="D5314">
        <v>20177</v>
      </c>
      <c r="E5314">
        <v>91</v>
      </c>
      <c r="F5314">
        <v>8478.5300000000007</v>
      </c>
      <c r="G5314">
        <v>3569.1</v>
      </c>
      <c r="H5314" t="str">
        <f>VLOOKUP(myynnit[[#This Row],[TuoteID]],ohjaus!$A$4:$B$20,2,FALSE)</f>
        <v>Säkkituoli</v>
      </c>
    </row>
    <row r="5315" spans="1:8" x14ac:dyDescent="0.35">
      <c r="A5315" t="s">
        <v>37</v>
      </c>
      <c r="B5315">
        <v>2018</v>
      </c>
      <c r="C5315">
        <v>7</v>
      </c>
      <c r="D5315">
        <v>21179</v>
      </c>
      <c r="E5315">
        <v>56</v>
      </c>
      <c r="F5315">
        <v>7844.47</v>
      </c>
      <c r="G5315">
        <v>3340.58</v>
      </c>
      <c r="H5315" t="str">
        <f>VLOOKUP(myynnit[[#This Row],[TuoteID]],ohjaus!$A$4:$B$20,2,FALSE)</f>
        <v>Rahi</v>
      </c>
    </row>
    <row r="5316" spans="1:8" x14ac:dyDescent="0.35">
      <c r="A5316" t="s">
        <v>37</v>
      </c>
      <c r="B5316">
        <v>2018</v>
      </c>
      <c r="C5316">
        <v>7</v>
      </c>
      <c r="D5316">
        <v>21260</v>
      </c>
      <c r="E5316">
        <v>87</v>
      </c>
      <c r="F5316">
        <v>16447.88</v>
      </c>
      <c r="G5316">
        <v>5211.55</v>
      </c>
      <c r="H5316" t="str">
        <f>VLOOKUP(myynnit[[#This Row],[TuoteID]],ohjaus!$A$4:$B$20,2,FALSE)</f>
        <v>Lepotuoli</v>
      </c>
    </row>
    <row r="5317" spans="1:8" x14ac:dyDescent="0.35">
      <c r="A5317" t="s">
        <v>37</v>
      </c>
      <c r="B5317">
        <v>2018</v>
      </c>
      <c r="C5317">
        <v>7</v>
      </c>
      <c r="D5317">
        <v>22317</v>
      </c>
      <c r="E5317">
        <v>77</v>
      </c>
      <c r="F5317">
        <v>6919.47</v>
      </c>
      <c r="G5317">
        <v>2874.39</v>
      </c>
      <c r="H5317" t="str">
        <f>VLOOKUP(myynnit[[#This Row],[TuoteID]],ohjaus!$A$4:$B$20,2,FALSE)</f>
        <v>Säkkituoli</v>
      </c>
    </row>
    <row r="5318" spans="1:8" x14ac:dyDescent="0.35">
      <c r="A5318" t="s">
        <v>37</v>
      </c>
      <c r="B5318">
        <v>2018</v>
      </c>
      <c r="C5318">
        <v>7</v>
      </c>
      <c r="D5318">
        <v>22940</v>
      </c>
      <c r="E5318">
        <v>859</v>
      </c>
      <c r="F5318">
        <v>112502.16</v>
      </c>
      <c r="G5318">
        <v>20913.84</v>
      </c>
      <c r="H5318" t="str">
        <f>VLOOKUP(myynnit[[#This Row],[TuoteID]],ohjaus!$A$4:$B$20,2,FALSE)</f>
        <v>Pinnatuoli</v>
      </c>
    </row>
    <row r="5319" spans="1:8" x14ac:dyDescent="0.35">
      <c r="A5319" t="s">
        <v>37</v>
      </c>
      <c r="B5319">
        <v>2018</v>
      </c>
      <c r="C5319">
        <v>7</v>
      </c>
      <c r="D5319">
        <v>23178</v>
      </c>
      <c r="E5319">
        <v>384</v>
      </c>
      <c r="F5319">
        <v>61631.78</v>
      </c>
      <c r="G5319">
        <v>12215.52</v>
      </c>
      <c r="H5319" t="str">
        <f>VLOOKUP(myynnit[[#This Row],[TuoteID]],ohjaus!$A$4:$B$20,2,FALSE)</f>
        <v>Pinnatuoli</v>
      </c>
    </row>
    <row r="5320" spans="1:8" x14ac:dyDescent="0.35">
      <c r="A5320" t="s">
        <v>37</v>
      </c>
      <c r="B5320">
        <v>2018</v>
      </c>
      <c r="C5320">
        <v>7</v>
      </c>
      <c r="D5320">
        <v>23600</v>
      </c>
      <c r="E5320">
        <v>1409</v>
      </c>
      <c r="F5320">
        <v>170318.32</v>
      </c>
      <c r="G5320">
        <v>44720.13</v>
      </c>
      <c r="H5320" t="str">
        <f>VLOOKUP(myynnit[[#This Row],[TuoteID]],ohjaus!$A$4:$B$20,2,FALSE)</f>
        <v>Pinnatuoli</v>
      </c>
    </row>
    <row r="5321" spans="1:8" x14ac:dyDescent="0.35">
      <c r="A5321" t="s">
        <v>37</v>
      </c>
      <c r="B5321">
        <v>2018</v>
      </c>
      <c r="C5321">
        <v>7</v>
      </c>
      <c r="D5321">
        <v>23756</v>
      </c>
      <c r="E5321">
        <v>106</v>
      </c>
      <c r="F5321">
        <v>20441.57</v>
      </c>
      <c r="G5321">
        <v>8918.2900000000009</v>
      </c>
      <c r="H5321" t="str">
        <f>VLOOKUP(myynnit[[#This Row],[TuoteID]],ohjaus!$A$4:$B$20,2,FALSE)</f>
        <v>Pianotuoli</v>
      </c>
    </row>
    <row r="5322" spans="1:8" x14ac:dyDescent="0.35">
      <c r="A5322" t="s">
        <v>37</v>
      </c>
      <c r="B5322">
        <v>2018</v>
      </c>
      <c r="C5322">
        <v>7</v>
      </c>
      <c r="D5322">
        <v>24326</v>
      </c>
      <c r="E5322">
        <v>147</v>
      </c>
      <c r="F5322">
        <v>21813.86</v>
      </c>
      <c r="G5322">
        <v>6876.32</v>
      </c>
      <c r="H5322" t="str">
        <f>VLOOKUP(myynnit[[#This Row],[TuoteID]],ohjaus!$A$4:$B$20,2,FALSE)</f>
        <v>Lepotuoli</v>
      </c>
    </row>
    <row r="5323" spans="1:8" x14ac:dyDescent="0.35">
      <c r="A5323" t="s">
        <v>40</v>
      </c>
      <c r="B5323">
        <v>2018</v>
      </c>
      <c r="C5323">
        <v>7</v>
      </c>
      <c r="D5323">
        <v>12184</v>
      </c>
      <c r="E5323">
        <v>25</v>
      </c>
      <c r="F5323">
        <v>2794.8</v>
      </c>
      <c r="G5323">
        <v>1609.38</v>
      </c>
      <c r="H5323" t="str">
        <f>VLOOKUP(myynnit[[#This Row],[TuoteID]],ohjaus!$A$4:$B$20,2,FALSE)</f>
        <v>Rahi</v>
      </c>
    </row>
    <row r="5324" spans="1:8" x14ac:dyDescent="0.35">
      <c r="A5324" t="s">
        <v>40</v>
      </c>
      <c r="B5324">
        <v>2018</v>
      </c>
      <c r="C5324">
        <v>7</v>
      </c>
      <c r="D5324">
        <v>12622</v>
      </c>
      <c r="E5324">
        <v>15</v>
      </c>
      <c r="F5324">
        <v>3585.3</v>
      </c>
      <c r="G5324">
        <v>1377.22</v>
      </c>
      <c r="H5324" t="str">
        <f>VLOOKUP(myynnit[[#This Row],[TuoteID]],ohjaus!$A$4:$B$20,2,FALSE)</f>
        <v>Pianotuoli</v>
      </c>
    </row>
    <row r="5325" spans="1:8" x14ac:dyDescent="0.35">
      <c r="A5325" t="s">
        <v>40</v>
      </c>
      <c r="B5325">
        <v>2018</v>
      </c>
      <c r="C5325">
        <v>7</v>
      </c>
      <c r="D5325">
        <v>13527</v>
      </c>
      <c r="E5325">
        <v>242</v>
      </c>
      <c r="F5325">
        <v>35523.760000000002</v>
      </c>
      <c r="G5325">
        <v>7137.76</v>
      </c>
      <c r="H5325" t="str">
        <f>VLOOKUP(myynnit[[#This Row],[TuoteID]],ohjaus!$A$4:$B$20,2,FALSE)</f>
        <v>Pinnatuoli</v>
      </c>
    </row>
    <row r="5326" spans="1:8" x14ac:dyDescent="0.35">
      <c r="A5326" t="s">
        <v>40</v>
      </c>
      <c r="B5326">
        <v>2018</v>
      </c>
      <c r="C5326">
        <v>7</v>
      </c>
      <c r="D5326">
        <v>13618</v>
      </c>
      <c r="E5326">
        <v>4</v>
      </c>
      <c r="F5326">
        <v>1292.79</v>
      </c>
      <c r="G5326">
        <v>496.22</v>
      </c>
      <c r="H5326" t="str">
        <f>VLOOKUP(myynnit[[#This Row],[TuoteID]],ohjaus!$A$4:$B$20,2,FALSE)</f>
        <v>Pianotuoli</v>
      </c>
    </row>
    <row r="5327" spans="1:8" x14ac:dyDescent="0.35">
      <c r="A5327" t="s">
        <v>40</v>
      </c>
      <c r="B5327">
        <v>2018</v>
      </c>
      <c r="C5327">
        <v>7</v>
      </c>
      <c r="D5327">
        <v>16024</v>
      </c>
      <c r="E5327">
        <v>116</v>
      </c>
      <c r="F5327">
        <v>51867.95</v>
      </c>
      <c r="G5327">
        <v>14738</v>
      </c>
      <c r="H5327" t="str">
        <f>VLOOKUP(myynnit[[#This Row],[TuoteID]],ohjaus!$A$4:$B$20,2,FALSE)</f>
        <v>Työtuoli</v>
      </c>
    </row>
    <row r="5328" spans="1:8" x14ac:dyDescent="0.35">
      <c r="A5328" t="s">
        <v>40</v>
      </c>
      <c r="B5328">
        <v>2018</v>
      </c>
      <c r="C5328">
        <v>7</v>
      </c>
      <c r="D5328">
        <v>16650</v>
      </c>
      <c r="E5328">
        <v>22</v>
      </c>
      <c r="F5328">
        <v>4036.77</v>
      </c>
      <c r="G5328">
        <v>2241.58</v>
      </c>
      <c r="H5328" t="str">
        <f>VLOOKUP(myynnit[[#This Row],[TuoteID]],ohjaus!$A$4:$B$20,2,FALSE)</f>
        <v>Rahi</v>
      </c>
    </row>
    <row r="5329" spans="1:8" x14ac:dyDescent="0.35">
      <c r="A5329" t="s">
        <v>40</v>
      </c>
      <c r="B5329">
        <v>2018</v>
      </c>
      <c r="C5329">
        <v>7</v>
      </c>
      <c r="D5329">
        <v>17892</v>
      </c>
      <c r="E5329">
        <v>52</v>
      </c>
      <c r="F5329">
        <v>7148.82</v>
      </c>
      <c r="G5329">
        <v>1965.85</v>
      </c>
      <c r="H5329" t="str">
        <f>VLOOKUP(myynnit[[#This Row],[TuoteID]],ohjaus!$A$4:$B$20,2,FALSE)</f>
        <v>Lepotuoli</v>
      </c>
    </row>
    <row r="5330" spans="1:8" x14ac:dyDescent="0.35">
      <c r="A5330" t="s">
        <v>40</v>
      </c>
      <c r="B5330">
        <v>2018</v>
      </c>
      <c r="C5330">
        <v>7</v>
      </c>
      <c r="D5330">
        <v>18342</v>
      </c>
      <c r="E5330">
        <v>26</v>
      </c>
      <c r="F5330">
        <v>20159.669999999998</v>
      </c>
      <c r="G5330">
        <v>5245.24</v>
      </c>
      <c r="H5330" t="str">
        <f>VLOOKUP(myynnit[[#This Row],[TuoteID]],ohjaus!$A$4:$B$20,2,FALSE)</f>
        <v>Työtuoli</v>
      </c>
    </row>
    <row r="5331" spans="1:8" x14ac:dyDescent="0.35">
      <c r="A5331" t="s">
        <v>40</v>
      </c>
      <c r="B5331">
        <v>2018</v>
      </c>
      <c r="C5331">
        <v>7</v>
      </c>
      <c r="D5331">
        <v>20177</v>
      </c>
      <c r="E5331">
        <v>31</v>
      </c>
      <c r="F5331">
        <v>3316.14</v>
      </c>
      <c r="G5331">
        <v>1155.9000000000001</v>
      </c>
      <c r="H5331" t="str">
        <f>VLOOKUP(myynnit[[#This Row],[TuoteID]],ohjaus!$A$4:$B$20,2,FALSE)</f>
        <v>Säkkituoli</v>
      </c>
    </row>
    <row r="5332" spans="1:8" x14ac:dyDescent="0.35">
      <c r="A5332" t="s">
        <v>40</v>
      </c>
      <c r="B5332">
        <v>2018</v>
      </c>
      <c r="C5332">
        <v>7</v>
      </c>
      <c r="D5332">
        <v>21179</v>
      </c>
      <c r="E5332">
        <v>22</v>
      </c>
      <c r="F5332">
        <v>3214.45</v>
      </c>
      <c r="G5332">
        <v>1879.42</v>
      </c>
      <c r="H5332" t="str">
        <f>VLOOKUP(myynnit[[#This Row],[TuoteID]],ohjaus!$A$4:$B$20,2,FALSE)</f>
        <v>Rahi</v>
      </c>
    </row>
    <row r="5333" spans="1:8" x14ac:dyDescent="0.35">
      <c r="A5333" t="s">
        <v>40</v>
      </c>
      <c r="B5333">
        <v>2018</v>
      </c>
      <c r="C5333">
        <v>7</v>
      </c>
      <c r="D5333">
        <v>21260</v>
      </c>
      <c r="E5333">
        <v>30</v>
      </c>
      <c r="F5333">
        <v>5529.64</v>
      </c>
      <c r="G5333">
        <v>1368.34</v>
      </c>
      <c r="H5333" t="str">
        <f>VLOOKUP(myynnit[[#This Row],[TuoteID]],ohjaus!$A$4:$B$20,2,FALSE)</f>
        <v>Lepotuoli</v>
      </c>
    </row>
    <row r="5334" spans="1:8" x14ac:dyDescent="0.35">
      <c r="A5334" t="s">
        <v>40</v>
      </c>
      <c r="B5334">
        <v>2018</v>
      </c>
      <c r="C5334">
        <v>7</v>
      </c>
      <c r="D5334">
        <v>22317</v>
      </c>
      <c r="E5334">
        <v>10</v>
      </c>
      <c r="F5334">
        <v>1041.6099999999999</v>
      </c>
      <c r="G5334">
        <v>467.49</v>
      </c>
      <c r="H5334" t="str">
        <f>VLOOKUP(myynnit[[#This Row],[TuoteID]],ohjaus!$A$4:$B$20,2,FALSE)</f>
        <v>Säkkituoli</v>
      </c>
    </row>
    <row r="5335" spans="1:8" x14ac:dyDescent="0.35">
      <c r="A5335" t="s">
        <v>40</v>
      </c>
      <c r="B5335">
        <v>2018</v>
      </c>
      <c r="C5335">
        <v>7</v>
      </c>
      <c r="D5335">
        <v>22940</v>
      </c>
      <c r="E5335">
        <v>172</v>
      </c>
      <c r="F5335">
        <v>21249.59</v>
      </c>
      <c r="G5335">
        <v>6009.85</v>
      </c>
      <c r="H5335" t="str">
        <f>VLOOKUP(myynnit[[#This Row],[TuoteID]],ohjaus!$A$4:$B$20,2,FALSE)</f>
        <v>Pinnatuoli</v>
      </c>
    </row>
    <row r="5336" spans="1:8" x14ac:dyDescent="0.35">
      <c r="A5336" t="s">
        <v>40</v>
      </c>
      <c r="B5336">
        <v>2018</v>
      </c>
      <c r="C5336">
        <v>7</v>
      </c>
      <c r="D5336">
        <v>23178</v>
      </c>
      <c r="E5336">
        <v>230</v>
      </c>
      <c r="F5336">
        <v>40961.980000000003</v>
      </c>
      <c r="G5336">
        <v>10912.53</v>
      </c>
      <c r="H5336" t="str">
        <f>VLOOKUP(myynnit[[#This Row],[TuoteID]],ohjaus!$A$4:$B$20,2,FALSE)</f>
        <v>Pinnatuoli</v>
      </c>
    </row>
    <row r="5337" spans="1:8" x14ac:dyDescent="0.35">
      <c r="A5337" t="s">
        <v>40</v>
      </c>
      <c r="B5337">
        <v>2018</v>
      </c>
      <c r="C5337">
        <v>7</v>
      </c>
      <c r="D5337">
        <v>23600</v>
      </c>
      <c r="E5337">
        <v>777</v>
      </c>
      <c r="F5337">
        <v>90827.06</v>
      </c>
      <c r="G5337">
        <v>24503.94</v>
      </c>
      <c r="H5337" t="str">
        <f>VLOOKUP(myynnit[[#This Row],[TuoteID]],ohjaus!$A$4:$B$20,2,FALSE)</f>
        <v>Pinnatuoli</v>
      </c>
    </row>
    <row r="5338" spans="1:8" x14ac:dyDescent="0.35">
      <c r="A5338" t="s">
        <v>40</v>
      </c>
      <c r="B5338">
        <v>2018</v>
      </c>
      <c r="C5338">
        <v>7</v>
      </c>
      <c r="D5338">
        <v>23756</v>
      </c>
      <c r="E5338">
        <v>58</v>
      </c>
      <c r="F5338">
        <v>9099.26</v>
      </c>
      <c r="G5338">
        <v>3852.45</v>
      </c>
      <c r="H5338" t="str">
        <f>VLOOKUP(myynnit[[#This Row],[TuoteID]],ohjaus!$A$4:$B$20,2,FALSE)</f>
        <v>Pianotuoli</v>
      </c>
    </row>
    <row r="5339" spans="1:8" x14ac:dyDescent="0.35">
      <c r="A5339" t="s">
        <v>40</v>
      </c>
      <c r="B5339">
        <v>2018</v>
      </c>
      <c r="C5339">
        <v>7</v>
      </c>
      <c r="D5339">
        <v>24326</v>
      </c>
      <c r="E5339">
        <v>27</v>
      </c>
      <c r="F5339">
        <v>3498.89</v>
      </c>
      <c r="G5339">
        <v>940.55</v>
      </c>
      <c r="H5339" t="str">
        <f>VLOOKUP(myynnit[[#This Row],[TuoteID]],ohjaus!$A$4:$B$20,2,FALSE)</f>
        <v>Lepotuoli</v>
      </c>
    </row>
    <row r="5340" spans="1:8" x14ac:dyDescent="0.35">
      <c r="A5340" t="s">
        <v>39</v>
      </c>
      <c r="B5340">
        <v>2018</v>
      </c>
      <c r="C5340">
        <v>7</v>
      </c>
      <c r="D5340">
        <v>12184</v>
      </c>
      <c r="E5340">
        <v>97</v>
      </c>
      <c r="F5340">
        <v>11119.23</v>
      </c>
      <c r="G5340">
        <v>8130.14</v>
      </c>
      <c r="H5340" t="str">
        <f>VLOOKUP(myynnit[[#This Row],[TuoteID]],ohjaus!$A$4:$B$20,2,FALSE)</f>
        <v>Rahi</v>
      </c>
    </row>
    <row r="5341" spans="1:8" x14ac:dyDescent="0.35">
      <c r="A5341" t="s">
        <v>39</v>
      </c>
      <c r="B5341">
        <v>2018</v>
      </c>
      <c r="C5341">
        <v>7</v>
      </c>
      <c r="D5341">
        <v>12622</v>
      </c>
      <c r="E5341">
        <v>30</v>
      </c>
      <c r="F5341">
        <v>9652.74</v>
      </c>
      <c r="G5341">
        <v>6264.32</v>
      </c>
      <c r="H5341" t="str">
        <f>VLOOKUP(myynnit[[#This Row],[TuoteID]],ohjaus!$A$4:$B$20,2,FALSE)</f>
        <v>Pianotuoli</v>
      </c>
    </row>
    <row r="5342" spans="1:8" x14ac:dyDescent="0.35">
      <c r="A5342" t="s">
        <v>39</v>
      </c>
      <c r="B5342">
        <v>2018</v>
      </c>
      <c r="C5342">
        <v>7</v>
      </c>
      <c r="D5342">
        <v>13527</v>
      </c>
      <c r="E5342">
        <v>386</v>
      </c>
      <c r="F5342">
        <v>57723.09</v>
      </c>
      <c r="G5342">
        <v>13642.71</v>
      </c>
      <c r="H5342" t="str">
        <f>VLOOKUP(myynnit[[#This Row],[TuoteID]],ohjaus!$A$4:$B$20,2,FALSE)</f>
        <v>Pinnatuoli</v>
      </c>
    </row>
    <row r="5343" spans="1:8" x14ac:dyDescent="0.35">
      <c r="A5343" t="s">
        <v>39</v>
      </c>
      <c r="B5343">
        <v>2018</v>
      </c>
      <c r="C5343">
        <v>7</v>
      </c>
      <c r="D5343">
        <v>13618</v>
      </c>
      <c r="E5343">
        <v>13</v>
      </c>
      <c r="F5343">
        <v>4123.1499999999996</v>
      </c>
      <c r="G5343">
        <v>2343.3200000000002</v>
      </c>
      <c r="H5343" t="str">
        <f>VLOOKUP(myynnit[[#This Row],[TuoteID]],ohjaus!$A$4:$B$20,2,FALSE)</f>
        <v>Pianotuoli</v>
      </c>
    </row>
    <row r="5344" spans="1:8" x14ac:dyDescent="0.35">
      <c r="A5344" t="s">
        <v>39</v>
      </c>
      <c r="B5344">
        <v>2018</v>
      </c>
      <c r="C5344">
        <v>7</v>
      </c>
      <c r="D5344">
        <v>16024</v>
      </c>
      <c r="E5344">
        <v>160</v>
      </c>
      <c r="F5344">
        <v>71830.559999999998</v>
      </c>
      <c r="G5344">
        <v>23868.43</v>
      </c>
      <c r="H5344" t="str">
        <f>VLOOKUP(myynnit[[#This Row],[TuoteID]],ohjaus!$A$4:$B$20,2,FALSE)</f>
        <v>Työtuoli</v>
      </c>
    </row>
    <row r="5345" spans="1:8" x14ac:dyDescent="0.35">
      <c r="A5345" t="s">
        <v>39</v>
      </c>
      <c r="B5345">
        <v>2018</v>
      </c>
      <c r="C5345">
        <v>7</v>
      </c>
      <c r="D5345">
        <v>16650</v>
      </c>
      <c r="E5345">
        <v>42</v>
      </c>
      <c r="F5345">
        <v>6134.98</v>
      </c>
      <c r="G5345">
        <v>3949.72</v>
      </c>
      <c r="H5345" t="str">
        <f>VLOOKUP(myynnit[[#This Row],[TuoteID]],ohjaus!$A$4:$B$20,2,FALSE)</f>
        <v>Rahi</v>
      </c>
    </row>
    <row r="5346" spans="1:8" x14ac:dyDescent="0.35">
      <c r="A5346" t="s">
        <v>39</v>
      </c>
      <c r="B5346">
        <v>2018</v>
      </c>
      <c r="C5346">
        <v>7</v>
      </c>
      <c r="D5346">
        <v>17892</v>
      </c>
      <c r="E5346">
        <v>53</v>
      </c>
      <c r="F5346">
        <v>7162.74</v>
      </c>
      <c r="G5346">
        <v>1918.81</v>
      </c>
      <c r="H5346" t="str">
        <f>VLOOKUP(myynnit[[#This Row],[TuoteID]],ohjaus!$A$4:$B$20,2,FALSE)</f>
        <v>Lepotuoli</v>
      </c>
    </row>
    <row r="5347" spans="1:8" x14ac:dyDescent="0.35">
      <c r="A5347" t="s">
        <v>39</v>
      </c>
      <c r="B5347">
        <v>2018</v>
      </c>
      <c r="C5347">
        <v>7</v>
      </c>
      <c r="D5347">
        <v>18342</v>
      </c>
      <c r="E5347">
        <v>74</v>
      </c>
      <c r="F5347">
        <v>57642.31</v>
      </c>
      <c r="G5347">
        <v>17051.32</v>
      </c>
      <c r="H5347" t="str">
        <f>VLOOKUP(myynnit[[#This Row],[TuoteID]],ohjaus!$A$4:$B$20,2,FALSE)</f>
        <v>Työtuoli</v>
      </c>
    </row>
    <row r="5348" spans="1:8" x14ac:dyDescent="0.35">
      <c r="A5348" t="s">
        <v>39</v>
      </c>
      <c r="B5348">
        <v>2018</v>
      </c>
      <c r="C5348">
        <v>7</v>
      </c>
      <c r="D5348">
        <v>20177</v>
      </c>
      <c r="E5348">
        <v>85</v>
      </c>
      <c r="F5348">
        <v>9800.4500000000007</v>
      </c>
      <c r="G5348">
        <v>4447.37</v>
      </c>
      <c r="H5348" t="str">
        <f>VLOOKUP(myynnit[[#This Row],[TuoteID]],ohjaus!$A$4:$B$20,2,FALSE)</f>
        <v>Säkkituoli</v>
      </c>
    </row>
    <row r="5349" spans="1:8" x14ac:dyDescent="0.35">
      <c r="A5349" t="s">
        <v>39</v>
      </c>
      <c r="B5349">
        <v>2018</v>
      </c>
      <c r="C5349">
        <v>7</v>
      </c>
      <c r="D5349">
        <v>21179</v>
      </c>
      <c r="E5349">
        <v>71</v>
      </c>
      <c r="F5349">
        <v>8086.07</v>
      </c>
      <c r="G5349">
        <v>6230.22</v>
      </c>
      <c r="H5349" t="str">
        <f>VLOOKUP(myynnit[[#This Row],[TuoteID]],ohjaus!$A$4:$B$20,2,FALSE)</f>
        <v>Rahi</v>
      </c>
    </row>
    <row r="5350" spans="1:8" x14ac:dyDescent="0.35">
      <c r="A5350" t="s">
        <v>39</v>
      </c>
      <c r="B5350">
        <v>2018</v>
      </c>
      <c r="C5350">
        <v>7</v>
      </c>
      <c r="D5350">
        <v>21260</v>
      </c>
      <c r="E5350">
        <v>44</v>
      </c>
      <c r="F5350">
        <v>8798.3700000000008</v>
      </c>
      <c r="G5350">
        <v>2426.2399999999998</v>
      </c>
      <c r="H5350" t="str">
        <f>VLOOKUP(myynnit[[#This Row],[TuoteID]],ohjaus!$A$4:$B$20,2,FALSE)</f>
        <v>Lepotuoli</v>
      </c>
    </row>
    <row r="5351" spans="1:8" x14ac:dyDescent="0.35">
      <c r="A5351" t="s">
        <v>39</v>
      </c>
      <c r="B5351">
        <v>2018</v>
      </c>
      <c r="C5351">
        <v>7</v>
      </c>
      <c r="D5351">
        <v>22317</v>
      </c>
      <c r="E5351">
        <v>50</v>
      </c>
      <c r="F5351">
        <v>5270.29</v>
      </c>
      <c r="G5351">
        <v>2422.36</v>
      </c>
      <c r="H5351" t="str">
        <f>VLOOKUP(myynnit[[#This Row],[TuoteID]],ohjaus!$A$4:$B$20,2,FALSE)</f>
        <v>Säkkituoli</v>
      </c>
    </row>
    <row r="5352" spans="1:8" x14ac:dyDescent="0.35">
      <c r="A5352" t="s">
        <v>39</v>
      </c>
      <c r="B5352">
        <v>2018</v>
      </c>
      <c r="C5352">
        <v>7</v>
      </c>
      <c r="D5352">
        <v>22940</v>
      </c>
      <c r="E5352">
        <v>398</v>
      </c>
      <c r="F5352">
        <v>52466.85</v>
      </c>
      <c r="G5352">
        <v>11714.18</v>
      </c>
      <c r="H5352" t="str">
        <f>VLOOKUP(myynnit[[#This Row],[TuoteID]],ohjaus!$A$4:$B$20,2,FALSE)</f>
        <v>Pinnatuoli</v>
      </c>
    </row>
    <row r="5353" spans="1:8" x14ac:dyDescent="0.35">
      <c r="A5353" t="s">
        <v>39</v>
      </c>
      <c r="B5353">
        <v>2018</v>
      </c>
      <c r="C5353">
        <v>7</v>
      </c>
      <c r="D5353">
        <v>23178</v>
      </c>
      <c r="E5353">
        <v>209</v>
      </c>
      <c r="F5353">
        <v>41206.949999999997</v>
      </c>
      <c r="G5353">
        <v>8777.8700000000008</v>
      </c>
      <c r="H5353" t="str">
        <f>VLOOKUP(myynnit[[#This Row],[TuoteID]],ohjaus!$A$4:$B$20,2,FALSE)</f>
        <v>Pinnatuoli</v>
      </c>
    </row>
    <row r="5354" spans="1:8" x14ac:dyDescent="0.35">
      <c r="A5354" t="s">
        <v>39</v>
      </c>
      <c r="B5354">
        <v>2018</v>
      </c>
      <c r="C5354">
        <v>7</v>
      </c>
      <c r="D5354">
        <v>23600</v>
      </c>
      <c r="E5354">
        <v>437</v>
      </c>
      <c r="F5354">
        <v>49285.89</v>
      </c>
      <c r="G5354">
        <v>13149.97</v>
      </c>
      <c r="H5354" t="str">
        <f>VLOOKUP(myynnit[[#This Row],[TuoteID]],ohjaus!$A$4:$B$20,2,FALSE)</f>
        <v>Pinnatuoli</v>
      </c>
    </row>
    <row r="5355" spans="1:8" x14ac:dyDescent="0.35">
      <c r="A5355" t="s">
        <v>39</v>
      </c>
      <c r="B5355">
        <v>2018</v>
      </c>
      <c r="C5355">
        <v>7</v>
      </c>
      <c r="D5355">
        <v>23756</v>
      </c>
      <c r="E5355">
        <v>132</v>
      </c>
      <c r="F5355">
        <v>23006.92</v>
      </c>
      <c r="G5355">
        <v>11410.75</v>
      </c>
      <c r="H5355" t="str">
        <f>VLOOKUP(myynnit[[#This Row],[TuoteID]],ohjaus!$A$4:$B$20,2,FALSE)</f>
        <v>Pianotuoli</v>
      </c>
    </row>
    <row r="5356" spans="1:8" x14ac:dyDescent="0.35">
      <c r="A5356" t="s">
        <v>39</v>
      </c>
      <c r="B5356">
        <v>2018</v>
      </c>
      <c r="C5356">
        <v>7</v>
      </c>
      <c r="D5356">
        <v>24326</v>
      </c>
      <c r="E5356">
        <v>105</v>
      </c>
      <c r="F5356">
        <v>13283.88</v>
      </c>
      <c r="G5356">
        <v>4382</v>
      </c>
      <c r="H5356" t="str">
        <f>VLOOKUP(myynnit[[#This Row],[TuoteID]],ohjaus!$A$4:$B$20,2,FALSE)</f>
        <v>Lepotuoli</v>
      </c>
    </row>
    <row r="5357" spans="1:8" x14ac:dyDescent="0.35">
      <c r="A5357" t="s">
        <v>38</v>
      </c>
      <c r="B5357">
        <v>2018</v>
      </c>
      <c r="C5357">
        <v>7</v>
      </c>
      <c r="D5357">
        <v>12184</v>
      </c>
      <c r="E5357">
        <v>57</v>
      </c>
      <c r="F5357">
        <v>6559.89</v>
      </c>
      <c r="G5357">
        <v>3529.49</v>
      </c>
      <c r="H5357" t="str">
        <f>VLOOKUP(myynnit[[#This Row],[TuoteID]],ohjaus!$A$4:$B$20,2,FALSE)</f>
        <v>Rahi</v>
      </c>
    </row>
    <row r="5358" spans="1:8" x14ac:dyDescent="0.35">
      <c r="A5358" t="s">
        <v>38</v>
      </c>
      <c r="B5358">
        <v>2018</v>
      </c>
      <c r="C5358">
        <v>7</v>
      </c>
      <c r="D5358">
        <v>12622</v>
      </c>
      <c r="E5358">
        <v>28</v>
      </c>
      <c r="F5358">
        <v>7298.54</v>
      </c>
      <c r="G5358">
        <v>2990.89</v>
      </c>
      <c r="H5358" t="str">
        <f>VLOOKUP(myynnit[[#This Row],[TuoteID]],ohjaus!$A$4:$B$20,2,FALSE)</f>
        <v>Pianotuoli</v>
      </c>
    </row>
    <row r="5359" spans="1:8" x14ac:dyDescent="0.35">
      <c r="A5359" t="s">
        <v>38</v>
      </c>
      <c r="B5359">
        <v>2018</v>
      </c>
      <c r="C5359">
        <v>7</v>
      </c>
      <c r="D5359">
        <v>13527</v>
      </c>
      <c r="E5359">
        <v>528</v>
      </c>
      <c r="F5359">
        <v>91436.07</v>
      </c>
      <c r="G5359">
        <v>21283.27</v>
      </c>
      <c r="H5359" t="str">
        <f>VLOOKUP(myynnit[[#This Row],[TuoteID]],ohjaus!$A$4:$B$20,2,FALSE)</f>
        <v>Pinnatuoli</v>
      </c>
    </row>
    <row r="5360" spans="1:8" x14ac:dyDescent="0.35">
      <c r="A5360" t="s">
        <v>38</v>
      </c>
      <c r="B5360">
        <v>2018</v>
      </c>
      <c r="C5360">
        <v>7</v>
      </c>
      <c r="D5360">
        <v>13618</v>
      </c>
      <c r="E5360">
        <v>7</v>
      </c>
      <c r="F5360">
        <v>2456.3200000000002</v>
      </c>
      <c r="G5360">
        <v>1048.1199999999999</v>
      </c>
      <c r="H5360" t="str">
        <f>VLOOKUP(myynnit[[#This Row],[TuoteID]],ohjaus!$A$4:$B$20,2,FALSE)</f>
        <v>Pianotuoli</v>
      </c>
    </row>
    <row r="5361" spans="1:8" x14ac:dyDescent="0.35">
      <c r="A5361" t="s">
        <v>38</v>
      </c>
      <c r="B5361">
        <v>2018</v>
      </c>
      <c r="C5361">
        <v>7</v>
      </c>
      <c r="D5361">
        <v>16024</v>
      </c>
      <c r="E5361">
        <v>206</v>
      </c>
      <c r="F5361">
        <v>85376.71</v>
      </c>
      <c r="G5361">
        <v>23818.29</v>
      </c>
      <c r="H5361" t="str">
        <f>VLOOKUP(myynnit[[#This Row],[TuoteID]],ohjaus!$A$4:$B$20,2,FALSE)</f>
        <v>Työtuoli</v>
      </c>
    </row>
    <row r="5362" spans="1:8" x14ac:dyDescent="0.35">
      <c r="A5362" t="s">
        <v>38</v>
      </c>
      <c r="B5362">
        <v>2018</v>
      </c>
      <c r="C5362">
        <v>7</v>
      </c>
      <c r="D5362">
        <v>16650</v>
      </c>
      <c r="E5362">
        <v>37</v>
      </c>
      <c r="F5362">
        <v>6644.87</v>
      </c>
      <c r="G5362">
        <v>3767.54</v>
      </c>
      <c r="H5362" t="str">
        <f>VLOOKUP(myynnit[[#This Row],[TuoteID]],ohjaus!$A$4:$B$20,2,FALSE)</f>
        <v>Rahi</v>
      </c>
    </row>
    <row r="5363" spans="1:8" x14ac:dyDescent="0.35">
      <c r="A5363" t="s">
        <v>38</v>
      </c>
      <c r="B5363">
        <v>2018</v>
      </c>
      <c r="C5363">
        <v>7</v>
      </c>
      <c r="D5363">
        <v>17892</v>
      </c>
      <c r="E5363">
        <v>93</v>
      </c>
      <c r="F5363">
        <v>12593.15</v>
      </c>
      <c r="G5363">
        <v>2966.5</v>
      </c>
      <c r="H5363" t="str">
        <f>VLOOKUP(myynnit[[#This Row],[TuoteID]],ohjaus!$A$4:$B$20,2,FALSE)</f>
        <v>Lepotuoli</v>
      </c>
    </row>
    <row r="5364" spans="1:8" x14ac:dyDescent="0.35">
      <c r="A5364" t="s">
        <v>38</v>
      </c>
      <c r="B5364">
        <v>2018</v>
      </c>
      <c r="C5364">
        <v>7</v>
      </c>
      <c r="D5364">
        <v>18342</v>
      </c>
      <c r="E5364">
        <v>195</v>
      </c>
      <c r="F5364">
        <v>174603.51</v>
      </c>
      <c r="G5364">
        <v>43665.599999999999</v>
      </c>
      <c r="H5364" t="str">
        <f>VLOOKUP(myynnit[[#This Row],[TuoteID]],ohjaus!$A$4:$B$20,2,FALSE)</f>
        <v>Työtuoli</v>
      </c>
    </row>
    <row r="5365" spans="1:8" x14ac:dyDescent="0.35">
      <c r="A5365" t="s">
        <v>38</v>
      </c>
      <c r="B5365">
        <v>2018</v>
      </c>
      <c r="C5365">
        <v>7</v>
      </c>
      <c r="D5365">
        <v>20177</v>
      </c>
      <c r="E5365">
        <v>105</v>
      </c>
      <c r="F5365">
        <v>12054.17</v>
      </c>
      <c r="G5365">
        <v>4679.3900000000003</v>
      </c>
      <c r="H5365" t="str">
        <f>VLOOKUP(myynnit[[#This Row],[TuoteID]],ohjaus!$A$4:$B$20,2,FALSE)</f>
        <v>Säkkituoli</v>
      </c>
    </row>
    <row r="5366" spans="1:8" x14ac:dyDescent="0.35">
      <c r="A5366" t="s">
        <v>38</v>
      </c>
      <c r="B5366">
        <v>2018</v>
      </c>
      <c r="C5366">
        <v>7</v>
      </c>
      <c r="D5366">
        <v>21179</v>
      </c>
      <c r="E5366">
        <v>36</v>
      </c>
      <c r="F5366">
        <v>5321.12</v>
      </c>
      <c r="G5366">
        <v>3090.73</v>
      </c>
      <c r="H5366" t="str">
        <f>VLOOKUP(myynnit[[#This Row],[TuoteID]],ohjaus!$A$4:$B$20,2,FALSE)</f>
        <v>Rahi</v>
      </c>
    </row>
    <row r="5367" spans="1:8" x14ac:dyDescent="0.35">
      <c r="A5367" t="s">
        <v>38</v>
      </c>
      <c r="B5367">
        <v>2018</v>
      </c>
      <c r="C5367">
        <v>7</v>
      </c>
      <c r="D5367">
        <v>21260</v>
      </c>
      <c r="E5367">
        <v>55</v>
      </c>
      <c r="F5367">
        <v>9470.7000000000007</v>
      </c>
      <c r="G5367">
        <v>2059.35</v>
      </c>
      <c r="H5367" t="str">
        <f>VLOOKUP(myynnit[[#This Row],[TuoteID]],ohjaus!$A$4:$B$20,2,FALSE)</f>
        <v>Lepotuoli</v>
      </c>
    </row>
    <row r="5368" spans="1:8" x14ac:dyDescent="0.35">
      <c r="A5368" t="s">
        <v>38</v>
      </c>
      <c r="B5368">
        <v>2018</v>
      </c>
      <c r="C5368">
        <v>7</v>
      </c>
      <c r="D5368">
        <v>22317</v>
      </c>
      <c r="E5368">
        <v>71</v>
      </c>
      <c r="F5368">
        <v>6672.12</v>
      </c>
      <c r="G5368">
        <v>2812.02</v>
      </c>
      <c r="H5368" t="str">
        <f>VLOOKUP(myynnit[[#This Row],[TuoteID]],ohjaus!$A$4:$B$20,2,FALSE)</f>
        <v>Säkkituoli</v>
      </c>
    </row>
    <row r="5369" spans="1:8" x14ac:dyDescent="0.35">
      <c r="A5369" t="s">
        <v>38</v>
      </c>
      <c r="B5369">
        <v>2018</v>
      </c>
      <c r="C5369">
        <v>7</v>
      </c>
      <c r="D5369">
        <v>22940</v>
      </c>
      <c r="E5369">
        <v>598</v>
      </c>
      <c r="F5369">
        <v>81739.55</v>
      </c>
      <c r="G5369">
        <v>19544.78</v>
      </c>
      <c r="H5369" t="str">
        <f>VLOOKUP(myynnit[[#This Row],[TuoteID]],ohjaus!$A$4:$B$20,2,FALSE)</f>
        <v>Pinnatuoli</v>
      </c>
    </row>
    <row r="5370" spans="1:8" x14ac:dyDescent="0.35">
      <c r="A5370" t="s">
        <v>38</v>
      </c>
      <c r="B5370">
        <v>2018</v>
      </c>
      <c r="C5370">
        <v>7</v>
      </c>
      <c r="D5370">
        <v>23178</v>
      </c>
      <c r="E5370">
        <v>269</v>
      </c>
      <c r="F5370">
        <v>43442.32</v>
      </c>
      <c r="G5370">
        <v>9910.4599999999991</v>
      </c>
      <c r="H5370" t="str">
        <f>VLOOKUP(myynnit[[#This Row],[TuoteID]],ohjaus!$A$4:$B$20,2,FALSE)</f>
        <v>Pinnatuoli</v>
      </c>
    </row>
    <row r="5371" spans="1:8" x14ac:dyDescent="0.35">
      <c r="A5371" t="s">
        <v>38</v>
      </c>
      <c r="B5371">
        <v>2018</v>
      </c>
      <c r="C5371">
        <v>7</v>
      </c>
      <c r="D5371">
        <v>23600</v>
      </c>
      <c r="E5371">
        <v>1313</v>
      </c>
      <c r="F5371">
        <v>145175.85999999999</v>
      </c>
      <c r="G5371">
        <v>37669.78</v>
      </c>
      <c r="H5371" t="str">
        <f>VLOOKUP(myynnit[[#This Row],[TuoteID]],ohjaus!$A$4:$B$20,2,FALSE)</f>
        <v>Pinnatuoli</v>
      </c>
    </row>
    <row r="5372" spans="1:8" x14ac:dyDescent="0.35">
      <c r="A5372" t="s">
        <v>38</v>
      </c>
      <c r="B5372">
        <v>2018</v>
      </c>
      <c r="C5372">
        <v>7</v>
      </c>
      <c r="D5372">
        <v>23756</v>
      </c>
      <c r="E5372">
        <v>83</v>
      </c>
      <c r="F5372">
        <v>13059.85</v>
      </c>
      <c r="G5372">
        <v>5243.1</v>
      </c>
      <c r="H5372" t="str">
        <f>VLOOKUP(myynnit[[#This Row],[TuoteID]],ohjaus!$A$4:$B$20,2,FALSE)</f>
        <v>Pianotuoli</v>
      </c>
    </row>
    <row r="5373" spans="1:8" x14ac:dyDescent="0.35">
      <c r="A5373" t="s">
        <v>38</v>
      </c>
      <c r="B5373">
        <v>2018</v>
      </c>
      <c r="C5373">
        <v>7</v>
      </c>
      <c r="D5373">
        <v>24326</v>
      </c>
      <c r="E5373">
        <v>144</v>
      </c>
      <c r="F5373">
        <v>19012.580000000002</v>
      </c>
      <c r="G5373">
        <v>5549.56</v>
      </c>
      <c r="H5373" t="str">
        <f>VLOOKUP(myynnit[[#This Row],[TuoteID]],ohjaus!$A$4:$B$20,2,FALSE)</f>
        <v>Lepotuoli</v>
      </c>
    </row>
    <row r="5374" spans="1:8" x14ac:dyDescent="0.35">
      <c r="A5374" t="s">
        <v>37</v>
      </c>
      <c r="B5374">
        <v>2018</v>
      </c>
      <c r="C5374">
        <v>8</v>
      </c>
      <c r="D5374">
        <v>12184</v>
      </c>
      <c r="E5374">
        <v>86</v>
      </c>
      <c r="F5374">
        <v>9009.5499999999993</v>
      </c>
      <c r="G5374">
        <v>4089.68</v>
      </c>
      <c r="H5374" t="str">
        <f>VLOOKUP(myynnit[[#This Row],[TuoteID]],ohjaus!$A$4:$B$20,2,FALSE)</f>
        <v>Rahi</v>
      </c>
    </row>
    <row r="5375" spans="1:8" x14ac:dyDescent="0.35">
      <c r="A5375" t="s">
        <v>37</v>
      </c>
      <c r="B5375">
        <v>2018</v>
      </c>
      <c r="C5375">
        <v>8</v>
      </c>
      <c r="D5375">
        <v>12622</v>
      </c>
      <c r="E5375">
        <v>73</v>
      </c>
      <c r="F5375">
        <v>21984.54</v>
      </c>
      <c r="G5375">
        <v>11033.2</v>
      </c>
      <c r="H5375" t="str">
        <f>VLOOKUP(myynnit[[#This Row],[TuoteID]],ohjaus!$A$4:$B$20,2,FALSE)</f>
        <v>Pianotuoli</v>
      </c>
    </row>
    <row r="5376" spans="1:8" x14ac:dyDescent="0.35">
      <c r="A5376" t="s">
        <v>37</v>
      </c>
      <c r="B5376">
        <v>2018</v>
      </c>
      <c r="C5376">
        <v>8</v>
      </c>
      <c r="D5376">
        <v>13527</v>
      </c>
      <c r="E5376">
        <v>797</v>
      </c>
      <c r="F5376">
        <v>125267.62</v>
      </c>
      <c r="G5376">
        <v>20069.650000000001</v>
      </c>
      <c r="H5376" t="str">
        <f>VLOOKUP(myynnit[[#This Row],[TuoteID]],ohjaus!$A$4:$B$20,2,FALSE)</f>
        <v>Pinnatuoli</v>
      </c>
    </row>
    <row r="5377" spans="1:8" x14ac:dyDescent="0.35">
      <c r="A5377" t="s">
        <v>37</v>
      </c>
      <c r="B5377">
        <v>2018</v>
      </c>
      <c r="C5377">
        <v>8</v>
      </c>
      <c r="D5377">
        <v>13618</v>
      </c>
      <c r="E5377">
        <v>28</v>
      </c>
      <c r="F5377">
        <v>11139.57</v>
      </c>
      <c r="G5377">
        <v>5802.33</v>
      </c>
      <c r="H5377" t="str">
        <f>VLOOKUP(myynnit[[#This Row],[TuoteID]],ohjaus!$A$4:$B$20,2,FALSE)</f>
        <v>Pianotuoli</v>
      </c>
    </row>
    <row r="5378" spans="1:8" x14ac:dyDescent="0.35">
      <c r="A5378" t="s">
        <v>37</v>
      </c>
      <c r="B5378">
        <v>2018</v>
      </c>
      <c r="C5378">
        <v>8</v>
      </c>
      <c r="D5378">
        <v>16024</v>
      </c>
      <c r="E5378">
        <v>289</v>
      </c>
      <c r="F5378">
        <v>127303.14</v>
      </c>
      <c r="G5378">
        <v>35481.56</v>
      </c>
      <c r="H5378" t="str">
        <f>VLOOKUP(myynnit[[#This Row],[TuoteID]],ohjaus!$A$4:$B$20,2,FALSE)</f>
        <v>Työtuoli</v>
      </c>
    </row>
    <row r="5379" spans="1:8" x14ac:dyDescent="0.35">
      <c r="A5379" t="s">
        <v>37</v>
      </c>
      <c r="B5379">
        <v>2018</v>
      </c>
      <c r="C5379">
        <v>8</v>
      </c>
      <c r="D5379">
        <v>16650</v>
      </c>
      <c r="E5379">
        <v>32</v>
      </c>
      <c r="F5379">
        <v>4725.71</v>
      </c>
      <c r="G5379">
        <v>1978.56</v>
      </c>
      <c r="H5379" t="str">
        <f>VLOOKUP(myynnit[[#This Row],[TuoteID]],ohjaus!$A$4:$B$20,2,FALSE)</f>
        <v>Rahi</v>
      </c>
    </row>
    <row r="5380" spans="1:8" x14ac:dyDescent="0.35">
      <c r="A5380" t="s">
        <v>37</v>
      </c>
      <c r="B5380">
        <v>2018</v>
      </c>
      <c r="C5380">
        <v>8</v>
      </c>
      <c r="D5380">
        <v>17892</v>
      </c>
      <c r="E5380">
        <v>106</v>
      </c>
      <c r="F5380">
        <v>13566.48</v>
      </c>
      <c r="G5380">
        <v>4192.59</v>
      </c>
      <c r="H5380" t="str">
        <f>VLOOKUP(myynnit[[#This Row],[TuoteID]],ohjaus!$A$4:$B$20,2,FALSE)</f>
        <v>Lepotuoli</v>
      </c>
    </row>
    <row r="5381" spans="1:8" x14ac:dyDescent="0.35">
      <c r="A5381" t="s">
        <v>37</v>
      </c>
      <c r="B5381">
        <v>2018</v>
      </c>
      <c r="C5381">
        <v>8</v>
      </c>
      <c r="D5381">
        <v>18342</v>
      </c>
      <c r="E5381">
        <v>203</v>
      </c>
      <c r="F5381">
        <v>171028.54</v>
      </c>
      <c r="G5381">
        <v>45611.12</v>
      </c>
      <c r="H5381" t="str">
        <f>VLOOKUP(myynnit[[#This Row],[TuoteID]],ohjaus!$A$4:$B$20,2,FALSE)</f>
        <v>Työtuoli</v>
      </c>
    </row>
    <row r="5382" spans="1:8" x14ac:dyDescent="0.35">
      <c r="A5382" t="s">
        <v>37</v>
      </c>
      <c r="B5382">
        <v>2018</v>
      </c>
      <c r="C5382">
        <v>8</v>
      </c>
      <c r="D5382">
        <v>20177</v>
      </c>
      <c r="E5382">
        <v>72</v>
      </c>
      <c r="F5382">
        <v>7342.7</v>
      </c>
      <c r="G5382">
        <v>2669.55</v>
      </c>
      <c r="H5382" t="str">
        <f>VLOOKUP(myynnit[[#This Row],[TuoteID]],ohjaus!$A$4:$B$20,2,FALSE)</f>
        <v>Säkkituoli</v>
      </c>
    </row>
    <row r="5383" spans="1:8" x14ac:dyDescent="0.35">
      <c r="A5383" t="s">
        <v>37</v>
      </c>
      <c r="B5383">
        <v>2018</v>
      </c>
      <c r="C5383">
        <v>8</v>
      </c>
      <c r="D5383">
        <v>21179</v>
      </c>
      <c r="E5383">
        <v>63</v>
      </c>
      <c r="F5383">
        <v>7206.61</v>
      </c>
      <c r="G5383">
        <v>3541.49</v>
      </c>
      <c r="H5383" t="str">
        <f>VLOOKUP(myynnit[[#This Row],[TuoteID]],ohjaus!$A$4:$B$20,2,FALSE)</f>
        <v>Rahi</v>
      </c>
    </row>
    <row r="5384" spans="1:8" x14ac:dyDescent="0.35">
      <c r="A5384" t="s">
        <v>37</v>
      </c>
      <c r="B5384">
        <v>2018</v>
      </c>
      <c r="C5384">
        <v>8</v>
      </c>
      <c r="D5384">
        <v>21260</v>
      </c>
      <c r="E5384">
        <v>88</v>
      </c>
      <c r="F5384">
        <v>18473.689999999999</v>
      </c>
      <c r="G5384">
        <v>5833.85</v>
      </c>
      <c r="H5384" t="str">
        <f>VLOOKUP(myynnit[[#This Row],[TuoteID]],ohjaus!$A$4:$B$20,2,FALSE)</f>
        <v>Lepotuoli</v>
      </c>
    </row>
    <row r="5385" spans="1:8" x14ac:dyDescent="0.35">
      <c r="A5385" t="s">
        <v>37</v>
      </c>
      <c r="B5385">
        <v>2018</v>
      </c>
      <c r="C5385">
        <v>8</v>
      </c>
      <c r="D5385">
        <v>22317</v>
      </c>
      <c r="E5385">
        <v>56</v>
      </c>
      <c r="F5385">
        <v>4813.46</v>
      </c>
      <c r="G5385">
        <v>1940.05</v>
      </c>
      <c r="H5385" t="str">
        <f>VLOOKUP(myynnit[[#This Row],[TuoteID]],ohjaus!$A$4:$B$20,2,FALSE)</f>
        <v>Säkkituoli</v>
      </c>
    </row>
    <row r="5386" spans="1:8" x14ac:dyDescent="0.35">
      <c r="A5386" t="s">
        <v>37</v>
      </c>
      <c r="B5386">
        <v>2018</v>
      </c>
      <c r="C5386">
        <v>8</v>
      </c>
      <c r="D5386">
        <v>22940</v>
      </c>
      <c r="E5386">
        <v>874</v>
      </c>
      <c r="F5386">
        <v>119128.53</v>
      </c>
      <c r="G5386">
        <v>19882.240000000002</v>
      </c>
      <c r="H5386" t="str">
        <f>VLOOKUP(myynnit[[#This Row],[TuoteID]],ohjaus!$A$4:$B$20,2,FALSE)</f>
        <v>Pinnatuoli</v>
      </c>
    </row>
    <row r="5387" spans="1:8" x14ac:dyDescent="0.35">
      <c r="A5387" t="s">
        <v>37</v>
      </c>
      <c r="B5387">
        <v>2018</v>
      </c>
      <c r="C5387">
        <v>8</v>
      </c>
      <c r="D5387">
        <v>23178</v>
      </c>
      <c r="E5387">
        <v>204</v>
      </c>
      <c r="F5387">
        <v>36763.57</v>
      </c>
      <c r="G5387">
        <v>7076.59</v>
      </c>
      <c r="H5387" t="str">
        <f>VLOOKUP(myynnit[[#This Row],[TuoteID]],ohjaus!$A$4:$B$20,2,FALSE)</f>
        <v>Pinnatuoli</v>
      </c>
    </row>
    <row r="5388" spans="1:8" x14ac:dyDescent="0.35">
      <c r="A5388" t="s">
        <v>37</v>
      </c>
      <c r="B5388">
        <v>2018</v>
      </c>
      <c r="C5388">
        <v>8</v>
      </c>
      <c r="D5388">
        <v>23600</v>
      </c>
      <c r="E5388">
        <v>710</v>
      </c>
      <c r="F5388">
        <v>77091.25</v>
      </c>
      <c r="G5388">
        <v>18001.45</v>
      </c>
      <c r="H5388" t="str">
        <f>VLOOKUP(myynnit[[#This Row],[TuoteID]],ohjaus!$A$4:$B$20,2,FALSE)</f>
        <v>Pinnatuoli</v>
      </c>
    </row>
    <row r="5389" spans="1:8" x14ac:dyDescent="0.35">
      <c r="A5389" t="s">
        <v>37</v>
      </c>
      <c r="B5389">
        <v>2018</v>
      </c>
      <c r="C5389">
        <v>8</v>
      </c>
      <c r="D5389">
        <v>23756</v>
      </c>
      <c r="E5389">
        <v>110</v>
      </c>
      <c r="F5389">
        <v>23581.18</v>
      </c>
      <c r="G5389">
        <v>12012.85</v>
      </c>
      <c r="H5389" t="str">
        <f>VLOOKUP(myynnit[[#This Row],[TuoteID]],ohjaus!$A$4:$B$20,2,FALSE)</f>
        <v>Pianotuoli</v>
      </c>
    </row>
    <row r="5390" spans="1:8" x14ac:dyDescent="0.35">
      <c r="A5390" t="s">
        <v>37</v>
      </c>
      <c r="B5390">
        <v>2018</v>
      </c>
      <c r="C5390">
        <v>8</v>
      </c>
      <c r="D5390">
        <v>24326</v>
      </c>
      <c r="E5390">
        <v>210</v>
      </c>
      <c r="F5390">
        <v>27357.9</v>
      </c>
      <c r="G5390">
        <v>7327.85</v>
      </c>
      <c r="H5390" t="str">
        <f>VLOOKUP(myynnit[[#This Row],[TuoteID]],ohjaus!$A$4:$B$20,2,FALSE)</f>
        <v>Lepotuoli</v>
      </c>
    </row>
    <row r="5391" spans="1:8" x14ac:dyDescent="0.35">
      <c r="A5391" t="s">
        <v>40</v>
      </c>
      <c r="B5391">
        <v>2018</v>
      </c>
      <c r="C5391">
        <v>8</v>
      </c>
      <c r="D5391">
        <v>12184</v>
      </c>
      <c r="E5391">
        <v>35</v>
      </c>
      <c r="F5391">
        <v>4001.15</v>
      </c>
      <c r="G5391">
        <v>1796.2</v>
      </c>
      <c r="H5391" t="str">
        <f>VLOOKUP(myynnit[[#This Row],[TuoteID]],ohjaus!$A$4:$B$20,2,FALSE)</f>
        <v>Rahi</v>
      </c>
    </row>
    <row r="5392" spans="1:8" x14ac:dyDescent="0.35">
      <c r="A5392" t="s">
        <v>40</v>
      </c>
      <c r="B5392">
        <v>2018</v>
      </c>
      <c r="C5392">
        <v>8</v>
      </c>
      <c r="D5392">
        <v>12622</v>
      </c>
      <c r="E5392">
        <v>11</v>
      </c>
      <c r="F5392">
        <v>2809.85</v>
      </c>
      <c r="G5392">
        <v>994.43</v>
      </c>
      <c r="H5392" t="str">
        <f>VLOOKUP(myynnit[[#This Row],[TuoteID]],ohjaus!$A$4:$B$20,2,FALSE)</f>
        <v>Pianotuoli</v>
      </c>
    </row>
    <row r="5393" spans="1:8" x14ac:dyDescent="0.35">
      <c r="A5393" t="s">
        <v>40</v>
      </c>
      <c r="B5393">
        <v>2018</v>
      </c>
      <c r="C5393">
        <v>8</v>
      </c>
      <c r="D5393">
        <v>13527</v>
      </c>
      <c r="E5393">
        <v>131</v>
      </c>
      <c r="F5393">
        <v>20633.43</v>
      </c>
      <c r="G5393">
        <v>3305.89</v>
      </c>
      <c r="H5393" t="str">
        <f>VLOOKUP(myynnit[[#This Row],[TuoteID]],ohjaus!$A$4:$B$20,2,FALSE)</f>
        <v>Pinnatuoli</v>
      </c>
    </row>
    <row r="5394" spans="1:8" x14ac:dyDescent="0.35">
      <c r="A5394" t="s">
        <v>40</v>
      </c>
      <c r="B5394">
        <v>2018</v>
      </c>
      <c r="C5394">
        <v>8</v>
      </c>
      <c r="D5394">
        <v>13618</v>
      </c>
      <c r="E5394">
        <v>10</v>
      </c>
      <c r="F5394">
        <v>3515.58</v>
      </c>
      <c r="G5394">
        <v>1581.3</v>
      </c>
      <c r="H5394" t="str">
        <f>VLOOKUP(myynnit[[#This Row],[TuoteID]],ohjaus!$A$4:$B$20,2,FALSE)</f>
        <v>Pianotuoli</v>
      </c>
    </row>
    <row r="5395" spans="1:8" x14ac:dyDescent="0.35">
      <c r="A5395" t="s">
        <v>40</v>
      </c>
      <c r="B5395">
        <v>2018</v>
      </c>
      <c r="C5395">
        <v>8</v>
      </c>
      <c r="D5395">
        <v>16024</v>
      </c>
      <c r="E5395">
        <v>185</v>
      </c>
      <c r="F5395">
        <v>78821.56</v>
      </c>
      <c r="G5395">
        <v>26554.639999999999</v>
      </c>
      <c r="H5395" t="str">
        <f>VLOOKUP(myynnit[[#This Row],[TuoteID]],ohjaus!$A$4:$B$20,2,FALSE)</f>
        <v>Työtuoli</v>
      </c>
    </row>
    <row r="5396" spans="1:8" x14ac:dyDescent="0.35">
      <c r="A5396" t="s">
        <v>40</v>
      </c>
      <c r="B5396">
        <v>2018</v>
      </c>
      <c r="C5396">
        <v>8</v>
      </c>
      <c r="D5396">
        <v>16650</v>
      </c>
      <c r="E5396">
        <v>15</v>
      </c>
      <c r="F5396">
        <v>2470.96</v>
      </c>
      <c r="G5396">
        <v>1445.08</v>
      </c>
      <c r="H5396" t="str">
        <f>VLOOKUP(myynnit[[#This Row],[TuoteID]],ohjaus!$A$4:$B$20,2,FALSE)</f>
        <v>Rahi</v>
      </c>
    </row>
    <row r="5397" spans="1:8" x14ac:dyDescent="0.35">
      <c r="A5397" t="s">
        <v>40</v>
      </c>
      <c r="B5397">
        <v>2018</v>
      </c>
      <c r="C5397">
        <v>8</v>
      </c>
      <c r="D5397">
        <v>17892</v>
      </c>
      <c r="E5397">
        <v>52</v>
      </c>
      <c r="F5397">
        <v>7661.35</v>
      </c>
      <c r="G5397">
        <v>2028.27</v>
      </c>
      <c r="H5397" t="str">
        <f>VLOOKUP(myynnit[[#This Row],[TuoteID]],ohjaus!$A$4:$B$20,2,FALSE)</f>
        <v>Lepotuoli</v>
      </c>
    </row>
    <row r="5398" spans="1:8" x14ac:dyDescent="0.35">
      <c r="A5398" t="s">
        <v>40</v>
      </c>
      <c r="B5398">
        <v>2018</v>
      </c>
      <c r="C5398">
        <v>8</v>
      </c>
      <c r="D5398">
        <v>18342</v>
      </c>
      <c r="E5398">
        <v>12</v>
      </c>
      <c r="F5398">
        <v>9566.98</v>
      </c>
      <c r="G5398">
        <v>2627.81</v>
      </c>
      <c r="H5398" t="str">
        <f>VLOOKUP(myynnit[[#This Row],[TuoteID]],ohjaus!$A$4:$B$20,2,FALSE)</f>
        <v>Työtuoli</v>
      </c>
    </row>
    <row r="5399" spans="1:8" x14ac:dyDescent="0.35">
      <c r="A5399" t="s">
        <v>40</v>
      </c>
      <c r="B5399">
        <v>2018</v>
      </c>
      <c r="C5399">
        <v>8</v>
      </c>
      <c r="D5399">
        <v>20177</v>
      </c>
      <c r="E5399">
        <v>26</v>
      </c>
      <c r="F5399">
        <v>2581.5300000000002</v>
      </c>
      <c r="G5399">
        <v>879.1</v>
      </c>
      <c r="H5399" t="str">
        <f>VLOOKUP(myynnit[[#This Row],[TuoteID]],ohjaus!$A$4:$B$20,2,FALSE)</f>
        <v>Säkkituoli</v>
      </c>
    </row>
    <row r="5400" spans="1:8" x14ac:dyDescent="0.35">
      <c r="A5400" t="s">
        <v>40</v>
      </c>
      <c r="B5400">
        <v>2018</v>
      </c>
      <c r="C5400">
        <v>8</v>
      </c>
      <c r="D5400">
        <v>21179</v>
      </c>
      <c r="E5400">
        <v>25</v>
      </c>
      <c r="F5400">
        <v>2909.6</v>
      </c>
      <c r="G5400">
        <v>1793.55</v>
      </c>
      <c r="H5400" t="str">
        <f>VLOOKUP(myynnit[[#This Row],[TuoteID]],ohjaus!$A$4:$B$20,2,FALSE)</f>
        <v>Rahi</v>
      </c>
    </row>
    <row r="5401" spans="1:8" x14ac:dyDescent="0.35">
      <c r="A5401" t="s">
        <v>40</v>
      </c>
      <c r="B5401">
        <v>2018</v>
      </c>
      <c r="C5401">
        <v>8</v>
      </c>
      <c r="D5401">
        <v>21260</v>
      </c>
      <c r="E5401">
        <v>46</v>
      </c>
      <c r="F5401">
        <v>9631.7000000000007</v>
      </c>
      <c r="G5401">
        <v>2133.39</v>
      </c>
      <c r="H5401" t="str">
        <f>VLOOKUP(myynnit[[#This Row],[TuoteID]],ohjaus!$A$4:$B$20,2,FALSE)</f>
        <v>Lepotuoli</v>
      </c>
    </row>
    <row r="5402" spans="1:8" x14ac:dyDescent="0.35">
      <c r="A5402" t="s">
        <v>40</v>
      </c>
      <c r="B5402">
        <v>2018</v>
      </c>
      <c r="C5402">
        <v>8</v>
      </c>
      <c r="D5402">
        <v>22317</v>
      </c>
      <c r="E5402">
        <v>18</v>
      </c>
      <c r="F5402">
        <v>1543.95</v>
      </c>
      <c r="G5402">
        <v>797.51</v>
      </c>
      <c r="H5402" t="str">
        <f>VLOOKUP(myynnit[[#This Row],[TuoteID]],ohjaus!$A$4:$B$20,2,FALSE)</f>
        <v>Säkkituoli</v>
      </c>
    </row>
    <row r="5403" spans="1:8" x14ac:dyDescent="0.35">
      <c r="A5403" t="s">
        <v>40</v>
      </c>
      <c r="B5403">
        <v>2018</v>
      </c>
      <c r="C5403">
        <v>8</v>
      </c>
      <c r="D5403">
        <v>22940</v>
      </c>
      <c r="E5403">
        <v>225</v>
      </c>
      <c r="F5403">
        <v>32894.559999999998</v>
      </c>
      <c r="G5403">
        <v>8276.14</v>
      </c>
      <c r="H5403" t="str">
        <f>VLOOKUP(myynnit[[#This Row],[TuoteID]],ohjaus!$A$4:$B$20,2,FALSE)</f>
        <v>Pinnatuoli</v>
      </c>
    </row>
    <row r="5404" spans="1:8" x14ac:dyDescent="0.35">
      <c r="A5404" t="s">
        <v>40</v>
      </c>
      <c r="B5404">
        <v>2018</v>
      </c>
      <c r="C5404">
        <v>8</v>
      </c>
      <c r="D5404">
        <v>23178</v>
      </c>
      <c r="E5404">
        <v>283</v>
      </c>
      <c r="F5404">
        <v>49334.99</v>
      </c>
      <c r="G5404">
        <v>11320.33</v>
      </c>
      <c r="H5404" t="str">
        <f>VLOOKUP(myynnit[[#This Row],[TuoteID]],ohjaus!$A$4:$B$20,2,FALSE)</f>
        <v>Pinnatuoli</v>
      </c>
    </row>
    <row r="5405" spans="1:8" x14ac:dyDescent="0.35">
      <c r="A5405" t="s">
        <v>40</v>
      </c>
      <c r="B5405">
        <v>2018</v>
      </c>
      <c r="C5405">
        <v>8</v>
      </c>
      <c r="D5405">
        <v>23600</v>
      </c>
      <c r="E5405">
        <v>694</v>
      </c>
      <c r="F5405">
        <v>81712.649999999994</v>
      </c>
      <c r="G5405">
        <v>23983.8</v>
      </c>
      <c r="H5405" t="str">
        <f>VLOOKUP(myynnit[[#This Row],[TuoteID]],ohjaus!$A$4:$B$20,2,FALSE)</f>
        <v>Pinnatuoli</v>
      </c>
    </row>
    <row r="5406" spans="1:8" x14ac:dyDescent="0.35">
      <c r="A5406" t="s">
        <v>40</v>
      </c>
      <c r="B5406">
        <v>2018</v>
      </c>
      <c r="C5406">
        <v>8</v>
      </c>
      <c r="D5406">
        <v>23756</v>
      </c>
      <c r="E5406">
        <v>71</v>
      </c>
      <c r="F5406">
        <v>14067.48</v>
      </c>
      <c r="G5406">
        <v>5254.62</v>
      </c>
      <c r="H5406" t="str">
        <f>VLOOKUP(myynnit[[#This Row],[TuoteID]],ohjaus!$A$4:$B$20,2,FALSE)</f>
        <v>Pianotuoli</v>
      </c>
    </row>
    <row r="5407" spans="1:8" x14ac:dyDescent="0.35">
      <c r="A5407" t="s">
        <v>40</v>
      </c>
      <c r="B5407">
        <v>2018</v>
      </c>
      <c r="C5407">
        <v>8</v>
      </c>
      <c r="D5407">
        <v>24326</v>
      </c>
      <c r="E5407">
        <v>41</v>
      </c>
      <c r="F5407">
        <v>5497.86</v>
      </c>
      <c r="G5407">
        <v>1565.46</v>
      </c>
      <c r="H5407" t="str">
        <f>VLOOKUP(myynnit[[#This Row],[TuoteID]],ohjaus!$A$4:$B$20,2,FALSE)</f>
        <v>Lepotuoli</v>
      </c>
    </row>
    <row r="5408" spans="1:8" x14ac:dyDescent="0.35">
      <c r="A5408" t="s">
        <v>39</v>
      </c>
      <c r="B5408">
        <v>2018</v>
      </c>
      <c r="C5408">
        <v>8</v>
      </c>
      <c r="D5408">
        <v>12184</v>
      </c>
      <c r="E5408">
        <v>121</v>
      </c>
      <c r="F5408">
        <v>18106.689999999999</v>
      </c>
      <c r="G5408">
        <v>12465.88</v>
      </c>
      <c r="H5408" t="str">
        <f>VLOOKUP(myynnit[[#This Row],[TuoteID]],ohjaus!$A$4:$B$20,2,FALSE)</f>
        <v>Rahi</v>
      </c>
    </row>
    <row r="5409" spans="1:8" x14ac:dyDescent="0.35">
      <c r="A5409" t="s">
        <v>39</v>
      </c>
      <c r="B5409">
        <v>2018</v>
      </c>
      <c r="C5409">
        <v>8</v>
      </c>
      <c r="D5409">
        <v>12622</v>
      </c>
      <c r="E5409">
        <v>59</v>
      </c>
      <c r="F5409">
        <v>13642.33</v>
      </c>
      <c r="G5409">
        <v>7081.95</v>
      </c>
      <c r="H5409" t="str">
        <f>VLOOKUP(myynnit[[#This Row],[TuoteID]],ohjaus!$A$4:$B$20,2,FALSE)</f>
        <v>Pianotuoli</v>
      </c>
    </row>
    <row r="5410" spans="1:8" x14ac:dyDescent="0.35">
      <c r="A5410" t="s">
        <v>39</v>
      </c>
      <c r="B5410">
        <v>2018</v>
      </c>
      <c r="C5410">
        <v>8</v>
      </c>
      <c r="D5410">
        <v>13527</v>
      </c>
      <c r="E5410">
        <v>476</v>
      </c>
      <c r="F5410">
        <v>81703.02</v>
      </c>
      <c r="G5410">
        <v>22669.040000000001</v>
      </c>
      <c r="H5410" t="str">
        <f>VLOOKUP(myynnit[[#This Row],[TuoteID]],ohjaus!$A$4:$B$20,2,FALSE)</f>
        <v>Pinnatuoli</v>
      </c>
    </row>
    <row r="5411" spans="1:8" x14ac:dyDescent="0.35">
      <c r="A5411" t="s">
        <v>39</v>
      </c>
      <c r="B5411">
        <v>2018</v>
      </c>
      <c r="C5411">
        <v>8</v>
      </c>
      <c r="D5411">
        <v>13618</v>
      </c>
      <c r="E5411">
        <v>14</v>
      </c>
      <c r="F5411">
        <v>6026.99</v>
      </c>
      <c r="G5411">
        <v>3809.26</v>
      </c>
      <c r="H5411" t="str">
        <f>VLOOKUP(myynnit[[#This Row],[TuoteID]],ohjaus!$A$4:$B$20,2,FALSE)</f>
        <v>Pianotuoli</v>
      </c>
    </row>
    <row r="5412" spans="1:8" x14ac:dyDescent="0.35">
      <c r="A5412" t="s">
        <v>39</v>
      </c>
      <c r="B5412">
        <v>2018</v>
      </c>
      <c r="C5412">
        <v>8</v>
      </c>
      <c r="D5412">
        <v>16024</v>
      </c>
      <c r="E5412">
        <v>178</v>
      </c>
      <c r="F5412">
        <v>74675.7</v>
      </c>
      <c r="G5412">
        <v>25448.799999999999</v>
      </c>
      <c r="H5412" t="str">
        <f>VLOOKUP(myynnit[[#This Row],[TuoteID]],ohjaus!$A$4:$B$20,2,FALSE)</f>
        <v>Työtuoli</v>
      </c>
    </row>
    <row r="5413" spans="1:8" x14ac:dyDescent="0.35">
      <c r="A5413" t="s">
        <v>39</v>
      </c>
      <c r="B5413">
        <v>2018</v>
      </c>
      <c r="C5413">
        <v>8</v>
      </c>
      <c r="D5413">
        <v>16650</v>
      </c>
      <c r="E5413">
        <v>18</v>
      </c>
      <c r="F5413">
        <v>3105.32</v>
      </c>
      <c r="G5413">
        <v>2260.9</v>
      </c>
      <c r="H5413" t="str">
        <f>VLOOKUP(myynnit[[#This Row],[TuoteID]],ohjaus!$A$4:$B$20,2,FALSE)</f>
        <v>Rahi</v>
      </c>
    </row>
    <row r="5414" spans="1:8" x14ac:dyDescent="0.35">
      <c r="A5414" t="s">
        <v>39</v>
      </c>
      <c r="B5414">
        <v>2018</v>
      </c>
      <c r="C5414">
        <v>8</v>
      </c>
      <c r="D5414">
        <v>17892</v>
      </c>
      <c r="E5414">
        <v>85</v>
      </c>
      <c r="F5414">
        <v>13027.47</v>
      </c>
      <c r="G5414">
        <v>4381.55</v>
      </c>
      <c r="H5414" t="str">
        <f>VLOOKUP(myynnit[[#This Row],[TuoteID]],ohjaus!$A$4:$B$20,2,FALSE)</f>
        <v>Lepotuoli</v>
      </c>
    </row>
    <row r="5415" spans="1:8" x14ac:dyDescent="0.35">
      <c r="A5415" t="s">
        <v>39</v>
      </c>
      <c r="B5415">
        <v>2018</v>
      </c>
      <c r="C5415">
        <v>8</v>
      </c>
      <c r="D5415">
        <v>18342</v>
      </c>
      <c r="E5415">
        <v>162</v>
      </c>
      <c r="F5415">
        <v>145772.1</v>
      </c>
      <c r="G5415">
        <v>48336.62</v>
      </c>
      <c r="H5415" t="str">
        <f>VLOOKUP(myynnit[[#This Row],[TuoteID]],ohjaus!$A$4:$B$20,2,FALSE)</f>
        <v>Työtuoli</v>
      </c>
    </row>
    <row r="5416" spans="1:8" x14ac:dyDescent="0.35">
      <c r="A5416" t="s">
        <v>39</v>
      </c>
      <c r="B5416">
        <v>2018</v>
      </c>
      <c r="C5416">
        <v>8</v>
      </c>
      <c r="D5416">
        <v>20177</v>
      </c>
      <c r="E5416">
        <v>87</v>
      </c>
      <c r="F5416">
        <v>7906.46</v>
      </c>
      <c r="G5416">
        <v>3375.41</v>
      </c>
      <c r="H5416" t="str">
        <f>VLOOKUP(myynnit[[#This Row],[TuoteID]],ohjaus!$A$4:$B$20,2,FALSE)</f>
        <v>Säkkituoli</v>
      </c>
    </row>
    <row r="5417" spans="1:8" x14ac:dyDescent="0.35">
      <c r="A5417" t="s">
        <v>39</v>
      </c>
      <c r="B5417">
        <v>2018</v>
      </c>
      <c r="C5417">
        <v>8</v>
      </c>
      <c r="D5417">
        <v>21179</v>
      </c>
      <c r="E5417">
        <v>40</v>
      </c>
      <c r="F5417">
        <v>5966.55</v>
      </c>
      <c r="G5417">
        <v>3860.96</v>
      </c>
      <c r="H5417" t="str">
        <f>VLOOKUP(myynnit[[#This Row],[TuoteID]],ohjaus!$A$4:$B$20,2,FALSE)</f>
        <v>Rahi</v>
      </c>
    </row>
    <row r="5418" spans="1:8" x14ac:dyDescent="0.35">
      <c r="A5418" t="s">
        <v>39</v>
      </c>
      <c r="B5418">
        <v>2018</v>
      </c>
      <c r="C5418">
        <v>8</v>
      </c>
      <c r="D5418">
        <v>21260</v>
      </c>
      <c r="E5418">
        <v>65</v>
      </c>
      <c r="F5418">
        <v>13004.09</v>
      </c>
      <c r="G5418">
        <v>4198.76</v>
      </c>
      <c r="H5418" t="str">
        <f>VLOOKUP(myynnit[[#This Row],[TuoteID]],ohjaus!$A$4:$B$20,2,FALSE)</f>
        <v>Lepotuoli</v>
      </c>
    </row>
    <row r="5419" spans="1:8" x14ac:dyDescent="0.35">
      <c r="A5419" t="s">
        <v>39</v>
      </c>
      <c r="B5419">
        <v>2018</v>
      </c>
      <c r="C5419">
        <v>8</v>
      </c>
      <c r="D5419">
        <v>22317</v>
      </c>
      <c r="E5419">
        <v>19</v>
      </c>
      <c r="F5419">
        <v>1978.86</v>
      </c>
      <c r="G5419">
        <v>824.02</v>
      </c>
      <c r="H5419" t="str">
        <f>VLOOKUP(myynnit[[#This Row],[TuoteID]],ohjaus!$A$4:$B$20,2,FALSE)</f>
        <v>Säkkituoli</v>
      </c>
    </row>
    <row r="5420" spans="1:8" x14ac:dyDescent="0.35">
      <c r="A5420" t="s">
        <v>39</v>
      </c>
      <c r="B5420">
        <v>2018</v>
      </c>
      <c r="C5420">
        <v>8</v>
      </c>
      <c r="D5420">
        <v>22940</v>
      </c>
      <c r="E5420">
        <v>745</v>
      </c>
      <c r="F5420">
        <v>105590.85</v>
      </c>
      <c r="G5420">
        <v>25854.1</v>
      </c>
      <c r="H5420" t="str">
        <f>VLOOKUP(myynnit[[#This Row],[TuoteID]],ohjaus!$A$4:$B$20,2,FALSE)</f>
        <v>Pinnatuoli</v>
      </c>
    </row>
    <row r="5421" spans="1:8" x14ac:dyDescent="0.35">
      <c r="A5421" t="s">
        <v>39</v>
      </c>
      <c r="B5421">
        <v>2018</v>
      </c>
      <c r="C5421">
        <v>8</v>
      </c>
      <c r="D5421">
        <v>23178</v>
      </c>
      <c r="E5421">
        <v>119</v>
      </c>
      <c r="F5421">
        <v>20655.09</v>
      </c>
      <c r="G5421">
        <v>5945.25</v>
      </c>
      <c r="H5421" t="str">
        <f>VLOOKUP(myynnit[[#This Row],[TuoteID]],ohjaus!$A$4:$B$20,2,FALSE)</f>
        <v>Pinnatuoli</v>
      </c>
    </row>
    <row r="5422" spans="1:8" x14ac:dyDescent="0.35">
      <c r="A5422" t="s">
        <v>39</v>
      </c>
      <c r="B5422">
        <v>2018</v>
      </c>
      <c r="C5422">
        <v>8</v>
      </c>
      <c r="D5422">
        <v>23600</v>
      </c>
      <c r="E5422">
        <v>535</v>
      </c>
      <c r="F5422">
        <v>63065.31</v>
      </c>
      <c r="G5422">
        <v>16240</v>
      </c>
      <c r="H5422" t="str">
        <f>VLOOKUP(myynnit[[#This Row],[TuoteID]],ohjaus!$A$4:$B$20,2,FALSE)</f>
        <v>Pinnatuoli</v>
      </c>
    </row>
    <row r="5423" spans="1:8" x14ac:dyDescent="0.35">
      <c r="A5423" t="s">
        <v>39</v>
      </c>
      <c r="B5423">
        <v>2018</v>
      </c>
      <c r="C5423">
        <v>8</v>
      </c>
      <c r="D5423">
        <v>23756</v>
      </c>
      <c r="E5423">
        <v>71</v>
      </c>
      <c r="F5423">
        <v>13940.5</v>
      </c>
      <c r="G5423">
        <v>7898.97</v>
      </c>
      <c r="H5423" t="str">
        <f>VLOOKUP(myynnit[[#This Row],[TuoteID]],ohjaus!$A$4:$B$20,2,FALSE)</f>
        <v>Pianotuoli</v>
      </c>
    </row>
    <row r="5424" spans="1:8" x14ac:dyDescent="0.35">
      <c r="A5424" t="s">
        <v>39</v>
      </c>
      <c r="B5424">
        <v>2018</v>
      </c>
      <c r="C5424">
        <v>8</v>
      </c>
      <c r="D5424">
        <v>24326</v>
      </c>
      <c r="E5424">
        <v>111</v>
      </c>
      <c r="F5424">
        <v>15887.02</v>
      </c>
      <c r="G5424">
        <v>4558.6499999999996</v>
      </c>
      <c r="H5424" t="str">
        <f>VLOOKUP(myynnit[[#This Row],[TuoteID]],ohjaus!$A$4:$B$20,2,FALSE)</f>
        <v>Lepotuoli</v>
      </c>
    </row>
    <row r="5425" spans="1:8" x14ac:dyDescent="0.35">
      <c r="A5425" t="s">
        <v>38</v>
      </c>
      <c r="B5425">
        <v>2018</v>
      </c>
      <c r="C5425">
        <v>8</v>
      </c>
      <c r="D5425">
        <v>12184</v>
      </c>
      <c r="E5425">
        <v>69</v>
      </c>
      <c r="F5425">
        <v>10123.66</v>
      </c>
      <c r="G5425">
        <v>5687.2</v>
      </c>
      <c r="H5425" t="str">
        <f>VLOOKUP(myynnit[[#This Row],[TuoteID]],ohjaus!$A$4:$B$20,2,FALSE)</f>
        <v>Rahi</v>
      </c>
    </row>
    <row r="5426" spans="1:8" x14ac:dyDescent="0.35">
      <c r="A5426" t="s">
        <v>38</v>
      </c>
      <c r="B5426">
        <v>2018</v>
      </c>
      <c r="C5426">
        <v>8</v>
      </c>
      <c r="D5426">
        <v>12622</v>
      </c>
      <c r="E5426">
        <v>22</v>
      </c>
      <c r="F5426">
        <v>5111.21</v>
      </c>
      <c r="G5426">
        <v>2268.8000000000002</v>
      </c>
      <c r="H5426" t="str">
        <f>VLOOKUP(myynnit[[#This Row],[TuoteID]],ohjaus!$A$4:$B$20,2,FALSE)</f>
        <v>Pianotuoli</v>
      </c>
    </row>
    <row r="5427" spans="1:8" x14ac:dyDescent="0.35">
      <c r="A5427" t="s">
        <v>38</v>
      </c>
      <c r="B5427">
        <v>2018</v>
      </c>
      <c r="C5427">
        <v>8</v>
      </c>
      <c r="D5427">
        <v>13527</v>
      </c>
      <c r="E5427">
        <v>376</v>
      </c>
      <c r="F5427">
        <v>55338.18</v>
      </c>
      <c r="G5427">
        <v>12510.54</v>
      </c>
      <c r="H5427" t="str">
        <f>VLOOKUP(myynnit[[#This Row],[TuoteID]],ohjaus!$A$4:$B$20,2,FALSE)</f>
        <v>Pinnatuoli</v>
      </c>
    </row>
    <row r="5428" spans="1:8" x14ac:dyDescent="0.35">
      <c r="A5428" t="s">
        <v>38</v>
      </c>
      <c r="B5428">
        <v>2018</v>
      </c>
      <c r="C5428">
        <v>8</v>
      </c>
      <c r="D5428">
        <v>13618</v>
      </c>
      <c r="E5428">
        <v>8</v>
      </c>
      <c r="F5428">
        <v>3542.24</v>
      </c>
      <c r="G5428">
        <v>1829.67</v>
      </c>
      <c r="H5428" t="str">
        <f>VLOOKUP(myynnit[[#This Row],[TuoteID]],ohjaus!$A$4:$B$20,2,FALSE)</f>
        <v>Pianotuoli</v>
      </c>
    </row>
    <row r="5429" spans="1:8" x14ac:dyDescent="0.35">
      <c r="A5429" t="s">
        <v>38</v>
      </c>
      <c r="B5429">
        <v>2018</v>
      </c>
      <c r="C5429">
        <v>8</v>
      </c>
      <c r="D5429">
        <v>16024</v>
      </c>
      <c r="E5429">
        <v>241</v>
      </c>
      <c r="F5429">
        <v>107212.26</v>
      </c>
      <c r="G5429">
        <v>27775.22</v>
      </c>
      <c r="H5429" t="str">
        <f>VLOOKUP(myynnit[[#This Row],[TuoteID]],ohjaus!$A$4:$B$20,2,FALSE)</f>
        <v>Työtuoli</v>
      </c>
    </row>
    <row r="5430" spans="1:8" x14ac:dyDescent="0.35">
      <c r="A5430" t="s">
        <v>38</v>
      </c>
      <c r="B5430">
        <v>2018</v>
      </c>
      <c r="C5430">
        <v>8</v>
      </c>
      <c r="D5430">
        <v>16650</v>
      </c>
      <c r="E5430">
        <v>25</v>
      </c>
      <c r="F5430">
        <v>3064.5</v>
      </c>
      <c r="G5430">
        <v>1675.1</v>
      </c>
      <c r="H5430" t="str">
        <f>VLOOKUP(myynnit[[#This Row],[TuoteID]],ohjaus!$A$4:$B$20,2,FALSE)</f>
        <v>Rahi</v>
      </c>
    </row>
    <row r="5431" spans="1:8" x14ac:dyDescent="0.35">
      <c r="A5431" t="s">
        <v>38</v>
      </c>
      <c r="B5431">
        <v>2018</v>
      </c>
      <c r="C5431">
        <v>8</v>
      </c>
      <c r="D5431">
        <v>17892</v>
      </c>
      <c r="E5431">
        <v>70</v>
      </c>
      <c r="F5431">
        <v>10781.02</v>
      </c>
      <c r="G5431">
        <v>2994.59</v>
      </c>
      <c r="H5431" t="str">
        <f>VLOOKUP(myynnit[[#This Row],[TuoteID]],ohjaus!$A$4:$B$20,2,FALSE)</f>
        <v>Lepotuoli</v>
      </c>
    </row>
    <row r="5432" spans="1:8" x14ac:dyDescent="0.35">
      <c r="A5432" t="s">
        <v>38</v>
      </c>
      <c r="B5432">
        <v>2018</v>
      </c>
      <c r="C5432">
        <v>8</v>
      </c>
      <c r="D5432">
        <v>18342</v>
      </c>
      <c r="E5432">
        <v>181</v>
      </c>
      <c r="F5432">
        <v>136967.81</v>
      </c>
      <c r="G5432">
        <v>29816.58</v>
      </c>
      <c r="H5432" t="str">
        <f>VLOOKUP(myynnit[[#This Row],[TuoteID]],ohjaus!$A$4:$B$20,2,FALSE)</f>
        <v>Työtuoli</v>
      </c>
    </row>
    <row r="5433" spans="1:8" x14ac:dyDescent="0.35">
      <c r="A5433" t="s">
        <v>38</v>
      </c>
      <c r="B5433">
        <v>2018</v>
      </c>
      <c r="C5433">
        <v>8</v>
      </c>
      <c r="D5433">
        <v>20177</v>
      </c>
      <c r="E5433">
        <v>80</v>
      </c>
      <c r="F5433">
        <v>9337.92</v>
      </c>
      <c r="G5433">
        <v>3947.4</v>
      </c>
      <c r="H5433" t="str">
        <f>VLOOKUP(myynnit[[#This Row],[TuoteID]],ohjaus!$A$4:$B$20,2,FALSE)</f>
        <v>Säkkituoli</v>
      </c>
    </row>
    <row r="5434" spans="1:8" x14ac:dyDescent="0.35">
      <c r="A5434" t="s">
        <v>38</v>
      </c>
      <c r="B5434">
        <v>2018</v>
      </c>
      <c r="C5434">
        <v>8</v>
      </c>
      <c r="D5434">
        <v>21179</v>
      </c>
      <c r="E5434">
        <v>36</v>
      </c>
      <c r="F5434">
        <v>3901.76</v>
      </c>
      <c r="G5434">
        <v>2359.87</v>
      </c>
      <c r="H5434" t="str">
        <f>VLOOKUP(myynnit[[#This Row],[TuoteID]],ohjaus!$A$4:$B$20,2,FALSE)</f>
        <v>Rahi</v>
      </c>
    </row>
    <row r="5435" spans="1:8" x14ac:dyDescent="0.35">
      <c r="A5435" t="s">
        <v>38</v>
      </c>
      <c r="B5435">
        <v>2018</v>
      </c>
      <c r="C5435">
        <v>8</v>
      </c>
      <c r="D5435">
        <v>21260</v>
      </c>
      <c r="E5435">
        <v>77</v>
      </c>
      <c r="F5435">
        <v>14399.27</v>
      </c>
      <c r="G5435">
        <v>4274.84</v>
      </c>
      <c r="H5435" t="str">
        <f>VLOOKUP(myynnit[[#This Row],[TuoteID]],ohjaus!$A$4:$B$20,2,FALSE)</f>
        <v>Lepotuoli</v>
      </c>
    </row>
    <row r="5436" spans="1:8" x14ac:dyDescent="0.35">
      <c r="A5436" t="s">
        <v>38</v>
      </c>
      <c r="B5436">
        <v>2018</v>
      </c>
      <c r="C5436">
        <v>8</v>
      </c>
      <c r="D5436">
        <v>22317</v>
      </c>
      <c r="E5436">
        <v>78</v>
      </c>
      <c r="F5436">
        <v>7485.62</v>
      </c>
      <c r="G5436">
        <v>2983.35</v>
      </c>
      <c r="H5436" t="str">
        <f>VLOOKUP(myynnit[[#This Row],[TuoteID]],ohjaus!$A$4:$B$20,2,FALSE)</f>
        <v>Säkkituoli</v>
      </c>
    </row>
    <row r="5437" spans="1:8" x14ac:dyDescent="0.35">
      <c r="A5437" t="s">
        <v>38</v>
      </c>
      <c r="B5437">
        <v>2018</v>
      </c>
      <c r="C5437">
        <v>8</v>
      </c>
      <c r="D5437">
        <v>22940</v>
      </c>
      <c r="E5437">
        <v>743</v>
      </c>
      <c r="F5437">
        <v>89439.94</v>
      </c>
      <c r="G5437">
        <v>19010.28</v>
      </c>
      <c r="H5437" t="str">
        <f>VLOOKUP(myynnit[[#This Row],[TuoteID]],ohjaus!$A$4:$B$20,2,FALSE)</f>
        <v>Pinnatuoli</v>
      </c>
    </row>
    <row r="5438" spans="1:8" x14ac:dyDescent="0.35">
      <c r="A5438" t="s">
        <v>38</v>
      </c>
      <c r="B5438">
        <v>2018</v>
      </c>
      <c r="C5438">
        <v>8</v>
      </c>
      <c r="D5438">
        <v>23178</v>
      </c>
      <c r="E5438">
        <v>274</v>
      </c>
      <c r="F5438">
        <v>50257.1</v>
      </c>
      <c r="G5438">
        <v>9839.16</v>
      </c>
      <c r="H5438" t="str">
        <f>VLOOKUP(myynnit[[#This Row],[TuoteID]],ohjaus!$A$4:$B$20,2,FALSE)</f>
        <v>Pinnatuoli</v>
      </c>
    </row>
    <row r="5439" spans="1:8" x14ac:dyDescent="0.35">
      <c r="A5439" t="s">
        <v>38</v>
      </c>
      <c r="B5439">
        <v>2018</v>
      </c>
      <c r="C5439">
        <v>8</v>
      </c>
      <c r="D5439">
        <v>23600</v>
      </c>
      <c r="E5439">
        <v>633</v>
      </c>
      <c r="F5439">
        <v>67994.59</v>
      </c>
      <c r="G5439">
        <v>16931.77</v>
      </c>
      <c r="H5439" t="str">
        <f>VLOOKUP(myynnit[[#This Row],[TuoteID]],ohjaus!$A$4:$B$20,2,FALSE)</f>
        <v>Pinnatuoli</v>
      </c>
    </row>
    <row r="5440" spans="1:8" x14ac:dyDescent="0.35">
      <c r="A5440" t="s">
        <v>38</v>
      </c>
      <c r="B5440">
        <v>2018</v>
      </c>
      <c r="C5440">
        <v>8</v>
      </c>
      <c r="D5440">
        <v>23756</v>
      </c>
      <c r="E5440">
        <v>68</v>
      </c>
      <c r="F5440">
        <v>11748.11</v>
      </c>
      <c r="G5440">
        <v>5281.17</v>
      </c>
      <c r="H5440" t="str">
        <f>VLOOKUP(myynnit[[#This Row],[TuoteID]],ohjaus!$A$4:$B$20,2,FALSE)</f>
        <v>Pianotuoli</v>
      </c>
    </row>
    <row r="5441" spans="1:8" x14ac:dyDescent="0.35">
      <c r="A5441" t="s">
        <v>38</v>
      </c>
      <c r="B5441">
        <v>2018</v>
      </c>
      <c r="C5441">
        <v>8</v>
      </c>
      <c r="D5441">
        <v>24326</v>
      </c>
      <c r="E5441">
        <v>56</v>
      </c>
      <c r="F5441">
        <v>7340.38</v>
      </c>
      <c r="G5441">
        <v>1666.03</v>
      </c>
      <c r="H5441" t="str">
        <f>VLOOKUP(myynnit[[#This Row],[TuoteID]],ohjaus!$A$4:$B$20,2,FALSE)</f>
        <v>Lepotuoli</v>
      </c>
    </row>
    <row r="5442" spans="1:8" x14ac:dyDescent="0.35">
      <c r="A5442" t="s">
        <v>37</v>
      </c>
      <c r="B5442">
        <v>2018</v>
      </c>
      <c r="C5442">
        <v>9</v>
      </c>
      <c r="D5442">
        <v>12184</v>
      </c>
      <c r="E5442">
        <v>111</v>
      </c>
      <c r="F5442">
        <v>15188.4</v>
      </c>
      <c r="G5442">
        <v>7400.44</v>
      </c>
      <c r="H5442" t="str">
        <f>VLOOKUP(myynnit[[#This Row],[TuoteID]],ohjaus!$A$4:$B$20,2,FALSE)</f>
        <v>Rahi</v>
      </c>
    </row>
    <row r="5443" spans="1:8" x14ac:dyDescent="0.35">
      <c r="A5443" t="s">
        <v>37</v>
      </c>
      <c r="B5443">
        <v>2018</v>
      </c>
      <c r="C5443">
        <v>9</v>
      </c>
      <c r="D5443">
        <v>12622</v>
      </c>
      <c r="E5443">
        <v>47</v>
      </c>
      <c r="F5443">
        <v>10704.31</v>
      </c>
      <c r="G5443">
        <v>4334.55</v>
      </c>
      <c r="H5443" t="str">
        <f>VLOOKUP(myynnit[[#This Row],[TuoteID]],ohjaus!$A$4:$B$20,2,FALSE)</f>
        <v>Pianotuoli</v>
      </c>
    </row>
    <row r="5444" spans="1:8" x14ac:dyDescent="0.35">
      <c r="A5444" t="s">
        <v>37</v>
      </c>
      <c r="B5444">
        <v>2018</v>
      </c>
      <c r="C5444">
        <v>9</v>
      </c>
      <c r="D5444">
        <v>13527</v>
      </c>
      <c r="E5444">
        <v>481</v>
      </c>
      <c r="F5444">
        <v>80890.539999999994</v>
      </c>
      <c r="G5444">
        <v>16135.67</v>
      </c>
      <c r="H5444" t="str">
        <f>VLOOKUP(myynnit[[#This Row],[TuoteID]],ohjaus!$A$4:$B$20,2,FALSE)</f>
        <v>Pinnatuoli</v>
      </c>
    </row>
    <row r="5445" spans="1:8" x14ac:dyDescent="0.35">
      <c r="A5445" t="s">
        <v>37</v>
      </c>
      <c r="B5445">
        <v>2018</v>
      </c>
      <c r="C5445">
        <v>9</v>
      </c>
      <c r="D5445">
        <v>13618</v>
      </c>
      <c r="E5445">
        <v>21</v>
      </c>
      <c r="F5445">
        <v>9073.4699999999993</v>
      </c>
      <c r="G5445">
        <v>4259.96</v>
      </c>
      <c r="H5445" t="str">
        <f>VLOOKUP(myynnit[[#This Row],[TuoteID]],ohjaus!$A$4:$B$20,2,FALSE)</f>
        <v>Pianotuoli</v>
      </c>
    </row>
    <row r="5446" spans="1:8" x14ac:dyDescent="0.35">
      <c r="A5446" t="s">
        <v>37</v>
      </c>
      <c r="B5446">
        <v>2018</v>
      </c>
      <c r="C5446">
        <v>9</v>
      </c>
      <c r="D5446">
        <v>16024</v>
      </c>
      <c r="E5446">
        <v>342</v>
      </c>
      <c r="F5446">
        <v>151254.79999999999</v>
      </c>
      <c r="G5446">
        <v>39602.42</v>
      </c>
      <c r="H5446" t="str">
        <f>VLOOKUP(myynnit[[#This Row],[TuoteID]],ohjaus!$A$4:$B$20,2,FALSE)</f>
        <v>Työtuoli</v>
      </c>
    </row>
    <row r="5447" spans="1:8" x14ac:dyDescent="0.35">
      <c r="A5447" t="s">
        <v>37</v>
      </c>
      <c r="B5447">
        <v>2018</v>
      </c>
      <c r="C5447">
        <v>9</v>
      </c>
      <c r="D5447">
        <v>16650</v>
      </c>
      <c r="E5447">
        <v>74</v>
      </c>
      <c r="F5447">
        <v>11654.26</v>
      </c>
      <c r="G5447">
        <v>4687.46</v>
      </c>
      <c r="H5447" t="str">
        <f>VLOOKUP(myynnit[[#This Row],[TuoteID]],ohjaus!$A$4:$B$20,2,FALSE)</f>
        <v>Rahi</v>
      </c>
    </row>
    <row r="5448" spans="1:8" x14ac:dyDescent="0.35">
      <c r="A5448" t="s">
        <v>37</v>
      </c>
      <c r="B5448">
        <v>2018</v>
      </c>
      <c r="C5448">
        <v>9</v>
      </c>
      <c r="D5448">
        <v>17892</v>
      </c>
      <c r="E5448">
        <v>129</v>
      </c>
      <c r="F5448">
        <v>17523.09</v>
      </c>
      <c r="G5448">
        <v>5033.13</v>
      </c>
      <c r="H5448" t="str">
        <f>VLOOKUP(myynnit[[#This Row],[TuoteID]],ohjaus!$A$4:$B$20,2,FALSE)</f>
        <v>Lepotuoli</v>
      </c>
    </row>
    <row r="5449" spans="1:8" x14ac:dyDescent="0.35">
      <c r="A5449" t="s">
        <v>37</v>
      </c>
      <c r="B5449">
        <v>2018</v>
      </c>
      <c r="C5449">
        <v>9</v>
      </c>
      <c r="D5449">
        <v>18342</v>
      </c>
      <c r="E5449">
        <v>197</v>
      </c>
      <c r="F5449">
        <v>180760.65</v>
      </c>
      <c r="G5449">
        <v>57245.85</v>
      </c>
      <c r="H5449" t="str">
        <f>VLOOKUP(myynnit[[#This Row],[TuoteID]],ohjaus!$A$4:$B$20,2,FALSE)</f>
        <v>Työtuoli</v>
      </c>
    </row>
    <row r="5450" spans="1:8" x14ac:dyDescent="0.35">
      <c r="A5450" t="s">
        <v>37</v>
      </c>
      <c r="B5450">
        <v>2018</v>
      </c>
      <c r="C5450">
        <v>9</v>
      </c>
      <c r="D5450">
        <v>20177</v>
      </c>
      <c r="E5450">
        <v>158</v>
      </c>
      <c r="F5450">
        <v>14643.49</v>
      </c>
      <c r="G5450">
        <v>5461.64</v>
      </c>
      <c r="H5450" t="str">
        <f>VLOOKUP(myynnit[[#This Row],[TuoteID]],ohjaus!$A$4:$B$20,2,FALSE)</f>
        <v>Säkkituoli</v>
      </c>
    </row>
    <row r="5451" spans="1:8" x14ac:dyDescent="0.35">
      <c r="A5451" t="s">
        <v>37</v>
      </c>
      <c r="B5451">
        <v>2018</v>
      </c>
      <c r="C5451">
        <v>9</v>
      </c>
      <c r="D5451">
        <v>21179</v>
      </c>
      <c r="E5451">
        <v>72</v>
      </c>
      <c r="F5451">
        <v>8395.94</v>
      </c>
      <c r="G5451">
        <v>4224.38</v>
      </c>
      <c r="H5451" t="str">
        <f>VLOOKUP(myynnit[[#This Row],[TuoteID]],ohjaus!$A$4:$B$20,2,FALSE)</f>
        <v>Rahi</v>
      </c>
    </row>
    <row r="5452" spans="1:8" x14ac:dyDescent="0.35">
      <c r="A5452" t="s">
        <v>37</v>
      </c>
      <c r="B5452">
        <v>2018</v>
      </c>
      <c r="C5452">
        <v>9</v>
      </c>
      <c r="D5452">
        <v>21260</v>
      </c>
      <c r="E5452">
        <v>97</v>
      </c>
      <c r="F5452">
        <v>20303.64</v>
      </c>
      <c r="G5452">
        <v>5888.6</v>
      </c>
      <c r="H5452" t="str">
        <f>VLOOKUP(myynnit[[#This Row],[TuoteID]],ohjaus!$A$4:$B$20,2,FALSE)</f>
        <v>Lepotuoli</v>
      </c>
    </row>
    <row r="5453" spans="1:8" x14ac:dyDescent="0.35">
      <c r="A5453" t="s">
        <v>37</v>
      </c>
      <c r="B5453">
        <v>2018</v>
      </c>
      <c r="C5453">
        <v>9</v>
      </c>
      <c r="D5453">
        <v>22317</v>
      </c>
      <c r="E5453">
        <v>90</v>
      </c>
      <c r="F5453">
        <v>8702.19</v>
      </c>
      <c r="G5453">
        <v>3199.5</v>
      </c>
      <c r="H5453" t="str">
        <f>VLOOKUP(myynnit[[#This Row],[TuoteID]],ohjaus!$A$4:$B$20,2,FALSE)</f>
        <v>Säkkituoli</v>
      </c>
    </row>
    <row r="5454" spans="1:8" x14ac:dyDescent="0.35">
      <c r="A5454" t="s">
        <v>37</v>
      </c>
      <c r="B5454">
        <v>2018</v>
      </c>
      <c r="C5454">
        <v>9</v>
      </c>
      <c r="D5454">
        <v>22940</v>
      </c>
      <c r="E5454">
        <v>442</v>
      </c>
      <c r="F5454">
        <v>54488.89</v>
      </c>
      <c r="G5454">
        <v>10986.24</v>
      </c>
      <c r="H5454" t="str">
        <f>VLOOKUP(myynnit[[#This Row],[TuoteID]],ohjaus!$A$4:$B$20,2,FALSE)</f>
        <v>Pinnatuoli</v>
      </c>
    </row>
    <row r="5455" spans="1:8" x14ac:dyDescent="0.35">
      <c r="A5455" t="s">
        <v>37</v>
      </c>
      <c r="B5455">
        <v>2018</v>
      </c>
      <c r="C5455">
        <v>9</v>
      </c>
      <c r="D5455">
        <v>23178</v>
      </c>
      <c r="E5455">
        <v>342</v>
      </c>
      <c r="F5455">
        <v>60895.08</v>
      </c>
      <c r="G5455">
        <v>11604.55</v>
      </c>
      <c r="H5455" t="str">
        <f>VLOOKUP(myynnit[[#This Row],[TuoteID]],ohjaus!$A$4:$B$20,2,FALSE)</f>
        <v>Pinnatuoli</v>
      </c>
    </row>
    <row r="5456" spans="1:8" x14ac:dyDescent="0.35">
      <c r="A5456" t="s">
        <v>37</v>
      </c>
      <c r="B5456">
        <v>2018</v>
      </c>
      <c r="C5456">
        <v>9</v>
      </c>
      <c r="D5456">
        <v>23600</v>
      </c>
      <c r="E5456">
        <v>1213</v>
      </c>
      <c r="F5456">
        <v>125270.24</v>
      </c>
      <c r="G5456">
        <v>27538.05</v>
      </c>
      <c r="H5456" t="str">
        <f>VLOOKUP(myynnit[[#This Row],[TuoteID]],ohjaus!$A$4:$B$20,2,FALSE)</f>
        <v>Pinnatuoli</v>
      </c>
    </row>
    <row r="5457" spans="1:8" x14ac:dyDescent="0.35">
      <c r="A5457" t="s">
        <v>37</v>
      </c>
      <c r="B5457">
        <v>2018</v>
      </c>
      <c r="C5457">
        <v>9</v>
      </c>
      <c r="D5457">
        <v>23756</v>
      </c>
      <c r="E5457">
        <v>51</v>
      </c>
      <c r="F5457">
        <v>10045.48</v>
      </c>
      <c r="G5457">
        <v>5372.01</v>
      </c>
      <c r="H5457" t="str">
        <f>VLOOKUP(myynnit[[#This Row],[TuoteID]],ohjaus!$A$4:$B$20,2,FALSE)</f>
        <v>Pianotuoli</v>
      </c>
    </row>
    <row r="5458" spans="1:8" x14ac:dyDescent="0.35">
      <c r="A5458" t="s">
        <v>37</v>
      </c>
      <c r="B5458">
        <v>2018</v>
      </c>
      <c r="C5458">
        <v>9</v>
      </c>
      <c r="D5458">
        <v>24326</v>
      </c>
      <c r="E5458">
        <v>92</v>
      </c>
      <c r="F5458">
        <v>14170.98</v>
      </c>
      <c r="G5458">
        <v>4478.72</v>
      </c>
      <c r="H5458" t="str">
        <f>VLOOKUP(myynnit[[#This Row],[TuoteID]],ohjaus!$A$4:$B$20,2,FALSE)</f>
        <v>Lepotuoli</v>
      </c>
    </row>
    <row r="5459" spans="1:8" x14ac:dyDescent="0.35">
      <c r="A5459" t="s">
        <v>40</v>
      </c>
      <c r="B5459">
        <v>2018</v>
      </c>
      <c r="C5459">
        <v>9</v>
      </c>
      <c r="D5459">
        <v>12184</v>
      </c>
      <c r="E5459">
        <v>41</v>
      </c>
      <c r="F5459">
        <v>4843.1099999999997</v>
      </c>
      <c r="G5459">
        <v>2675.08</v>
      </c>
      <c r="H5459" t="str">
        <f>VLOOKUP(myynnit[[#This Row],[TuoteID]],ohjaus!$A$4:$B$20,2,FALSE)</f>
        <v>Rahi</v>
      </c>
    </row>
    <row r="5460" spans="1:8" x14ac:dyDescent="0.35">
      <c r="A5460" t="s">
        <v>40</v>
      </c>
      <c r="B5460">
        <v>2018</v>
      </c>
      <c r="C5460">
        <v>9</v>
      </c>
      <c r="D5460">
        <v>12622</v>
      </c>
      <c r="E5460">
        <v>13</v>
      </c>
      <c r="F5460">
        <v>3726.55</v>
      </c>
      <c r="G5460">
        <v>1527.55</v>
      </c>
      <c r="H5460" t="str">
        <f>VLOOKUP(myynnit[[#This Row],[TuoteID]],ohjaus!$A$4:$B$20,2,FALSE)</f>
        <v>Pianotuoli</v>
      </c>
    </row>
    <row r="5461" spans="1:8" x14ac:dyDescent="0.35">
      <c r="A5461" t="s">
        <v>40</v>
      </c>
      <c r="B5461">
        <v>2018</v>
      </c>
      <c r="C5461">
        <v>9</v>
      </c>
      <c r="D5461">
        <v>13527</v>
      </c>
      <c r="E5461">
        <v>368</v>
      </c>
      <c r="F5461">
        <v>62585.81</v>
      </c>
      <c r="G5461">
        <v>12603.65</v>
      </c>
      <c r="H5461" t="str">
        <f>VLOOKUP(myynnit[[#This Row],[TuoteID]],ohjaus!$A$4:$B$20,2,FALSE)</f>
        <v>Pinnatuoli</v>
      </c>
    </row>
    <row r="5462" spans="1:8" x14ac:dyDescent="0.35">
      <c r="A5462" t="s">
        <v>40</v>
      </c>
      <c r="B5462">
        <v>2018</v>
      </c>
      <c r="C5462">
        <v>9</v>
      </c>
      <c r="D5462">
        <v>13618</v>
      </c>
      <c r="E5462">
        <v>3</v>
      </c>
      <c r="F5462">
        <v>975.44</v>
      </c>
      <c r="G5462">
        <v>478.93</v>
      </c>
      <c r="H5462" t="str">
        <f>VLOOKUP(myynnit[[#This Row],[TuoteID]],ohjaus!$A$4:$B$20,2,FALSE)</f>
        <v>Pianotuoli</v>
      </c>
    </row>
    <row r="5463" spans="1:8" x14ac:dyDescent="0.35">
      <c r="A5463" t="s">
        <v>40</v>
      </c>
      <c r="B5463">
        <v>2018</v>
      </c>
      <c r="C5463">
        <v>9</v>
      </c>
      <c r="D5463">
        <v>16024</v>
      </c>
      <c r="E5463">
        <v>91</v>
      </c>
      <c r="F5463">
        <v>42526.01</v>
      </c>
      <c r="G5463">
        <v>13981.12</v>
      </c>
      <c r="H5463" t="str">
        <f>VLOOKUP(myynnit[[#This Row],[TuoteID]],ohjaus!$A$4:$B$20,2,FALSE)</f>
        <v>Työtuoli</v>
      </c>
    </row>
    <row r="5464" spans="1:8" x14ac:dyDescent="0.35">
      <c r="A5464" t="s">
        <v>40</v>
      </c>
      <c r="B5464">
        <v>2018</v>
      </c>
      <c r="C5464">
        <v>9</v>
      </c>
      <c r="D5464">
        <v>16650</v>
      </c>
      <c r="E5464">
        <v>15</v>
      </c>
      <c r="F5464">
        <v>2730.86</v>
      </c>
      <c r="G5464">
        <v>1593.47</v>
      </c>
      <c r="H5464" t="str">
        <f>VLOOKUP(myynnit[[#This Row],[TuoteID]],ohjaus!$A$4:$B$20,2,FALSE)</f>
        <v>Rahi</v>
      </c>
    </row>
    <row r="5465" spans="1:8" x14ac:dyDescent="0.35">
      <c r="A5465" t="s">
        <v>40</v>
      </c>
      <c r="B5465">
        <v>2018</v>
      </c>
      <c r="C5465">
        <v>9</v>
      </c>
      <c r="D5465">
        <v>17892</v>
      </c>
      <c r="E5465">
        <v>99</v>
      </c>
      <c r="F5465">
        <v>12644.48</v>
      </c>
      <c r="G5465">
        <v>3476.94</v>
      </c>
      <c r="H5465" t="str">
        <f>VLOOKUP(myynnit[[#This Row],[TuoteID]],ohjaus!$A$4:$B$20,2,FALSE)</f>
        <v>Lepotuoli</v>
      </c>
    </row>
    <row r="5466" spans="1:8" x14ac:dyDescent="0.35">
      <c r="A5466" t="s">
        <v>40</v>
      </c>
      <c r="B5466">
        <v>2018</v>
      </c>
      <c r="C5466">
        <v>9</v>
      </c>
      <c r="D5466">
        <v>18342</v>
      </c>
      <c r="E5466">
        <v>11</v>
      </c>
      <c r="F5466">
        <v>10115.4</v>
      </c>
      <c r="G5466">
        <v>2897.61</v>
      </c>
      <c r="H5466" t="str">
        <f>VLOOKUP(myynnit[[#This Row],[TuoteID]],ohjaus!$A$4:$B$20,2,FALSE)</f>
        <v>Työtuoli</v>
      </c>
    </row>
    <row r="5467" spans="1:8" x14ac:dyDescent="0.35">
      <c r="A5467" t="s">
        <v>40</v>
      </c>
      <c r="B5467">
        <v>2018</v>
      </c>
      <c r="C5467">
        <v>9</v>
      </c>
      <c r="D5467">
        <v>20177</v>
      </c>
      <c r="E5467">
        <v>31</v>
      </c>
      <c r="F5467">
        <v>2954.23</v>
      </c>
      <c r="G5467">
        <v>1244.75</v>
      </c>
      <c r="H5467" t="str">
        <f>VLOOKUP(myynnit[[#This Row],[TuoteID]],ohjaus!$A$4:$B$20,2,FALSE)</f>
        <v>Säkkituoli</v>
      </c>
    </row>
    <row r="5468" spans="1:8" x14ac:dyDescent="0.35">
      <c r="A5468" t="s">
        <v>40</v>
      </c>
      <c r="B5468">
        <v>2018</v>
      </c>
      <c r="C5468">
        <v>9</v>
      </c>
      <c r="D5468">
        <v>21179</v>
      </c>
      <c r="E5468">
        <v>33</v>
      </c>
      <c r="F5468">
        <v>4614.92</v>
      </c>
      <c r="G5468">
        <v>2416.8000000000002</v>
      </c>
      <c r="H5468" t="str">
        <f>VLOOKUP(myynnit[[#This Row],[TuoteID]],ohjaus!$A$4:$B$20,2,FALSE)</f>
        <v>Rahi</v>
      </c>
    </row>
    <row r="5469" spans="1:8" x14ac:dyDescent="0.35">
      <c r="A5469" t="s">
        <v>40</v>
      </c>
      <c r="B5469">
        <v>2018</v>
      </c>
      <c r="C5469">
        <v>9</v>
      </c>
      <c r="D5469">
        <v>21260</v>
      </c>
      <c r="E5469">
        <v>61</v>
      </c>
      <c r="F5469">
        <v>10666</v>
      </c>
      <c r="G5469">
        <v>2404.36</v>
      </c>
      <c r="H5469" t="str">
        <f>VLOOKUP(myynnit[[#This Row],[TuoteID]],ohjaus!$A$4:$B$20,2,FALSE)</f>
        <v>Lepotuoli</v>
      </c>
    </row>
    <row r="5470" spans="1:8" x14ac:dyDescent="0.35">
      <c r="A5470" t="s">
        <v>40</v>
      </c>
      <c r="B5470">
        <v>2018</v>
      </c>
      <c r="C5470">
        <v>9</v>
      </c>
      <c r="D5470">
        <v>22317</v>
      </c>
      <c r="E5470">
        <v>19</v>
      </c>
      <c r="F5470">
        <v>1929.41</v>
      </c>
      <c r="G5470">
        <v>829.6</v>
      </c>
      <c r="H5470" t="str">
        <f>VLOOKUP(myynnit[[#This Row],[TuoteID]],ohjaus!$A$4:$B$20,2,FALSE)</f>
        <v>Säkkituoli</v>
      </c>
    </row>
    <row r="5471" spans="1:8" x14ac:dyDescent="0.35">
      <c r="A5471" t="s">
        <v>40</v>
      </c>
      <c r="B5471">
        <v>2018</v>
      </c>
      <c r="C5471">
        <v>9</v>
      </c>
      <c r="D5471">
        <v>22940</v>
      </c>
      <c r="E5471">
        <v>98</v>
      </c>
      <c r="F5471">
        <v>13128.05</v>
      </c>
      <c r="G5471">
        <v>3300.23</v>
      </c>
      <c r="H5471" t="str">
        <f>VLOOKUP(myynnit[[#This Row],[TuoteID]],ohjaus!$A$4:$B$20,2,FALSE)</f>
        <v>Pinnatuoli</v>
      </c>
    </row>
    <row r="5472" spans="1:8" x14ac:dyDescent="0.35">
      <c r="A5472" t="s">
        <v>40</v>
      </c>
      <c r="B5472">
        <v>2018</v>
      </c>
      <c r="C5472">
        <v>9</v>
      </c>
      <c r="D5472">
        <v>23178</v>
      </c>
      <c r="E5472">
        <v>351</v>
      </c>
      <c r="F5472">
        <v>66014.7</v>
      </c>
      <c r="G5472">
        <v>19765.810000000001</v>
      </c>
      <c r="H5472" t="str">
        <f>VLOOKUP(myynnit[[#This Row],[TuoteID]],ohjaus!$A$4:$B$20,2,FALSE)</f>
        <v>Pinnatuoli</v>
      </c>
    </row>
    <row r="5473" spans="1:8" x14ac:dyDescent="0.35">
      <c r="A5473" t="s">
        <v>40</v>
      </c>
      <c r="B5473">
        <v>2018</v>
      </c>
      <c r="C5473">
        <v>9</v>
      </c>
      <c r="D5473">
        <v>23600</v>
      </c>
      <c r="E5473">
        <v>762</v>
      </c>
      <c r="F5473">
        <v>93043.48</v>
      </c>
      <c r="G5473">
        <v>28655.42</v>
      </c>
      <c r="H5473" t="str">
        <f>VLOOKUP(myynnit[[#This Row],[TuoteID]],ohjaus!$A$4:$B$20,2,FALSE)</f>
        <v>Pinnatuoli</v>
      </c>
    </row>
    <row r="5474" spans="1:8" x14ac:dyDescent="0.35">
      <c r="A5474" t="s">
        <v>40</v>
      </c>
      <c r="B5474">
        <v>2018</v>
      </c>
      <c r="C5474">
        <v>9</v>
      </c>
      <c r="D5474">
        <v>23756</v>
      </c>
      <c r="E5474">
        <v>98</v>
      </c>
      <c r="F5474">
        <v>16665.439999999999</v>
      </c>
      <c r="G5474">
        <v>6423.91</v>
      </c>
      <c r="H5474" t="str">
        <f>VLOOKUP(myynnit[[#This Row],[TuoteID]],ohjaus!$A$4:$B$20,2,FALSE)</f>
        <v>Pianotuoli</v>
      </c>
    </row>
    <row r="5475" spans="1:8" x14ac:dyDescent="0.35">
      <c r="A5475" t="s">
        <v>40</v>
      </c>
      <c r="B5475">
        <v>2018</v>
      </c>
      <c r="C5475">
        <v>9</v>
      </c>
      <c r="D5475">
        <v>24326</v>
      </c>
      <c r="E5475">
        <v>18</v>
      </c>
      <c r="F5475">
        <v>2378.13</v>
      </c>
      <c r="G5475">
        <v>782.31</v>
      </c>
      <c r="H5475" t="str">
        <f>VLOOKUP(myynnit[[#This Row],[TuoteID]],ohjaus!$A$4:$B$20,2,FALSE)</f>
        <v>Lepotuoli</v>
      </c>
    </row>
    <row r="5476" spans="1:8" x14ac:dyDescent="0.35">
      <c r="A5476" t="s">
        <v>39</v>
      </c>
      <c r="B5476">
        <v>2018</v>
      </c>
      <c r="C5476">
        <v>9</v>
      </c>
      <c r="D5476">
        <v>12184</v>
      </c>
      <c r="E5476">
        <v>90</v>
      </c>
      <c r="F5476">
        <v>10817.7</v>
      </c>
      <c r="G5476">
        <v>7013.02</v>
      </c>
      <c r="H5476" t="str">
        <f>VLOOKUP(myynnit[[#This Row],[TuoteID]],ohjaus!$A$4:$B$20,2,FALSE)</f>
        <v>Rahi</v>
      </c>
    </row>
    <row r="5477" spans="1:8" x14ac:dyDescent="0.35">
      <c r="A5477" t="s">
        <v>39</v>
      </c>
      <c r="B5477">
        <v>2018</v>
      </c>
      <c r="C5477">
        <v>9</v>
      </c>
      <c r="D5477">
        <v>12622</v>
      </c>
      <c r="E5477">
        <v>37</v>
      </c>
      <c r="F5477">
        <v>11719.02</v>
      </c>
      <c r="G5477">
        <v>6581.31</v>
      </c>
      <c r="H5477" t="str">
        <f>VLOOKUP(myynnit[[#This Row],[TuoteID]],ohjaus!$A$4:$B$20,2,FALSE)</f>
        <v>Pianotuoli</v>
      </c>
    </row>
    <row r="5478" spans="1:8" x14ac:dyDescent="0.35">
      <c r="A5478" t="s">
        <v>39</v>
      </c>
      <c r="B5478">
        <v>2018</v>
      </c>
      <c r="C5478">
        <v>9</v>
      </c>
      <c r="D5478">
        <v>13527</v>
      </c>
      <c r="E5478">
        <v>335</v>
      </c>
      <c r="F5478">
        <v>49436.88</v>
      </c>
      <c r="G5478">
        <v>14217.6</v>
      </c>
      <c r="H5478" t="str">
        <f>VLOOKUP(myynnit[[#This Row],[TuoteID]],ohjaus!$A$4:$B$20,2,FALSE)</f>
        <v>Pinnatuoli</v>
      </c>
    </row>
    <row r="5479" spans="1:8" x14ac:dyDescent="0.35">
      <c r="A5479" t="s">
        <v>39</v>
      </c>
      <c r="B5479">
        <v>2018</v>
      </c>
      <c r="C5479">
        <v>9</v>
      </c>
      <c r="D5479">
        <v>13618</v>
      </c>
      <c r="E5479">
        <v>21</v>
      </c>
      <c r="F5479">
        <v>7888.79</v>
      </c>
      <c r="G5479">
        <v>5056.88</v>
      </c>
      <c r="H5479" t="str">
        <f>VLOOKUP(myynnit[[#This Row],[TuoteID]],ohjaus!$A$4:$B$20,2,FALSE)</f>
        <v>Pianotuoli</v>
      </c>
    </row>
    <row r="5480" spans="1:8" x14ac:dyDescent="0.35">
      <c r="A5480" t="s">
        <v>39</v>
      </c>
      <c r="B5480">
        <v>2018</v>
      </c>
      <c r="C5480">
        <v>9</v>
      </c>
      <c r="D5480">
        <v>16024</v>
      </c>
      <c r="E5480">
        <v>261</v>
      </c>
      <c r="F5480">
        <v>124155.1</v>
      </c>
      <c r="G5480">
        <v>32208.28</v>
      </c>
      <c r="H5480" t="str">
        <f>VLOOKUP(myynnit[[#This Row],[TuoteID]],ohjaus!$A$4:$B$20,2,FALSE)</f>
        <v>Työtuoli</v>
      </c>
    </row>
    <row r="5481" spans="1:8" x14ac:dyDescent="0.35">
      <c r="A5481" t="s">
        <v>39</v>
      </c>
      <c r="B5481">
        <v>2018</v>
      </c>
      <c r="C5481">
        <v>9</v>
      </c>
      <c r="D5481">
        <v>16650</v>
      </c>
      <c r="E5481">
        <v>44</v>
      </c>
      <c r="F5481">
        <v>6734.19</v>
      </c>
      <c r="G5481">
        <v>5331.56</v>
      </c>
      <c r="H5481" t="str">
        <f>VLOOKUP(myynnit[[#This Row],[TuoteID]],ohjaus!$A$4:$B$20,2,FALSE)</f>
        <v>Rahi</v>
      </c>
    </row>
    <row r="5482" spans="1:8" x14ac:dyDescent="0.35">
      <c r="A5482" t="s">
        <v>39</v>
      </c>
      <c r="B5482">
        <v>2018</v>
      </c>
      <c r="C5482">
        <v>9</v>
      </c>
      <c r="D5482">
        <v>17892</v>
      </c>
      <c r="E5482">
        <v>77</v>
      </c>
      <c r="F5482">
        <v>10073.120000000001</v>
      </c>
      <c r="G5482">
        <v>3216.46</v>
      </c>
      <c r="H5482" t="str">
        <f>VLOOKUP(myynnit[[#This Row],[TuoteID]],ohjaus!$A$4:$B$20,2,FALSE)</f>
        <v>Lepotuoli</v>
      </c>
    </row>
    <row r="5483" spans="1:8" x14ac:dyDescent="0.35">
      <c r="A5483" t="s">
        <v>39</v>
      </c>
      <c r="B5483">
        <v>2018</v>
      </c>
      <c r="C5483">
        <v>9</v>
      </c>
      <c r="D5483">
        <v>18342</v>
      </c>
      <c r="E5483">
        <v>65</v>
      </c>
      <c r="F5483">
        <v>49322.68</v>
      </c>
      <c r="G5483">
        <v>15432.44</v>
      </c>
      <c r="H5483" t="str">
        <f>VLOOKUP(myynnit[[#This Row],[TuoteID]],ohjaus!$A$4:$B$20,2,FALSE)</f>
        <v>Työtuoli</v>
      </c>
    </row>
    <row r="5484" spans="1:8" x14ac:dyDescent="0.35">
      <c r="A5484" t="s">
        <v>39</v>
      </c>
      <c r="B5484">
        <v>2018</v>
      </c>
      <c r="C5484">
        <v>9</v>
      </c>
      <c r="D5484">
        <v>20177</v>
      </c>
      <c r="E5484">
        <v>86</v>
      </c>
      <c r="F5484">
        <v>9786.1299999999992</v>
      </c>
      <c r="G5484">
        <v>4204.45</v>
      </c>
      <c r="H5484" t="str">
        <f>VLOOKUP(myynnit[[#This Row],[TuoteID]],ohjaus!$A$4:$B$20,2,FALSE)</f>
        <v>Säkkituoli</v>
      </c>
    </row>
    <row r="5485" spans="1:8" x14ac:dyDescent="0.35">
      <c r="A5485" t="s">
        <v>39</v>
      </c>
      <c r="B5485">
        <v>2018</v>
      </c>
      <c r="C5485">
        <v>9</v>
      </c>
      <c r="D5485">
        <v>21179</v>
      </c>
      <c r="E5485">
        <v>40</v>
      </c>
      <c r="F5485">
        <v>4569.68</v>
      </c>
      <c r="G5485">
        <v>3603.32</v>
      </c>
      <c r="H5485" t="str">
        <f>VLOOKUP(myynnit[[#This Row],[TuoteID]],ohjaus!$A$4:$B$20,2,FALSE)</f>
        <v>Rahi</v>
      </c>
    </row>
    <row r="5486" spans="1:8" x14ac:dyDescent="0.35">
      <c r="A5486" t="s">
        <v>39</v>
      </c>
      <c r="B5486">
        <v>2018</v>
      </c>
      <c r="C5486">
        <v>9</v>
      </c>
      <c r="D5486">
        <v>21260</v>
      </c>
      <c r="E5486">
        <v>37</v>
      </c>
      <c r="F5486">
        <v>8085.85</v>
      </c>
      <c r="G5486">
        <v>2574.25</v>
      </c>
      <c r="H5486" t="str">
        <f>VLOOKUP(myynnit[[#This Row],[TuoteID]],ohjaus!$A$4:$B$20,2,FALSE)</f>
        <v>Lepotuoli</v>
      </c>
    </row>
    <row r="5487" spans="1:8" x14ac:dyDescent="0.35">
      <c r="A5487" t="s">
        <v>39</v>
      </c>
      <c r="B5487">
        <v>2018</v>
      </c>
      <c r="C5487">
        <v>9</v>
      </c>
      <c r="D5487">
        <v>22317</v>
      </c>
      <c r="E5487">
        <v>34</v>
      </c>
      <c r="F5487">
        <v>3426.38</v>
      </c>
      <c r="G5487">
        <v>1784.13</v>
      </c>
      <c r="H5487" t="str">
        <f>VLOOKUP(myynnit[[#This Row],[TuoteID]],ohjaus!$A$4:$B$20,2,FALSE)</f>
        <v>Säkkituoli</v>
      </c>
    </row>
    <row r="5488" spans="1:8" x14ac:dyDescent="0.35">
      <c r="A5488" t="s">
        <v>39</v>
      </c>
      <c r="B5488">
        <v>2018</v>
      </c>
      <c r="C5488">
        <v>9</v>
      </c>
      <c r="D5488">
        <v>22940</v>
      </c>
      <c r="E5488">
        <v>652</v>
      </c>
      <c r="F5488">
        <v>76543.509999999995</v>
      </c>
      <c r="G5488">
        <v>18995.04</v>
      </c>
      <c r="H5488" t="str">
        <f>VLOOKUP(myynnit[[#This Row],[TuoteID]],ohjaus!$A$4:$B$20,2,FALSE)</f>
        <v>Pinnatuoli</v>
      </c>
    </row>
    <row r="5489" spans="1:8" x14ac:dyDescent="0.35">
      <c r="A5489" t="s">
        <v>39</v>
      </c>
      <c r="B5489">
        <v>2018</v>
      </c>
      <c r="C5489">
        <v>9</v>
      </c>
      <c r="D5489">
        <v>23178</v>
      </c>
      <c r="E5489">
        <v>228</v>
      </c>
      <c r="F5489">
        <v>39735.519999999997</v>
      </c>
      <c r="G5489">
        <v>9851.9</v>
      </c>
      <c r="H5489" t="str">
        <f>VLOOKUP(myynnit[[#This Row],[TuoteID]],ohjaus!$A$4:$B$20,2,FALSE)</f>
        <v>Pinnatuoli</v>
      </c>
    </row>
    <row r="5490" spans="1:8" x14ac:dyDescent="0.35">
      <c r="A5490" t="s">
        <v>39</v>
      </c>
      <c r="B5490">
        <v>2018</v>
      </c>
      <c r="C5490">
        <v>9</v>
      </c>
      <c r="D5490">
        <v>23600</v>
      </c>
      <c r="E5490">
        <v>1125</v>
      </c>
      <c r="F5490">
        <v>118942.17</v>
      </c>
      <c r="G5490">
        <v>30816.66</v>
      </c>
      <c r="H5490" t="str">
        <f>VLOOKUP(myynnit[[#This Row],[TuoteID]],ohjaus!$A$4:$B$20,2,FALSE)</f>
        <v>Pinnatuoli</v>
      </c>
    </row>
    <row r="5491" spans="1:8" x14ac:dyDescent="0.35">
      <c r="A5491" t="s">
        <v>39</v>
      </c>
      <c r="B5491">
        <v>2018</v>
      </c>
      <c r="C5491">
        <v>9</v>
      </c>
      <c r="D5491">
        <v>23756</v>
      </c>
      <c r="E5491">
        <v>81</v>
      </c>
      <c r="F5491">
        <v>18277.87</v>
      </c>
      <c r="G5491">
        <v>10483.43</v>
      </c>
      <c r="H5491" t="str">
        <f>VLOOKUP(myynnit[[#This Row],[TuoteID]],ohjaus!$A$4:$B$20,2,FALSE)</f>
        <v>Pianotuoli</v>
      </c>
    </row>
    <row r="5492" spans="1:8" x14ac:dyDescent="0.35">
      <c r="A5492" t="s">
        <v>39</v>
      </c>
      <c r="B5492">
        <v>2018</v>
      </c>
      <c r="C5492">
        <v>9</v>
      </c>
      <c r="D5492">
        <v>24326</v>
      </c>
      <c r="E5492">
        <v>137</v>
      </c>
      <c r="F5492">
        <v>19959.349999999999</v>
      </c>
      <c r="G5492">
        <v>5476.69</v>
      </c>
      <c r="H5492" t="str">
        <f>VLOOKUP(myynnit[[#This Row],[TuoteID]],ohjaus!$A$4:$B$20,2,FALSE)</f>
        <v>Lepotuoli</v>
      </c>
    </row>
    <row r="5493" spans="1:8" x14ac:dyDescent="0.35">
      <c r="A5493" t="s">
        <v>38</v>
      </c>
      <c r="B5493">
        <v>2018</v>
      </c>
      <c r="C5493">
        <v>9</v>
      </c>
      <c r="D5493">
        <v>12184</v>
      </c>
      <c r="E5493">
        <v>68</v>
      </c>
      <c r="F5493">
        <v>10099.6</v>
      </c>
      <c r="G5493">
        <v>4919.21</v>
      </c>
      <c r="H5493" t="str">
        <f>VLOOKUP(myynnit[[#This Row],[TuoteID]],ohjaus!$A$4:$B$20,2,FALSE)</f>
        <v>Rahi</v>
      </c>
    </row>
    <row r="5494" spans="1:8" x14ac:dyDescent="0.35">
      <c r="A5494" t="s">
        <v>38</v>
      </c>
      <c r="B5494">
        <v>2018</v>
      </c>
      <c r="C5494">
        <v>9</v>
      </c>
      <c r="D5494">
        <v>12622</v>
      </c>
      <c r="E5494">
        <v>42</v>
      </c>
      <c r="F5494">
        <v>10918.56</v>
      </c>
      <c r="G5494">
        <v>5438.61</v>
      </c>
      <c r="H5494" t="str">
        <f>VLOOKUP(myynnit[[#This Row],[TuoteID]],ohjaus!$A$4:$B$20,2,FALSE)</f>
        <v>Pianotuoli</v>
      </c>
    </row>
    <row r="5495" spans="1:8" x14ac:dyDescent="0.35">
      <c r="A5495" t="s">
        <v>38</v>
      </c>
      <c r="B5495">
        <v>2018</v>
      </c>
      <c r="C5495">
        <v>9</v>
      </c>
      <c r="D5495">
        <v>13527</v>
      </c>
      <c r="E5495">
        <v>242</v>
      </c>
      <c r="F5495">
        <v>37992.730000000003</v>
      </c>
      <c r="G5495">
        <v>8144.13</v>
      </c>
      <c r="H5495" t="str">
        <f>VLOOKUP(myynnit[[#This Row],[TuoteID]],ohjaus!$A$4:$B$20,2,FALSE)</f>
        <v>Pinnatuoli</v>
      </c>
    </row>
    <row r="5496" spans="1:8" x14ac:dyDescent="0.35">
      <c r="A5496" t="s">
        <v>38</v>
      </c>
      <c r="B5496">
        <v>2018</v>
      </c>
      <c r="C5496">
        <v>9</v>
      </c>
      <c r="D5496">
        <v>13618</v>
      </c>
      <c r="E5496">
        <v>14</v>
      </c>
      <c r="F5496">
        <v>6124.49</v>
      </c>
      <c r="G5496">
        <v>2859.93</v>
      </c>
      <c r="H5496" t="str">
        <f>VLOOKUP(myynnit[[#This Row],[TuoteID]],ohjaus!$A$4:$B$20,2,FALSE)</f>
        <v>Pianotuoli</v>
      </c>
    </row>
    <row r="5497" spans="1:8" x14ac:dyDescent="0.35">
      <c r="A5497" t="s">
        <v>38</v>
      </c>
      <c r="B5497">
        <v>2018</v>
      </c>
      <c r="C5497">
        <v>9</v>
      </c>
      <c r="D5497">
        <v>16024</v>
      </c>
      <c r="E5497">
        <v>200</v>
      </c>
      <c r="F5497">
        <v>78627.33</v>
      </c>
      <c r="G5497">
        <v>17001.52</v>
      </c>
      <c r="H5497" t="str">
        <f>VLOOKUP(myynnit[[#This Row],[TuoteID]],ohjaus!$A$4:$B$20,2,FALSE)</f>
        <v>Työtuoli</v>
      </c>
    </row>
    <row r="5498" spans="1:8" x14ac:dyDescent="0.35">
      <c r="A5498" t="s">
        <v>38</v>
      </c>
      <c r="B5498">
        <v>2018</v>
      </c>
      <c r="C5498">
        <v>9</v>
      </c>
      <c r="D5498">
        <v>16650</v>
      </c>
      <c r="E5498">
        <v>55</v>
      </c>
      <c r="F5498">
        <v>7629.42</v>
      </c>
      <c r="G5498">
        <v>4139.58</v>
      </c>
      <c r="H5498" t="str">
        <f>VLOOKUP(myynnit[[#This Row],[TuoteID]],ohjaus!$A$4:$B$20,2,FALSE)</f>
        <v>Rahi</v>
      </c>
    </row>
    <row r="5499" spans="1:8" x14ac:dyDescent="0.35">
      <c r="A5499" t="s">
        <v>38</v>
      </c>
      <c r="B5499">
        <v>2018</v>
      </c>
      <c r="C5499">
        <v>9</v>
      </c>
      <c r="D5499">
        <v>17892</v>
      </c>
      <c r="E5499">
        <v>106</v>
      </c>
      <c r="F5499">
        <v>13371.14</v>
      </c>
      <c r="G5499">
        <v>3580.57</v>
      </c>
      <c r="H5499" t="str">
        <f>VLOOKUP(myynnit[[#This Row],[TuoteID]],ohjaus!$A$4:$B$20,2,FALSE)</f>
        <v>Lepotuoli</v>
      </c>
    </row>
    <row r="5500" spans="1:8" x14ac:dyDescent="0.35">
      <c r="A5500" t="s">
        <v>38</v>
      </c>
      <c r="B5500">
        <v>2018</v>
      </c>
      <c r="C5500">
        <v>9</v>
      </c>
      <c r="D5500">
        <v>18342</v>
      </c>
      <c r="E5500">
        <v>178</v>
      </c>
      <c r="F5500">
        <v>136947.74</v>
      </c>
      <c r="G5500">
        <v>31495.39</v>
      </c>
      <c r="H5500" t="str">
        <f>VLOOKUP(myynnit[[#This Row],[TuoteID]],ohjaus!$A$4:$B$20,2,FALSE)</f>
        <v>Työtuoli</v>
      </c>
    </row>
    <row r="5501" spans="1:8" x14ac:dyDescent="0.35">
      <c r="A5501" t="s">
        <v>38</v>
      </c>
      <c r="B5501">
        <v>2018</v>
      </c>
      <c r="C5501">
        <v>9</v>
      </c>
      <c r="D5501">
        <v>20177</v>
      </c>
      <c r="E5501">
        <v>89</v>
      </c>
      <c r="F5501">
        <v>9940.73</v>
      </c>
      <c r="G5501">
        <v>3205.23</v>
      </c>
      <c r="H5501" t="str">
        <f>VLOOKUP(myynnit[[#This Row],[TuoteID]],ohjaus!$A$4:$B$20,2,FALSE)</f>
        <v>Säkkituoli</v>
      </c>
    </row>
    <row r="5502" spans="1:8" x14ac:dyDescent="0.35">
      <c r="A5502" t="s">
        <v>38</v>
      </c>
      <c r="B5502">
        <v>2018</v>
      </c>
      <c r="C5502">
        <v>9</v>
      </c>
      <c r="D5502">
        <v>21179</v>
      </c>
      <c r="E5502">
        <v>34</v>
      </c>
      <c r="F5502">
        <v>5178.95</v>
      </c>
      <c r="G5502">
        <v>2605.62</v>
      </c>
      <c r="H5502" t="str">
        <f>VLOOKUP(myynnit[[#This Row],[TuoteID]],ohjaus!$A$4:$B$20,2,FALSE)</f>
        <v>Rahi</v>
      </c>
    </row>
    <row r="5503" spans="1:8" x14ac:dyDescent="0.35">
      <c r="A5503" t="s">
        <v>38</v>
      </c>
      <c r="B5503">
        <v>2018</v>
      </c>
      <c r="C5503">
        <v>9</v>
      </c>
      <c r="D5503">
        <v>21260</v>
      </c>
      <c r="E5503">
        <v>85</v>
      </c>
      <c r="F5503">
        <v>16762.41</v>
      </c>
      <c r="G5503">
        <v>4384.26</v>
      </c>
      <c r="H5503" t="str">
        <f>VLOOKUP(myynnit[[#This Row],[TuoteID]],ohjaus!$A$4:$B$20,2,FALSE)</f>
        <v>Lepotuoli</v>
      </c>
    </row>
    <row r="5504" spans="1:8" x14ac:dyDescent="0.35">
      <c r="A5504" t="s">
        <v>38</v>
      </c>
      <c r="B5504">
        <v>2018</v>
      </c>
      <c r="C5504">
        <v>9</v>
      </c>
      <c r="D5504">
        <v>22317</v>
      </c>
      <c r="E5504">
        <v>79</v>
      </c>
      <c r="F5504">
        <v>6326.87</v>
      </c>
      <c r="G5504">
        <v>2667.01</v>
      </c>
      <c r="H5504" t="str">
        <f>VLOOKUP(myynnit[[#This Row],[TuoteID]],ohjaus!$A$4:$B$20,2,FALSE)</f>
        <v>Säkkituoli</v>
      </c>
    </row>
    <row r="5505" spans="1:8" x14ac:dyDescent="0.35">
      <c r="A5505" t="s">
        <v>38</v>
      </c>
      <c r="B5505">
        <v>2018</v>
      </c>
      <c r="C5505">
        <v>9</v>
      </c>
      <c r="D5505">
        <v>22940</v>
      </c>
      <c r="E5505">
        <v>565</v>
      </c>
      <c r="F5505">
        <v>72294.45</v>
      </c>
      <c r="G5505">
        <v>15008.39</v>
      </c>
      <c r="H5505" t="str">
        <f>VLOOKUP(myynnit[[#This Row],[TuoteID]],ohjaus!$A$4:$B$20,2,FALSE)</f>
        <v>Pinnatuoli</v>
      </c>
    </row>
    <row r="5506" spans="1:8" x14ac:dyDescent="0.35">
      <c r="A5506" t="s">
        <v>38</v>
      </c>
      <c r="B5506">
        <v>2018</v>
      </c>
      <c r="C5506">
        <v>9</v>
      </c>
      <c r="D5506">
        <v>23178</v>
      </c>
      <c r="E5506">
        <v>306</v>
      </c>
      <c r="F5506">
        <v>56638.94</v>
      </c>
      <c r="G5506">
        <v>10179.129999999999</v>
      </c>
      <c r="H5506" t="str">
        <f>VLOOKUP(myynnit[[#This Row],[TuoteID]],ohjaus!$A$4:$B$20,2,FALSE)</f>
        <v>Pinnatuoli</v>
      </c>
    </row>
    <row r="5507" spans="1:8" x14ac:dyDescent="0.35">
      <c r="A5507" t="s">
        <v>38</v>
      </c>
      <c r="B5507">
        <v>2018</v>
      </c>
      <c r="C5507">
        <v>9</v>
      </c>
      <c r="D5507">
        <v>23600</v>
      </c>
      <c r="E5507">
        <v>1313</v>
      </c>
      <c r="F5507">
        <v>131625.29999999999</v>
      </c>
      <c r="G5507">
        <v>26680.94</v>
      </c>
      <c r="H5507" t="str">
        <f>VLOOKUP(myynnit[[#This Row],[TuoteID]],ohjaus!$A$4:$B$20,2,FALSE)</f>
        <v>Pinnatuoli</v>
      </c>
    </row>
    <row r="5508" spans="1:8" x14ac:dyDescent="0.35">
      <c r="A5508" t="s">
        <v>38</v>
      </c>
      <c r="B5508">
        <v>2018</v>
      </c>
      <c r="C5508">
        <v>9</v>
      </c>
      <c r="D5508">
        <v>23756</v>
      </c>
      <c r="E5508">
        <v>143</v>
      </c>
      <c r="F5508">
        <v>28386.26</v>
      </c>
      <c r="G5508">
        <v>12094.68</v>
      </c>
      <c r="H5508" t="str">
        <f>VLOOKUP(myynnit[[#This Row],[TuoteID]],ohjaus!$A$4:$B$20,2,FALSE)</f>
        <v>Pianotuoli</v>
      </c>
    </row>
    <row r="5509" spans="1:8" x14ac:dyDescent="0.35">
      <c r="A5509" t="s">
        <v>38</v>
      </c>
      <c r="B5509">
        <v>2018</v>
      </c>
      <c r="C5509">
        <v>9</v>
      </c>
      <c r="D5509">
        <v>24326</v>
      </c>
      <c r="E5509">
        <v>119</v>
      </c>
      <c r="F5509">
        <v>15996.4</v>
      </c>
      <c r="G5509">
        <v>3801.92</v>
      </c>
      <c r="H5509" t="str">
        <f>VLOOKUP(myynnit[[#This Row],[TuoteID]],ohjaus!$A$4:$B$20,2,FALSE)</f>
        <v>Lepotuoli</v>
      </c>
    </row>
    <row r="5510" spans="1:8" x14ac:dyDescent="0.35">
      <c r="A5510" t="s">
        <v>37</v>
      </c>
      <c r="B5510">
        <v>2018</v>
      </c>
      <c r="C5510">
        <v>10</v>
      </c>
      <c r="D5510">
        <v>12184</v>
      </c>
      <c r="E5510">
        <v>86</v>
      </c>
      <c r="F5510">
        <v>12018.13</v>
      </c>
      <c r="G5510">
        <v>6183.84</v>
      </c>
      <c r="H5510" t="str">
        <f>VLOOKUP(myynnit[[#This Row],[TuoteID]],ohjaus!$A$4:$B$20,2,FALSE)</f>
        <v>Rahi</v>
      </c>
    </row>
    <row r="5511" spans="1:8" x14ac:dyDescent="0.35">
      <c r="A5511" t="s">
        <v>37</v>
      </c>
      <c r="B5511">
        <v>2018</v>
      </c>
      <c r="C5511">
        <v>10</v>
      </c>
      <c r="D5511">
        <v>12622</v>
      </c>
      <c r="E5511">
        <v>81</v>
      </c>
      <c r="F5511">
        <v>22732.55</v>
      </c>
      <c r="G5511">
        <v>9124.51</v>
      </c>
      <c r="H5511" t="str">
        <f>VLOOKUP(myynnit[[#This Row],[TuoteID]],ohjaus!$A$4:$B$20,2,FALSE)</f>
        <v>Pianotuoli</v>
      </c>
    </row>
    <row r="5512" spans="1:8" x14ac:dyDescent="0.35">
      <c r="A5512" t="s">
        <v>37</v>
      </c>
      <c r="B5512">
        <v>2018</v>
      </c>
      <c r="C5512">
        <v>10</v>
      </c>
      <c r="D5512">
        <v>13527</v>
      </c>
      <c r="E5512">
        <v>604</v>
      </c>
      <c r="F5512">
        <v>104362.74</v>
      </c>
      <c r="G5512">
        <v>20438.18</v>
      </c>
      <c r="H5512" t="str">
        <f>VLOOKUP(myynnit[[#This Row],[TuoteID]],ohjaus!$A$4:$B$20,2,FALSE)</f>
        <v>Pinnatuoli</v>
      </c>
    </row>
    <row r="5513" spans="1:8" x14ac:dyDescent="0.35">
      <c r="A5513" t="s">
        <v>37</v>
      </c>
      <c r="B5513">
        <v>2018</v>
      </c>
      <c r="C5513">
        <v>10</v>
      </c>
      <c r="D5513">
        <v>13618</v>
      </c>
      <c r="E5513">
        <v>31</v>
      </c>
      <c r="F5513">
        <v>10049.26</v>
      </c>
      <c r="G5513">
        <v>5025.79</v>
      </c>
      <c r="H5513" t="str">
        <f>VLOOKUP(myynnit[[#This Row],[TuoteID]],ohjaus!$A$4:$B$20,2,FALSE)</f>
        <v>Pianotuoli</v>
      </c>
    </row>
    <row r="5514" spans="1:8" x14ac:dyDescent="0.35">
      <c r="A5514" t="s">
        <v>37</v>
      </c>
      <c r="B5514">
        <v>2018</v>
      </c>
      <c r="C5514">
        <v>10</v>
      </c>
      <c r="D5514">
        <v>16024</v>
      </c>
      <c r="E5514">
        <v>194</v>
      </c>
      <c r="F5514">
        <v>90514.26</v>
      </c>
      <c r="G5514">
        <v>24201.74</v>
      </c>
      <c r="H5514" t="str">
        <f>VLOOKUP(myynnit[[#This Row],[TuoteID]],ohjaus!$A$4:$B$20,2,FALSE)</f>
        <v>Työtuoli</v>
      </c>
    </row>
    <row r="5515" spans="1:8" x14ac:dyDescent="0.35">
      <c r="A5515" t="s">
        <v>37</v>
      </c>
      <c r="B5515">
        <v>2018</v>
      </c>
      <c r="C5515">
        <v>10</v>
      </c>
      <c r="D5515">
        <v>16650</v>
      </c>
      <c r="E5515">
        <v>58</v>
      </c>
      <c r="F5515">
        <v>7176.78</v>
      </c>
      <c r="G5515">
        <v>3774.72</v>
      </c>
      <c r="H5515" t="str">
        <f>VLOOKUP(myynnit[[#This Row],[TuoteID]],ohjaus!$A$4:$B$20,2,FALSE)</f>
        <v>Rahi</v>
      </c>
    </row>
    <row r="5516" spans="1:8" x14ac:dyDescent="0.35">
      <c r="A5516" t="s">
        <v>37</v>
      </c>
      <c r="B5516">
        <v>2018</v>
      </c>
      <c r="C5516">
        <v>10</v>
      </c>
      <c r="D5516">
        <v>17892</v>
      </c>
      <c r="E5516">
        <v>67</v>
      </c>
      <c r="F5516">
        <v>8830.31</v>
      </c>
      <c r="G5516">
        <v>2595.08</v>
      </c>
      <c r="H5516" t="str">
        <f>VLOOKUP(myynnit[[#This Row],[TuoteID]],ohjaus!$A$4:$B$20,2,FALSE)</f>
        <v>Lepotuoli</v>
      </c>
    </row>
    <row r="5517" spans="1:8" x14ac:dyDescent="0.35">
      <c r="A5517" t="s">
        <v>37</v>
      </c>
      <c r="B5517">
        <v>2018</v>
      </c>
      <c r="C5517">
        <v>10</v>
      </c>
      <c r="D5517">
        <v>18342</v>
      </c>
      <c r="E5517">
        <v>258</v>
      </c>
      <c r="F5517">
        <v>233658.7</v>
      </c>
      <c r="G5517">
        <v>72777.899999999994</v>
      </c>
      <c r="H5517" t="str">
        <f>VLOOKUP(myynnit[[#This Row],[TuoteID]],ohjaus!$A$4:$B$20,2,FALSE)</f>
        <v>Työtuoli</v>
      </c>
    </row>
    <row r="5518" spans="1:8" x14ac:dyDescent="0.35">
      <c r="A5518" t="s">
        <v>37</v>
      </c>
      <c r="B5518">
        <v>2018</v>
      </c>
      <c r="C5518">
        <v>10</v>
      </c>
      <c r="D5518">
        <v>20177</v>
      </c>
      <c r="E5518">
        <v>159</v>
      </c>
      <c r="F5518">
        <v>17682.560000000001</v>
      </c>
      <c r="G5518">
        <v>7628.86</v>
      </c>
      <c r="H5518" t="str">
        <f>VLOOKUP(myynnit[[#This Row],[TuoteID]],ohjaus!$A$4:$B$20,2,FALSE)</f>
        <v>Säkkituoli</v>
      </c>
    </row>
    <row r="5519" spans="1:8" x14ac:dyDescent="0.35">
      <c r="A5519" t="s">
        <v>37</v>
      </c>
      <c r="B5519">
        <v>2018</v>
      </c>
      <c r="C5519">
        <v>10</v>
      </c>
      <c r="D5519">
        <v>21179</v>
      </c>
      <c r="E5519">
        <v>46</v>
      </c>
      <c r="F5519">
        <v>6582.05</v>
      </c>
      <c r="G5519">
        <v>3407.29</v>
      </c>
      <c r="H5519" t="str">
        <f>VLOOKUP(myynnit[[#This Row],[TuoteID]],ohjaus!$A$4:$B$20,2,FALSE)</f>
        <v>Rahi</v>
      </c>
    </row>
    <row r="5520" spans="1:8" x14ac:dyDescent="0.35">
      <c r="A5520" t="s">
        <v>37</v>
      </c>
      <c r="B5520">
        <v>2018</v>
      </c>
      <c r="C5520">
        <v>10</v>
      </c>
      <c r="D5520">
        <v>21260</v>
      </c>
      <c r="E5520">
        <v>41</v>
      </c>
      <c r="F5520">
        <v>8651.86</v>
      </c>
      <c r="G5520">
        <v>2110.16</v>
      </c>
      <c r="H5520" t="str">
        <f>VLOOKUP(myynnit[[#This Row],[TuoteID]],ohjaus!$A$4:$B$20,2,FALSE)</f>
        <v>Lepotuoli</v>
      </c>
    </row>
    <row r="5521" spans="1:8" x14ac:dyDescent="0.35">
      <c r="A5521" t="s">
        <v>37</v>
      </c>
      <c r="B5521">
        <v>2018</v>
      </c>
      <c r="C5521">
        <v>10</v>
      </c>
      <c r="D5521">
        <v>22317</v>
      </c>
      <c r="E5521">
        <v>76</v>
      </c>
      <c r="F5521">
        <v>7193.07</v>
      </c>
      <c r="G5521">
        <v>3048.32</v>
      </c>
      <c r="H5521" t="str">
        <f>VLOOKUP(myynnit[[#This Row],[TuoteID]],ohjaus!$A$4:$B$20,2,FALSE)</f>
        <v>Säkkituoli</v>
      </c>
    </row>
    <row r="5522" spans="1:8" x14ac:dyDescent="0.35">
      <c r="A5522" t="s">
        <v>37</v>
      </c>
      <c r="B5522">
        <v>2018</v>
      </c>
      <c r="C5522">
        <v>10</v>
      </c>
      <c r="D5522">
        <v>22940</v>
      </c>
      <c r="E5522">
        <v>346</v>
      </c>
      <c r="F5522">
        <v>41821.78</v>
      </c>
      <c r="G5522">
        <v>8947.4500000000007</v>
      </c>
      <c r="H5522" t="str">
        <f>VLOOKUP(myynnit[[#This Row],[TuoteID]],ohjaus!$A$4:$B$20,2,FALSE)</f>
        <v>Pinnatuoli</v>
      </c>
    </row>
    <row r="5523" spans="1:8" x14ac:dyDescent="0.35">
      <c r="A5523" t="s">
        <v>37</v>
      </c>
      <c r="B5523">
        <v>2018</v>
      </c>
      <c r="C5523">
        <v>10</v>
      </c>
      <c r="D5523">
        <v>23178</v>
      </c>
      <c r="E5523">
        <v>481</v>
      </c>
      <c r="F5523">
        <v>83056.03</v>
      </c>
      <c r="G5523">
        <v>15518.2</v>
      </c>
      <c r="H5523" t="str">
        <f>VLOOKUP(myynnit[[#This Row],[TuoteID]],ohjaus!$A$4:$B$20,2,FALSE)</f>
        <v>Pinnatuoli</v>
      </c>
    </row>
    <row r="5524" spans="1:8" x14ac:dyDescent="0.35">
      <c r="A5524" t="s">
        <v>37</v>
      </c>
      <c r="B5524">
        <v>2018</v>
      </c>
      <c r="C5524">
        <v>10</v>
      </c>
      <c r="D5524">
        <v>23600</v>
      </c>
      <c r="E5524">
        <v>896</v>
      </c>
      <c r="F5524">
        <v>98142.58</v>
      </c>
      <c r="G5524">
        <v>24661.119999999999</v>
      </c>
      <c r="H5524" t="str">
        <f>VLOOKUP(myynnit[[#This Row],[TuoteID]],ohjaus!$A$4:$B$20,2,FALSE)</f>
        <v>Pinnatuoli</v>
      </c>
    </row>
    <row r="5525" spans="1:8" x14ac:dyDescent="0.35">
      <c r="A5525" t="s">
        <v>37</v>
      </c>
      <c r="B5525">
        <v>2018</v>
      </c>
      <c r="C5525">
        <v>10</v>
      </c>
      <c r="D5525">
        <v>23756</v>
      </c>
      <c r="E5525">
        <v>95</v>
      </c>
      <c r="F5525">
        <v>15788.96</v>
      </c>
      <c r="G5525">
        <v>7299.62</v>
      </c>
      <c r="H5525" t="str">
        <f>VLOOKUP(myynnit[[#This Row],[TuoteID]],ohjaus!$A$4:$B$20,2,FALSE)</f>
        <v>Pianotuoli</v>
      </c>
    </row>
    <row r="5526" spans="1:8" x14ac:dyDescent="0.35">
      <c r="A5526" t="s">
        <v>37</v>
      </c>
      <c r="B5526">
        <v>2018</v>
      </c>
      <c r="C5526">
        <v>10</v>
      </c>
      <c r="D5526">
        <v>24326</v>
      </c>
      <c r="E5526">
        <v>74</v>
      </c>
      <c r="F5526">
        <v>10112.549999999999</v>
      </c>
      <c r="G5526">
        <v>2714.29</v>
      </c>
      <c r="H5526" t="str">
        <f>VLOOKUP(myynnit[[#This Row],[TuoteID]],ohjaus!$A$4:$B$20,2,FALSE)</f>
        <v>Lepotuoli</v>
      </c>
    </row>
    <row r="5527" spans="1:8" x14ac:dyDescent="0.35">
      <c r="A5527" t="s">
        <v>40</v>
      </c>
      <c r="B5527">
        <v>2018</v>
      </c>
      <c r="C5527">
        <v>10</v>
      </c>
      <c r="D5527">
        <v>12184</v>
      </c>
      <c r="E5527">
        <v>25</v>
      </c>
      <c r="F5527">
        <v>3258.07</v>
      </c>
      <c r="G5527">
        <v>1616.92</v>
      </c>
      <c r="H5527" t="str">
        <f>VLOOKUP(myynnit[[#This Row],[TuoteID]],ohjaus!$A$4:$B$20,2,FALSE)</f>
        <v>Rahi</v>
      </c>
    </row>
    <row r="5528" spans="1:8" x14ac:dyDescent="0.35">
      <c r="A5528" t="s">
        <v>40</v>
      </c>
      <c r="B5528">
        <v>2018</v>
      </c>
      <c r="C5528">
        <v>10</v>
      </c>
      <c r="D5528">
        <v>12622</v>
      </c>
      <c r="E5528">
        <v>20</v>
      </c>
      <c r="F5528">
        <v>5276.87</v>
      </c>
      <c r="G5528">
        <v>2118.85</v>
      </c>
      <c r="H5528" t="str">
        <f>VLOOKUP(myynnit[[#This Row],[TuoteID]],ohjaus!$A$4:$B$20,2,FALSE)</f>
        <v>Pianotuoli</v>
      </c>
    </row>
    <row r="5529" spans="1:8" x14ac:dyDescent="0.35">
      <c r="A5529" t="s">
        <v>40</v>
      </c>
      <c r="B5529">
        <v>2018</v>
      </c>
      <c r="C5529">
        <v>10</v>
      </c>
      <c r="D5529">
        <v>13527</v>
      </c>
      <c r="E5529">
        <v>294</v>
      </c>
      <c r="F5529">
        <v>44615.41</v>
      </c>
      <c r="G5529">
        <v>7561.4</v>
      </c>
      <c r="H5529" t="str">
        <f>VLOOKUP(myynnit[[#This Row],[TuoteID]],ohjaus!$A$4:$B$20,2,FALSE)</f>
        <v>Pinnatuoli</v>
      </c>
    </row>
    <row r="5530" spans="1:8" x14ac:dyDescent="0.35">
      <c r="A5530" t="s">
        <v>40</v>
      </c>
      <c r="B5530">
        <v>2018</v>
      </c>
      <c r="C5530">
        <v>10</v>
      </c>
      <c r="D5530">
        <v>13618</v>
      </c>
      <c r="E5530">
        <v>8</v>
      </c>
      <c r="F5530">
        <v>3235.65</v>
      </c>
      <c r="G5530">
        <v>1617.74</v>
      </c>
      <c r="H5530" t="str">
        <f>VLOOKUP(myynnit[[#This Row],[TuoteID]],ohjaus!$A$4:$B$20,2,FALSE)</f>
        <v>Pianotuoli</v>
      </c>
    </row>
    <row r="5531" spans="1:8" x14ac:dyDescent="0.35">
      <c r="A5531" t="s">
        <v>40</v>
      </c>
      <c r="B5531">
        <v>2018</v>
      </c>
      <c r="C5531">
        <v>10</v>
      </c>
      <c r="D5531">
        <v>16024</v>
      </c>
      <c r="E5531">
        <v>199</v>
      </c>
      <c r="F5531">
        <v>76363.89</v>
      </c>
      <c r="G5531">
        <v>23194.25</v>
      </c>
      <c r="H5531" t="str">
        <f>VLOOKUP(myynnit[[#This Row],[TuoteID]],ohjaus!$A$4:$B$20,2,FALSE)</f>
        <v>Työtuoli</v>
      </c>
    </row>
    <row r="5532" spans="1:8" x14ac:dyDescent="0.35">
      <c r="A5532" t="s">
        <v>40</v>
      </c>
      <c r="B5532">
        <v>2018</v>
      </c>
      <c r="C5532">
        <v>10</v>
      </c>
      <c r="D5532">
        <v>16650</v>
      </c>
      <c r="E5532">
        <v>18</v>
      </c>
      <c r="F5532">
        <v>3405.04</v>
      </c>
      <c r="G5532">
        <v>2444.75</v>
      </c>
      <c r="H5532" t="str">
        <f>VLOOKUP(myynnit[[#This Row],[TuoteID]],ohjaus!$A$4:$B$20,2,FALSE)</f>
        <v>Rahi</v>
      </c>
    </row>
    <row r="5533" spans="1:8" x14ac:dyDescent="0.35">
      <c r="A5533" t="s">
        <v>40</v>
      </c>
      <c r="B5533">
        <v>2018</v>
      </c>
      <c r="C5533">
        <v>10</v>
      </c>
      <c r="D5533">
        <v>17892</v>
      </c>
      <c r="E5533">
        <v>65</v>
      </c>
      <c r="F5533">
        <v>8477.75</v>
      </c>
      <c r="G5533">
        <v>2379.4499999999998</v>
      </c>
      <c r="H5533" t="str">
        <f>VLOOKUP(myynnit[[#This Row],[TuoteID]],ohjaus!$A$4:$B$20,2,FALSE)</f>
        <v>Lepotuoli</v>
      </c>
    </row>
    <row r="5534" spans="1:8" x14ac:dyDescent="0.35">
      <c r="A5534" t="s">
        <v>40</v>
      </c>
      <c r="B5534">
        <v>2018</v>
      </c>
      <c r="C5534">
        <v>10</v>
      </c>
      <c r="D5534">
        <v>18342</v>
      </c>
      <c r="E5534">
        <v>19</v>
      </c>
      <c r="F5534">
        <v>16889.32</v>
      </c>
      <c r="G5534">
        <v>5364.83</v>
      </c>
      <c r="H5534" t="str">
        <f>VLOOKUP(myynnit[[#This Row],[TuoteID]],ohjaus!$A$4:$B$20,2,FALSE)</f>
        <v>Työtuoli</v>
      </c>
    </row>
    <row r="5535" spans="1:8" x14ac:dyDescent="0.35">
      <c r="A5535" t="s">
        <v>40</v>
      </c>
      <c r="B5535">
        <v>2018</v>
      </c>
      <c r="C5535">
        <v>10</v>
      </c>
      <c r="D5535">
        <v>20177</v>
      </c>
      <c r="E5535">
        <v>28</v>
      </c>
      <c r="F5535">
        <v>2609.35</v>
      </c>
      <c r="G5535">
        <v>929.12</v>
      </c>
      <c r="H5535" t="str">
        <f>VLOOKUP(myynnit[[#This Row],[TuoteID]],ohjaus!$A$4:$B$20,2,FALSE)</f>
        <v>Säkkituoli</v>
      </c>
    </row>
    <row r="5536" spans="1:8" x14ac:dyDescent="0.35">
      <c r="A5536" t="s">
        <v>40</v>
      </c>
      <c r="B5536">
        <v>2018</v>
      </c>
      <c r="C5536">
        <v>10</v>
      </c>
      <c r="D5536">
        <v>21179</v>
      </c>
      <c r="E5536">
        <v>46</v>
      </c>
      <c r="F5536">
        <v>5122.25</v>
      </c>
      <c r="G5536">
        <v>2795.71</v>
      </c>
      <c r="H5536" t="str">
        <f>VLOOKUP(myynnit[[#This Row],[TuoteID]],ohjaus!$A$4:$B$20,2,FALSE)</f>
        <v>Rahi</v>
      </c>
    </row>
    <row r="5537" spans="1:8" x14ac:dyDescent="0.35">
      <c r="A5537" t="s">
        <v>40</v>
      </c>
      <c r="B5537">
        <v>2018</v>
      </c>
      <c r="C5537">
        <v>10</v>
      </c>
      <c r="D5537">
        <v>21260</v>
      </c>
      <c r="E5537">
        <v>45</v>
      </c>
      <c r="F5537">
        <v>7948.04</v>
      </c>
      <c r="G5537">
        <v>2210.27</v>
      </c>
      <c r="H5537" t="str">
        <f>VLOOKUP(myynnit[[#This Row],[TuoteID]],ohjaus!$A$4:$B$20,2,FALSE)</f>
        <v>Lepotuoli</v>
      </c>
    </row>
    <row r="5538" spans="1:8" x14ac:dyDescent="0.35">
      <c r="A5538" t="s">
        <v>40</v>
      </c>
      <c r="B5538">
        <v>2018</v>
      </c>
      <c r="C5538">
        <v>10</v>
      </c>
      <c r="D5538">
        <v>22317</v>
      </c>
      <c r="E5538">
        <v>16</v>
      </c>
      <c r="F5538">
        <v>1277.76</v>
      </c>
      <c r="G5538">
        <v>554.62</v>
      </c>
      <c r="H5538" t="str">
        <f>VLOOKUP(myynnit[[#This Row],[TuoteID]],ohjaus!$A$4:$B$20,2,FALSE)</f>
        <v>Säkkituoli</v>
      </c>
    </row>
    <row r="5539" spans="1:8" x14ac:dyDescent="0.35">
      <c r="A5539" t="s">
        <v>40</v>
      </c>
      <c r="B5539">
        <v>2018</v>
      </c>
      <c r="C5539">
        <v>10</v>
      </c>
      <c r="D5539">
        <v>22940</v>
      </c>
      <c r="E5539">
        <v>104</v>
      </c>
      <c r="F5539">
        <v>12941.46</v>
      </c>
      <c r="G5539">
        <v>3919.91</v>
      </c>
      <c r="H5539" t="str">
        <f>VLOOKUP(myynnit[[#This Row],[TuoteID]],ohjaus!$A$4:$B$20,2,FALSE)</f>
        <v>Pinnatuoli</v>
      </c>
    </row>
    <row r="5540" spans="1:8" x14ac:dyDescent="0.35">
      <c r="A5540" t="s">
        <v>40</v>
      </c>
      <c r="B5540">
        <v>2018</v>
      </c>
      <c r="C5540">
        <v>10</v>
      </c>
      <c r="D5540">
        <v>23178</v>
      </c>
      <c r="E5540">
        <v>145</v>
      </c>
      <c r="F5540">
        <v>24802.74</v>
      </c>
      <c r="G5540">
        <v>6317.13</v>
      </c>
      <c r="H5540" t="str">
        <f>VLOOKUP(myynnit[[#This Row],[TuoteID]],ohjaus!$A$4:$B$20,2,FALSE)</f>
        <v>Pinnatuoli</v>
      </c>
    </row>
    <row r="5541" spans="1:8" x14ac:dyDescent="0.35">
      <c r="A5541" t="s">
        <v>40</v>
      </c>
      <c r="B5541">
        <v>2018</v>
      </c>
      <c r="C5541">
        <v>10</v>
      </c>
      <c r="D5541">
        <v>23600</v>
      </c>
      <c r="E5541">
        <v>536</v>
      </c>
      <c r="F5541">
        <v>64208.56</v>
      </c>
      <c r="G5541">
        <v>16224.57</v>
      </c>
      <c r="H5541" t="str">
        <f>VLOOKUP(myynnit[[#This Row],[TuoteID]],ohjaus!$A$4:$B$20,2,FALSE)</f>
        <v>Pinnatuoli</v>
      </c>
    </row>
    <row r="5542" spans="1:8" x14ac:dyDescent="0.35">
      <c r="A5542" t="s">
        <v>40</v>
      </c>
      <c r="B5542">
        <v>2018</v>
      </c>
      <c r="C5542">
        <v>10</v>
      </c>
      <c r="D5542">
        <v>23756</v>
      </c>
      <c r="E5542">
        <v>52</v>
      </c>
      <c r="F5542">
        <v>9763.4599999999991</v>
      </c>
      <c r="G5542">
        <v>4505.1099999999997</v>
      </c>
      <c r="H5542" t="str">
        <f>VLOOKUP(myynnit[[#This Row],[TuoteID]],ohjaus!$A$4:$B$20,2,FALSE)</f>
        <v>Pianotuoli</v>
      </c>
    </row>
    <row r="5543" spans="1:8" x14ac:dyDescent="0.35">
      <c r="A5543" t="s">
        <v>40</v>
      </c>
      <c r="B5543">
        <v>2018</v>
      </c>
      <c r="C5543">
        <v>10</v>
      </c>
      <c r="D5543">
        <v>24326</v>
      </c>
      <c r="E5543">
        <v>19</v>
      </c>
      <c r="F5543">
        <v>2757.11</v>
      </c>
      <c r="G5543">
        <v>800.63</v>
      </c>
      <c r="H5543" t="str">
        <f>VLOOKUP(myynnit[[#This Row],[TuoteID]],ohjaus!$A$4:$B$20,2,FALSE)</f>
        <v>Lepotuoli</v>
      </c>
    </row>
    <row r="5544" spans="1:8" x14ac:dyDescent="0.35">
      <c r="A5544" t="s">
        <v>39</v>
      </c>
      <c r="B5544">
        <v>2018</v>
      </c>
      <c r="C5544">
        <v>10</v>
      </c>
      <c r="D5544">
        <v>12184</v>
      </c>
      <c r="E5544">
        <v>120</v>
      </c>
      <c r="F5544">
        <v>15780.26</v>
      </c>
      <c r="G5544">
        <v>10389.950000000001</v>
      </c>
      <c r="H5544" t="str">
        <f>VLOOKUP(myynnit[[#This Row],[TuoteID]],ohjaus!$A$4:$B$20,2,FALSE)</f>
        <v>Rahi</v>
      </c>
    </row>
    <row r="5545" spans="1:8" x14ac:dyDescent="0.35">
      <c r="A5545" t="s">
        <v>39</v>
      </c>
      <c r="B5545">
        <v>2018</v>
      </c>
      <c r="C5545">
        <v>10</v>
      </c>
      <c r="D5545">
        <v>12622</v>
      </c>
      <c r="E5545">
        <v>56</v>
      </c>
      <c r="F5545">
        <v>13785.98</v>
      </c>
      <c r="G5545">
        <v>7394.41</v>
      </c>
      <c r="H5545" t="str">
        <f>VLOOKUP(myynnit[[#This Row],[TuoteID]],ohjaus!$A$4:$B$20,2,FALSE)</f>
        <v>Pianotuoli</v>
      </c>
    </row>
    <row r="5546" spans="1:8" x14ac:dyDescent="0.35">
      <c r="A5546" t="s">
        <v>39</v>
      </c>
      <c r="B5546">
        <v>2018</v>
      </c>
      <c r="C5546">
        <v>10</v>
      </c>
      <c r="D5546">
        <v>13527</v>
      </c>
      <c r="E5546">
        <v>203</v>
      </c>
      <c r="F5546">
        <v>34863.65</v>
      </c>
      <c r="G5546">
        <v>9110.9699999999993</v>
      </c>
      <c r="H5546" t="str">
        <f>VLOOKUP(myynnit[[#This Row],[TuoteID]],ohjaus!$A$4:$B$20,2,FALSE)</f>
        <v>Pinnatuoli</v>
      </c>
    </row>
    <row r="5547" spans="1:8" x14ac:dyDescent="0.35">
      <c r="A5547" t="s">
        <v>39</v>
      </c>
      <c r="B5547">
        <v>2018</v>
      </c>
      <c r="C5547">
        <v>10</v>
      </c>
      <c r="D5547">
        <v>13618</v>
      </c>
      <c r="E5547">
        <v>17</v>
      </c>
      <c r="F5547">
        <v>6369.9</v>
      </c>
      <c r="G5547">
        <v>4135.4799999999996</v>
      </c>
      <c r="H5547" t="str">
        <f>VLOOKUP(myynnit[[#This Row],[TuoteID]],ohjaus!$A$4:$B$20,2,FALSE)</f>
        <v>Pianotuoli</v>
      </c>
    </row>
    <row r="5548" spans="1:8" x14ac:dyDescent="0.35">
      <c r="A5548" t="s">
        <v>39</v>
      </c>
      <c r="B5548">
        <v>2018</v>
      </c>
      <c r="C5548">
        <v>10</v>
      </c>
      <c r="D5548">
        <v>16024</v>
      </c>
      <c r="E5548">
        <v>244</v>
      </c>
      <c r="F5548">
        <v>94600.13</v>
      </c>
      <c r="G5548">
        <v>26453.8</v>
      </c>
      <c r="H5548" t="str">
        <f>VLOOKUP(myynnit[[#This Row],[TuoteID]],ohjaus!$A$4:$B$20,2,FALSE)</f>
        <v>Työtuoli</v>
      </c>
    </row>
    <row r="5549" spans="1:8" x14ac:dyDescent="0.35">
      <c r="A5549" t="s">
        <v>39</v>
      </c>
      <c r="B5549">
        <v>2018</v>
      </c>
      <c r="C5549">
        <v>10</v>
      </c>
      <c r="D5549">
        <v>16650</v>
      </c>
      <c r="E5549">
        <v>46</v>
      </c>
      <c r="F5549">
        <v>6291.92</v>
      </c>
      <c r="G5549">
        <v>4708.78</v>
      </c>
      <c r="H5549" t="str">
        <f>VLOOKUP(myynnit[[#This Row],[TuoteID]],ohjaus!$A$4:$B$20,2,FALSE)</f>
        <v>Rahi</v>
      </c>
    </row>
    <row r="5550" spans="1:8" x14ac:dyDescent="0.35">
      <c r="A5550" t="s">
        <v>39</v>
      </c>
      <c r="B5550">
        <v>2018</v>
      </c>
      <c r="C5550">
        <v>10</v>
      </c>
      <c r="D5550">
        <v>17892</v>
      </c>
      <c r="E5550">
        <v>62</v>
      </c>
      <c r="F5550">
        <v>9012.1200000000008</v>
      </c>
      <c r="G5550">
        <v>2492.09</v>
      </c>
      <c r="H5550" t="str">
        <f>VLOOKUP(myynnit[[#This Row],[TuoteID]],ohjaus!$A$4:$B$20,2,FALSE)</f>
        <v>Lepotuoli</v>
      </c>
    </row>
    <row r="5551" spans="1:8" x14ac:dyDescent="0.35">
      <c r="A5551" t="s">
        <v>39</v>
      </c>
      <c r="B5551">
        <v>2018</v>
      </c>
      <c r="C5551">
        <v>10</v>
      </c>
      <c r="D5551">
        <v>18342</v>
      </c>
      <c r="E5551">
        <v>118</v>
      </c>
      <c r="F5551">
        <v>105238.97</v>
      </c>
      <c r="G5551">
        <v>32297.06</v>
      </c>
      <c r="H5551" t="str">
        <f>VLOOKUP(myynnit[[#This Row],[TuoteID]],ohjaus!$A$4:$B$20,2,FALSE)</f>
        <v>Työtuoli</v>
      </c>
    </row>
    <row r="5552" spans="1:8" x14ac:dyDescent="0.35">
      <c r="A5552" t="s">
        <v>39</v>
      </c>
      <c r="B5552">
        <v>2018</v>
      </c>
      <c r="C5552">
        <v>10</v>
      </c>
      <c r="D5552">
        <v>20177</v>
      </c>
      <c r="E5552">
        <v>81</v>
      </c>
      <c r="F5552">
        <v>8277.4599999999991</v>
      </c>
      <c r="G5552">
        <v>3426.63</v>
      </c>
      <c r="H5552" t="str">
        <f>VLOOKUP(myynnit[[#This Row],[TuoteID]],ohjaus!$A$4:$B$20,2,FALSE)</f>
        <v>Säkkituoli</v>
      </c>
    </row>
    <row r="5553" spans="1:8" x14ac:dyDescent="0.35">
      <c r="A5553" t="s">
        <v>39</v>
      </c>
      <c r="B5553">
        <v>2018</v>
      </c>
      <c r="C5553">
        <v>10</v>
      </c>
      <c r="D5553">
        <v>21179</v>
      </c>
      <c r="E5553">
        <v>63</v>
      </c>
      <c r="F5553">
        <v>6536.65</v>
      </c>
      <c r="G5553">
        <v>4487.24</v>
      </c>
      <c r="H5553" t="str">
        <f>VLOOKUP(myynnit[[#This Row],[TuoteID]],ohjaus!$A$4:$B$20,2,FALSE)</f>
        <v>Rahi</v>
      </c>
    </row>
    <row r="5554" spans="1:8" x14ac:dyDescent="0.35">
      <c r="A5554" t="s">
        <v>39</v>
      </c>
      <c r="B5554">
        <v>2018</v>
      </c>
      <c r="C5554">
        <v>10</v>
      </c>
      <c r="D5554">
        <v>21260</v>
      </c>
      <c r="E5554">
        <v>29</v>
      </c>
      <c r="F5554">
        <v>6183.54</v>
      </c>
      <c r="G5554">
        <v>1660.29</v>
      </c>
      <c r="H5554" t="str">
        <f>VLOOKUP(myynnit[[#This Row],[TuoteID]],ohjaus!$A$4:$B$20,2,FALSE)</f>
        <v>Lepotuoli</v>
      </c>
    </row>
    <row r="5555" spans="1:8" x14ac:dyDescent="0.35">
      <c r="A5555" t="s">
        <v>39</v>
      </c>
      <c r="B5555">
        <v>2018</v>
      </c>
      <c r="C5555">
        <v>10</v>
      </c>
      <c r="D5555">
        <v>22317</v>
      </c>
      <c r="E5555">
        <v>48</v>
      </c>
      <c r="F5555">
        <v>4085.97</v>
      </c>
      <c r="G5555">
        <v>1596.55</v>
      </c>
      <c r="H5555" t="str">
        <f>VLOOKUP(myynnit[[#This Row],[TuoteID]],ohjaus!$A$4:$B$20,2,FALSE)</f>
        <v>Säkkituoli</v>
      </c>
    </row>
    <row r="5556" spans="1:8" x14ac:dyDescent="0.35">
      <c r="A5556" t="s">
        <v>39</v>
      </c>
      <c r="B5556">
        <v>2018</v>
      </c>
      <c r="C5556">
        <v>10</v>
      </c>
      <c r="D5556">
        <v>22940</v>
      </c>
      <c r="E5556">
        <v>619</v>
      </c>
      <c r="F5556">
        <v>73415.19</v>
      </c>
      <c r="G5556">
        <v>19664.060000000001</v>
      </c>
      <c r="H5556" t="str">
        <f>VLOOKUP(myynnit[[#This Row],[TuoteID]],ohjaus!$A$4:$B$20,2,FALSE)</f>
        <v>Pinnatuoli</v>
      </c>
    </row>
    <row r="5557" spans="1:8" x14ac:dyDescent="0.35">
      <c r="A5557" t="s">
        <v>39</v>
      </c>
      <c r="B5557">
        <v>2018</v>
      </c>
      <c r="C5557">
        <v>10</v>
      </c>
      <c r="D5557">
        <v>23178</v>
      </c>
      <c r="E5557">
        <v>121</v>
      </c>
      <c r="F5557">
        <v>22223.200000000001</v>
      </c>
      <c r="G5557">
        <v>4882.13</v>
      </c>
      <c r="H5557" t="str">
        <f>VLOOKUP(myynnit[[#This Row],[TuoteID]],ohjaus!$A$4:$B$20,2,FALSE)</f>
        <v>Pinnatuoli</v>
      </c>
    </row>
    <row r="5558" spans="1:8" x14ac:dyDescent="0.35">
      <c r="A5558" t="s">
        <v>39</v>
      </c>
      <c r="B5558">
        <v>2018</v>
      </c>
      <c r="C5558">
        <v>10</v>
      </c>
      <c r="D5558">
        <v>23600</v>
      </c>
      <c r="E5558">
        <v>746</v>
      </c>
      <c r="F5558">
        <v>92530.44</v>
      </c>
      <c r="G5558">
        <v>25036.36</v>
      </c>
      <c r="H5558" t="str">
        <f>VLOOKUP(myynnit[[#This Row],[TuoteID]],ohjaus!$A$4:$B$20,2,FALSE)</f>
        <v>Pinnatuoli</v>
      </c>
    </row>
    <row r="5559" spans="1:8" x14ac:dyDescent="0.35">
      <c r="A5559" t="s">
        <v>39</v>
      </c>
      <c r="B5559">
        <v>2018</v>
      </c>
      <c r="C5559">
        <v>10</v>
      </c>
      <c r="D5559">
        <v>23756</v>
      </c>
      <c r="E5559">
        <v>106</v>
      </c>
      <c r="F5559">
        <v>21603.87</v>
      </c>
      <c r="G5559">
        <v>13903.4</v>
      </c>
      <c r="H5559" t="str">
        <f>VLOOKUP(myynnit[[#This Row],[TuoteID]],ohjaus!$A$4:$B$20,2,FALSE)</f>
        <v>Pianotuoli</v>
      </c>
    </row>
    <row r="5560" spans="1:8" x14ac:dyDescent="0.35">
      <c r="A5560" t="s">
        <v>39</v>
      </c>
      <c r="B5560">
        <v>2018</v>
      </c>
      <c r="C5560">
        <v>10</v>
      </c>
      <c r="D5560">
        <v>24326</v>
      </c>
      <c r="E5560">
        <v>97</v>
      </c>
      <c r="F5560">
        <v>14326.08</v>
      </c>
      <c r="G5560">
        <v>4219.6099999999997</v>
      </c>
      <c r="H5560" t="str">
        <f>VLOOKUP(myynnit[[#This Row],[TuoteID]],ohjaus!$A$4:$B$20,2,FALSE)</f>
        <v>Lepotuoli</v>
      </c>
    </row>
    <row r="5561" spans="1:8" x14ac:dyDescent="0.35">
      <c r="A5561" t="s">
        <v>38</v>
      </c>
      <c r="B5561">
        <v>2018</v>
      </c>
      <c r="C5561">
        <v>10</v>
      </c>
      <c r="D5561">
        <v>12184</v>
      </c>
      <c r="E5561">
        <v>54</v>
      </c>
      <c r="F5561">
        <v>7199.69</v>
      </c>
      <c r="G5561">
        <v>4617.9399999999996</v>
      </c>
      <c r="H5561" t="str">
        <f>VLOOKUP(myynnit[[#This Row],[TuoteID]],ohjaus!$A$4:$B$20,2,FALSE)</f>
        <v>Rahi</v>
      </c>
    </row>
    <row r="5562" spans="1:8" x14ac:dyDescent="0.35">
      <c r="A5562" t="s">
        <v>38</v>
      </c>
      <c r="B5562">
        <v>2018</v>
      </c>
      <c r="C5562">
        <v>10</v>
      </c>
      <c r="D5562">
        <v>12622</v>
      </c>
      <c r="E5562">
        <v>24</v>
      </c>
      <c r="F5562">
        <v>5867</v>
      </c>
      <c r="G5562">
        <v>3150.93</v>
      </c>
      <c r="H5562" t="str">
        <f>VLOOKUP(myynnit[[#This Row],[TuoteID]],ohjaus!$A$4:$B$20,2,FALSE)</f>
        <v>Pianotuoli</v>
      </c>
    </row>
    <row r="5563" spans="1:8" x14ac:dyDescent="0.35">
      <c r="A5563" t="s">
        <v>38</v>
      </c>
      <c r="B5563">
        <v>2018</v>
      </c>
      <c r="C5563">
        <v>10</v>
      </c>
      <c r="D5563">
        <v>13527</v>
      </c>
      <c r="E5563">
        <v>517</v>
      </c>
      <c r="F5563">
        <v>82023.520000000004</v>
      </c>
      <c r="G5563">
        <v>18538.04</v>
      </c>
      <c r="H5563" t="str">
        <f>VLOOKUP(myynnit[[#This Row],[TuoteID]],ohjaus!$A$4:$B$20,2,FALSE)</f>
        <v>Pinnatuoli</v>
      </c>
    </row>
    <row r="5564" spans="1:8" x14ac:dyDescent="0.35">
      <c r="A5564" t="s">
        <v>38</v>
      </c>
      <c r="B5564">
        <v>2018</v>
      </c>
      <c r="C5564">
        <v>10</v>
      </c>
      <c r="D5564">
        <v>13618</v>
      </c>
      <c r="E5564">
        <v>6</v>
      </c>
      <c r="F5564">
        <v>2050.42</v>
      </c>
      <c r="G5564">
        <v>1076.57</v>
      </c>
      <c r="H5564" t="str">
        <f>VLOOKUP(myynnit[[#This Row],[TuoteID]],ohjaus!$A$4:$B$20,2,FALSE)</f>
        <v>Pianotuoli</v>
      </c>
    </row>
    <row r="5565" spans="1:8" x14ac:dyDescent="0.35">
      <c r="A5565" t="s">
        <v>38</v>
      </c>
      <c r="B5565">
        <v>2018</v>
      </c>
      <c r="C5565">
        <v>10</v>
      </c>
      <c r="D5565">
        <v>16024</v>
      </c>
      <c r="E5565">
        <v>229</v>
      </c>
      <c r="F5565">
        <v>92933.37</v>
      </c>
      <c r="G5565">
        <v>21045.87</v>
      </c>
      <c r="H5565" t="str">
        <f>VLOOKUP(myynnit[[#This Row],[TuoteID]],ohjaus!$A$4:$B$20,2,FALSE)</f>
        <v>Työtuoli</v>
      </c>
    </row>
    <row r="5566" spans="1:8" x14ac:dyDescent="0.35">
      <c r="A5566" t="s">
        <v>38</v>
      </c>
      <c r="B5566">
        <v>2018</v>
      </c>
      <c r="C5566">
        <v>10</v>
      </c>
      <c r="D5566">
        <v>16650</v>
      </c>
      <c r="E5566">
        <v>39</v>
      </c>
      <c r="F5566">
        <v>5089.51</v>
      </c>
      <c r="G5566">
        <v>2643.35</v>
      </c>
      <c r="H5566" t="str">
        <f>VLOOKUP(myynnit[[#This Row],[TuoteID]],ohjaus!$A$4:$B$20,2,FALSE)</f>
        <v>Rahi</v>
      </c>
    </row>
    <row r="5567" spans="1:8" x14ac:dyDescent="0.35">
      <c r="A5567" t="s">
        <v>38</v>
      </c>
      <c r="B5567">
        <v>2018</v>
      </c>
      <c r="C5567">
        <v>10</v>
      </c>
      <c r="D5567">
        <v>17892</v>
      </c>
      <c r="E5567">
        <v>69</v>
      </c>
      <c r="F5567">
        <v>10325.57</v>
      </c>
      <c r="G5567">
        <v>2534.7399999999998</v>
      </c>
      <c r="H5567" t="str">
        <f>VLOOKUP(myynnit[[#This Row],[TuoteID]],ohjaus!$A$4:$B$20,2,FALSE)</f>
        <v>Lepotuoli</v>
      </c>
    </row>
    <row r="5568" spans="1:8" x14ac:dyDescent="0.35">
      <c r="A5568" t="s">
        <v>38</v>
      </c>
      <c r="B5568">
        <v>2018</v>
      </c>
      <c r="C5568">
        <v>10</v>
      </c>
      <c r="D5568">
        <v>18342</v>
      </c>
      <c r="E5568">
        <v>128</v>
      </c>
      <c r="F5568">
        <v>108206.66</v>
      </c>
      <c r="G5568">
        <v>27280.47</v>
      </c>
      <c r="H5568" t="str">
        <f>VLOOKUP(myynnit[[#This Row],[TuoteID]],ohjaus!$A$4:$B$20,2,FALSE)</f>
        <v>Työtuoli</v>
      </c>
    </row>
    <row r="5569" spans="1:11" x14ac:dyDescent="0.35">
      <c r="A5569" t="s">
        <v>38</v>
      </c>
      <c r="B5569">
        <v>2018</v>
      </c>
      <c r="C5569">
        <v>10</v>
      </c>
      <c r="D5569">
        <v>20177</v>
      </c>
      <c r="E5569">
        <v>61</v>
      </c>
      <c r="F5569">
        <v>5626.58</v>
      </c>
      <c r="G5569">
        <v>2294.62</v>
      </c>
      <c r="H5569" t="str">
        <f>VLOOKUP(myynnit[[#This Row],[TuoteID]],ohjaus!$A$4:$B$20,2,FALSE)</f>
        <v>Säkkituoli</v>
      </c>
    </row>
    <row r="5570" spans="1:11" x14ac:dyDescent="0.35">
      <c r="A5570" t="s">
        <v>38</v>
      </c>
      <c r="B5570">
        <v>2018</v>
      </c>
      <c r="C5570">
        <v>10</v>
      </c>
      <c r="D5570">
        <v>21179</v>
      </c>
      <c r="E5570">
        <v>55</v>
      </c>
      <c r="F5570">
        <v>7814.19</v>
      </c>
      <c r="G5570">
        <v>4383.05</v>
      </c>
      <c r="H5570" t="str">
        <f>VLOOKUP(myynnit[[#This Row],[TuoteID]],ohjaus!$A$4:$B$20,2,FALSE)</f>
        <v>Rahi</v>
      </c>
    </row>
    <row r="5571" spans="1:11" x14ac:dyDescent="0.35">
      <c r="A5571" t="s">
        <v>38</v>
      </c>
      <c r="B5571">
        <v>2018</v>
      </c>
      <c r="C5571">
        <v>10</v>
      </c>
      <c r="D5571">
        <v>21260</v>
      </c>
      <c r="E5571">
        <v>48</v>
      </c>
      <c r="F5571">
        <v>9683.18</v>
      </c>
      <c r="G5571">
        <v>2119.85</v>
      </c>
      <c r="H5571" t="str">
        <f>VLOOKUP(myynnit[[#This Row],[TuoteID]],ohjaus!$A$4:$B$20,2,FALSE)</f>
        <v>Lepotuoli</v>
      </c>
    </row>
    <row r="5572" spans="1:11" x14ac:dyDescent="0.35">
      <c r="A5572" t="s">
        <v>38</v>
      </c>
      <c r="B5572">
        <v>2018</v>
      </c>
      <c r="C5572">
        <v>10</v>
      </c>
      <c r="D5572">
        <v>22317</v>
      </c>
      <c r="E5572">
        <v>48</v>
      </c>
      <c r="F5572">
        <v>3546.45</v>
      </c>
      <c r="G5572">
        <v>1362.7</v>
      </c>
      <c r="H5572" t="str">
        <f>VLOOKUP(myynnit[[#This Row],[TuoteID]],ohjaus!$A$4:$B$20,2,FALSE)</f>
        <v>Säkkituoli</v>
      </c>
    </row>
    <row r="5573" spans="1:11" x14ac:dyDescent="0.35">
      <c r="A5573" t="s">
        <v>38</v>
      </c>
      <c r="B5573">
        <v>2018</v>
      </c>
      <c r="C5573">
        <v>10</v>
      </c>
      <c r="D5573">
        <v>22940</v>
      </c>
      <c r="E5573">
        <v>253</v>
      </c>
      <c r="F5573">
        <v>30314.55</v>
      </c>
      <c r="G5573">
        <v>5511.66</v>
      </c>
      <c r="H5573" t="str">
        <f>VLOOKUP(myynnit[[#This Row],[TuoteID]],ohjaus!$A$4:$B$20,2,FALSE)</f>
        <v>Pinnatuoli</v>
      </c>
    </row>
    <row r="5574" spans="1:11" x14ac:dyDescent="0.35">
      <c r="A5574" t="s">
        <v>38</v>
      </c>
      <c r="B5574">
        <v>2018</v>
      </c>
      <c r="C5574">
        <v>10</v>
      </c>
      <c r="D5574">
        <v>23178</v>
      </c>
      <c r="E5574">
        <v>295</v>
      </c>
      <c r="F5574">
        <v>51950.17</v>
      </c>
      <c r="G5574">
        <v>10529.78</v>
      </c>
      <c r="H5574" t="str">
        <f>VLOOKUP(myynnit[[#This Row],[TuoteID]],ohjaus!$A$4:$B$20,2,FALSE)</f>
        <v>Pinnatuoli</v>
      </c>
    </row>
    <row r="5575" spans="1:11" x14ac:dyDescent="0.35">
      <c r="A5575" t="s">
        <v>38</v>
      </c>
      <c r="B5575">
        <v>2018</v>
      </c>
      <c r="C5575">
        <v>10</v>
      </c>
      <c r="D5575">
        <v>23600</v>
      </c>
      <c r="E5575">
        <v>910</v>
      </c>
      <c r="F5575">
        <v>92171.09</v>
      </c>
      <c r="G5575">
        <v>19907.11</v>
      </c>
      <c r="H5575" t="str">
        <f>VLOOKUP(myynnit[[#This Row],[TuoteID]],ohjaus!$A$4:$B$20,2,FALSE)</f>
        <v>Pinnatuoli</v>
      </c>
    </row>
    <row r="5576" spans="1:11" x14ac:dyDescent="0.35">
      <c r="A5576" t="s">
        <v>38</v>
      </c>
      <c r="B5576">
        <v>2018</v>
      </c>
      <c r="C5576">
        <v>10</v>
      </c>
      <c r="D5576">
        <v>23756</v>
      </c>
      <c r="E5576">
        <v>72</v>
      </c>
      <c r="F5576">
        <v>15141.25</v>
      </c>
      <c r="G5576">
        <v>6122.55</v>
      </c>
      <c r="H5576" t="str">
        <f>VLOOKUP(myynnit[[#This Row],[TuoteID]],ohjaus!$A$4:$B$20,2,FALSE)</f>
        <v>Pianotuoli</v>
      </c>
    </row>
    <row r="5577" spans="1:11" x14ac:dyDescent="0.35">
      <c r="A5577" t="s">
        <v>38</v>
      </c>
      <c r="B5577">
        <v>2018</v>
      </c>
      <c r="C5577">
        <v>10</v>
      </c>
      <c r="D5577">
        <v>24326</v>
      </c>
      <c r="E5577">
        <v>113</v>
      </c>
      <c r="F5577">
        <v>16042.98</v>
      </c>
      <c r="G5577">
        <v>4347.4399999999996</v>
      </c>
      <c r="H5577" t="str">
        <f>VLOOKUP(myynnit[[#This Row],[TuoteID]],ohjaus!$A$4:$B$20,2,FALSE)</f>
        <v>Lepotuoli</v>
      </c>
      <c r="J5577" t="s">
        <v>49</v>
      </c>
      <c r="K5577" t="s">
        <v>50</v>
      </c>
    </row>
    <row r="5578" spans="1:11" x14ac:dyDescent="0.35">
      <c r="A5578" t="s">
        <v>37</v>
      </c>
      <c r="B5578">
        <v>2018</v>
      </c>
      <c r="C5578">
        <v>11</v>
      </c>
      <c r="D5578">
        <v>12184</v>
      </c>
      <c r="E5578">
        <v>42</v>
      </c>
      <c r="F5578">
        <v>4682.8100000000004</v>
      </c>
      <c r="G5578">
        <v>2335.77</v>
      </c>
      <c r="H5578" s="11" t="str">
        <f>VLOOKUP(myynnit[[#This Row],[TuoteID]],ohjaus!$A$4:$B$20,2,FALSE)</f>
        <v>Rahi</v>
      </c>
      <c r="K5578" s="9" t="s">
        <v>51</v>
      </c>
    </row>
    <row r="5579" spans="1:11" x14ac:dyDescent="0.35">
      <c r="A5579" t="s">
        <v>37</v>
      </c>
      <c r="B5579">
        <v>2018</v>
      </c>
      <c r="C5579">
        <v>11</v>
      </c>
      <c r="D5579">
        <v>12622</v>
      </c>
      <c r="E5579">
        <v>74</v>
      </c>
      <c r="F5579">
        <v>19942.54</v>
      </c>
      <c r="G5579">
        <v>10781.03</v>
      </c>
      <c r="H5579" s="11" t="str">
        <f>VLOOKUP(myynnit[[#This Row],[TuoteID]],ohjaus!$A$4:$B$20,2,FALSE)</f>
        <v>Pianotuoli</v>
      </c>
    </row>
    <row r="5580" spans="1:11" x14ac:dyDescent="0.35">
      <c r="A5580" t="s">
        <v>37</v>
      </c>
      <c r="B5580">
        <v>2018</v>
      </c>
      <c r="C5580">
        <v>11</v>
      </c>
      <c r="D5580">
        <v>13527</v>
      </c>
      <c r="E5580">
        <v>584</v>
      </c>
      <c r="F5580">
        <v>87142.01</v>
      </c>
      <c r="G5580">
        <v>17656.400000000001</v>
      </c>
      <c r="H5580" s="11" t="str">
        <f>VLOOKUP(myynnit[[#This Row],[TuoteID]],ohjaus!$A$4:$B$20,2,FALSE)</f>
        <v>Pinnatuoli</v>
      </c>
    </row>
    <row r="5581" spans="1:11" x14ac:dyDescent="0.35">
      <c r="A5581" t="s">
        <v>37</v>
      </c>
      <c r="B5581">
        <v>2018</v>
      </c>
      <c r="C5581">
        <v>11</v>
      </c>
      <c r="D5581">
        <v>13618</v>
      </c>
      <c r="E5581">
        <v>11</v>
      </c>
      <c r="F5581">
        <v>4646.51</v>
      </c>
      <c r="G5581">
        <v>2264.08</v>
      </c>
      <c r="H5581" s="11" t="str">
        <f>VLOOKUP(myynnit[[#This Row],[TuoteID]],ohjaus!$A$4:$B$20,2,FALSE)</f>
        <v>Pianotuoli</v>
      </c>
    </row>
    <row r="5582" spans="1:11" x14ac:dyDescent="0.35">
      <c r="A5582" t="s">
        <v>37</v>
      </c>
      <c r="B5582">
        <v>2018</v>
      </c>
      <c r="C5582">
        <v>11</v>
      </c>
      <c r="D5582">
        <v>16024</v>
      </c>
      <c r="E5582">
        <v>216</v>
      </c>
      <c r="F5582">
        <v>82235.7</v>
      </c>
      <c r="G5582">
        <v>24051.51</v>
      </c>
      <c r="H5582" s="11" t="str">
        <f>VLOOKUP(myynnit[[#This Row],[TuoteID]],ohjaus!$A$4:$B$20,2,FALSE)</f>
        <v>Työtuoli</v>
      </c>
    </row>
    <row r="5583" spans="1:11" x14ac:dyDescent="0.35">
      <c r="A5583" t="s">
        <v>37</v>
      </c>
      <c r="B5583">
        <v>2018</v>
      </c>
      <c r="C5583">
        <v>11</v>
      </c>
      <c r="D5583">
        <v>16650</v>
      </c>
      <c r="E5583">
        <v>40</v>
      </c>
      <c r="F5583">
        <v>6806.76</v>
      </c>
      <c r="G5583">
        <v>3353.93</v>
      </c>
      <c r="H5583" s="11" t="str">
        <f>VLOOKUP(myynnit[[#This Row],[TuoteID]],ohjaus!$A$4:$B$20,2,FALSE)</f>
        <v>Rahi</v>
      </c>
    </row>
    <row r="5584" spans="1:11" x14ac:dyDescent="0.35">
      <c r="A5584" t="s">
        <v>37</v>
      </c>
      <c r="B5584">
        <v>2018</v>
      </c>
      <c r="C5584">
        <v>11</v>
      </c>
      <c r="D5584">
        <v>17892</v>
      </c>
      <c r="E5584">
        <v>180</v>
      </c>
      <c r="F5584">
        <v>28352.65</v>
      </c>
      <c r="G5584">
        <v>8012.14</v>
      </c>
      <c r="H5584" s="11" t="str">
        <f>VLOOKUP(myynnit[[#This Row],[TuoteID]],ohjaus!$A$4:$B$20,2,FALSE)</f>
        <v>Lepotuoli</v>
      </c>
    </row>
    <row r="5585" spans="1:8" x14ac:dyDescent="0.35">
      <c r="A5585" t="s">
        <v>37</v>
      </c>
      <c r="B5585">
        <v>2018</v>
      </c>
      <c r="C5585">
        <v>11</v>
      </c>
      <c r="D5585">
        <v>18342</v>
      </c>
      <c r="E5585">
        <v>160</v>
      </c>
      <c r="F5585">
        <v>121372.84</v>
      </c>
      <c r="G5585">
        <v>31343.96</v>
      </c>
      <c r="H5585" s="11" t="str">
        <f>VLOOKUP(myynnit[[#This Row],[TuoteID]],ohjaus!$A$4:$B$20,2,FALSE)</f>
        <v>Työtuoli</v>
      </c>
    </row>
    <row r="5586" spans="1:8" x14ac:dyDescent="0.35">
      <c r="A5586" t="s">
        <v>37</v>
      </c>
      <c r="B5586">
        <v>2018</v>
      </c>
      <c r="C5586">
        <v>11</v>
      </c>
      <c r="D5586">
        <v>20177</v>
      </c>
      <c r="E5586">
        <v>95</v>
      </c>
      <c r="F5586">
        <v>10323.1</v>
      </c>
      <c r="G5586">
        <v>4277.5200000000004</v>
      </c>
      <c r="H5586" s="11" t="str">
        <f>VLOOKUP(myynnit[[#This Row],[TuoteID]],ohjaus!$A$4:$B$20,2,FALSE)</f>
        <v>Säkkituoli</v>
      </c>
    </row>
    <row r="5587" spans="1:8" x14ac:dyDescent="0.35">
      <c r="A5587" t="s">
        <v>37</v>
      </c>
      <c r="B5587">
        <v>2018</v>
      </c>
      <c r="C5587">
        <v>11</v>
      </c>
      <c r="D5587">
        <v>21179</v>
      </c>
      <c r="E5587">
        <v>57</v>
      </c>
      <c r="F5587">
        <v>5927.93</v>
      </c>
      <c r="G5587">
        <v>2585.59</v>
      </c>
      <c r="H5587" s="11" t="str">
        <f>VLOOKUP(myynnit[[#This Row],[TuoteID]],ohjaus!$A$4:$B$20,2,FALSE)</f>
        <v>Rahi</v>
      </c>
    </row>
    <row r="5588" spans="1:8" x14ac:dyDescent="0.35">
      <c r="A5588" t="s">
        <v>37</v>
      </c>
      <c r="B5588">
        <v>2018</v>
      </c>
      <c r="C5588">
        <v>11</v>
      </c>
      <c r="D5588">
        <v>21260</v>
      </c>
      <c r="E5588">
        <v>52</v>
      </c>
      <c r="F5588">
        <v>10900.31</v>
      </c>
      <c r="G5588">
        <v>2646.69</v>
      </c>
      <c r="H5588" s="11" t="str">
        <f>VLOOKUP(myynnit[[#This Row],[TuoteID]],ohjaus!$A$4:$B$20,2,FALSE)</f>
        <v>Lepotuoli</v>
      </c>
    </row>
    <row r="5589" spans="1:8" x14ac:dyDescent="0.35">
      <c r="A5589" t="s">
        <v>37</v>
      </c>
      <c r="B5589">
        <v>2018</v>
      </c>
      <c r="C5589">
        <v>11</v>
      </c>
      <c r="D5589">
        <v>22317</v>
      </c>
      <c r="E5589">
        <v>59</v>
      </c>
      <c r="F5589">
        <v>5581.87</v>
      </c>
      <c r="G5589">
        <v>2376.63</v>
      </c>
      <c r="H5589" s="11" t="str">
        <f>VLOOKUP(myynnit[[#This Row],[TuoteID]],ohjaus!$A$4:$B$20,2,FALSE)</f>
        <v>Säkkituoli</v>
      </c>
    </row>
    <row r="5590" spans="1:8" x14ac:dyDescent="0.35">
      <c r="A5590" t="s">
        <v>37</v>
      </c>
      <c r="B5590">
        <v>2018</v>
      </c>
      <c r="C5590">
        <v>11</v>
      </c>
      <c r="D5590">
        <v>22940</v>
      </c>
      <c r="E5590">
        <v>701</v>
      </c>
      <c r="F5590">
        <v>89534.58</v>
      </c>
      <c r="G5590">
        <v>14487.67</v>
      </c>
      <c r="H5590" s="11" t="str">
        <f>VLOOKUP(myynnit[[#This Row],[TuoteID]],ohjaus!$A$4:$B$20,2,FALSE)</f>
        <v>Pinnatuoli</v>
      </c>
    </row>
    <row r="5591" spans="1:8" x14ac:dyDescent="0.35">
      <c r="A5591" t="s">
        <v>37</v>
      </c>
      <c r="B5591">
        <v>2018</v>
      </c>
      <c r="C5591">
        <v>11</v>
      </c>
      <c r="D5591">
        <v>23178</v>
      </c>
      <c r="E5591">
        <v>411</v>
      </c>
      <c r="F5591">
        <v>67589.78</v>
      </c>
      <c r="G5591">
        <v>11350.25</v>
      </c>
      <c r="H5591" s="11" t="str">
        <f>VLOOKUP(myynnit[[#This Row],[TuoteID]],ohjaus!$A$4:$B$20,2,FALSE)</f>
        <v>Pinnatuoli</v>
      </c>
    </row>
    <row r="5592" spans="1:8" x14ac:dyDescent="0.35">
      <c r="A5592" t="s">
        <v>37</v>
      </c>
      <c r="B5592">
        <v>2018</v>
      </c>
      <c r="C5592">
        <v>11</v>
      </c>
      <c r="D5592">
        <v>23600</v>
      </c>
      <c r="E5592">
        <v>1234</v>
      </c>
      <c r="F5592">
        <v>140590.41</v>
      </c>
      <c r="G5592">
        <v>30616.65</v>
      </c>
      <c r="H5592" s="11" t="str">
        <f>VLOOKUP(myynnit[[#This Row],[TuoteID]],ohjaus!$A$4:$B$20,2,FALSE)</f>
        <v>Pinnatuoli</v>
      </c>
    </row>
    <row r="5593" spans="1:8" x14ac:dyDescent="0.35">
      <c r="A5593" t="s">
        <v>37</v>
      </c>
      <c r="B5593">
        <v>2018</v>
      </c>
      <c r="C5593">
        <v>11</v>
      </c>
      <c r="D5593">
        <v>23756</v>
      </c>
      <c r="E5593">
        <v>139</v>
      </c>
      <c r="F5593">
        <v>24245.54</v>
      </c>
      <c r="G5593">
        <v>11820.58</v>
      </c>
      <c r="H5593" s="11" t="str">
        <f>VLOOKUP(myynnit[[#This Row],[TuoteID]],ohjaus!$A$4:$B$20,2,FALSE)</f>
        <v>Pianotuoli</v>
      </c>
    </row>
    <row r="5594" spans="1:8" x14ac:dyDescent="0.35">
      <c r="A5594" t="s">
        <v>37</v>
      </c>
      <c r="B5594">
        <v>2018</v>
      </c>
      <c r="C5594">
        <v>11</v>
      </c>
      <c r="D5594">
        <v>24326</v>
      </c>
      <c r="E5594">
        <v>166</v>
      </c>
      <c r="F5594">
        <v>20639.939999999999</v>
      </c>
      <c r="G5594">
        <v>6006.37</v>
      </c>
      <c r="H5594" s="11" t="str">
        <f>VLOOKUP(myynnit[[#This Row],[TuoteID]],ohjaus!$A$4:$B$20,2,FALSE)</f>
        <v>Lepotuoli</v>
      </c>
    </row>
    <row r="5595" spans="1:8" x14ac:dyDescent="0.35">
      <c r="A5595" t="s">
        <v>39</v>
      </c>
      <c r="B5595">
        <v>2018</v>
      </c>
      <c r="C5595">
        <v>11</v>
      </c>
      <c r="D5595">
        <v>12184</v>
      </c>
      <c r="E5595">
        <v>40</v>
      </c>
      <c r="F5595">
        <v>4924.57</v>
      </c>
      <c r="G5595">
        <v>3520.73</v>
      </c>
      <c r="H5595" s="11" t="str">
        <f>VLOOKUP(myynnit[[#This Row],[TuoteID]],ohjaus!$A$4:$B$20,2,FALSE)</f>
        <v>Rahi</v>
      </c>
    </row>
    <row r="5596" spans="1:8" x14ac:dyDescent="0.35">
      <c r="A5596" t="s">
        <v>39</v>
      </c>
      <c r="B5596">
        <v>2018</v>
      </c>
      <c r="C5596">
        <v>11</v>
      </c>
      <c r="D5596">
        <v>12622</v>
      </c>
      <c r="E5596">
        <v>28</v>
      </c>
      <c r="F5596">
        <v>8926.65</v>
      </c>
      <c r="G5596">
        <v>5577</v>
      </c>
      <c r="H5596" s="11" t="str">
        <f>VLOOKUP(myynnit[[#This Row],[TuoteID]],ohjaus!$A$4:$B$20,2,FALSE)</f>
        <v>Pianotuoli</v>
      </c>
    </row>
    <row r="5597" spans="1:8" x14ac:dyDescent="0.35">
      <c r="A5597" t="s">
        <v>39</v>
      </c>
      <c r="B5597">
        <v>2018</v>
      </c>
      <c r="C5597">
        <v>11</v>
      </c>
      <c r="D5597">
        <v>13527</v>
      </c>
      <c r="E5597">
        <v>409</v>
      </c>
      <c r="F5597">
        <v>67011.87</v>
      </c>
      <c r="G5597">
        <v>17442.169999999998</v>
      </c>
      <c r="H5597" s="11" t="str">
        <f>VLOOKUP(myynnit[[#This Row],[TuoteID]],ohjaus!$A$4:$B$20,2,FALSE)</f>
        <v>Pinnatuoli</v>
      </c>
    </row>
    <row r="5598" spans="1:8" x14ac:dyDescent="0.35">
      <c r="A5598" t="s">
        <v>39</v>
      </c>
      <c r="B5598">
        <v>2018</v>
      </c>
      <c r="C5598">
        <v>11</v>
      </c>
      <c r="D5598">
        <v>13618</v>
      </c>
      <c r="E5598">
        <v>25</v>
      </c>
      <c r="F5598">
        <v>10009.64</v>
      </c>
      <c r="G5598">
        <v>6014.25</v>
      </c>
      <c r="H5598" s="11" t="str">
        <f>VLOOKUP(myynnit[[#This Row],[TuoteID]],ohjaus!$A$4:$B$20,2,FALSE)</f>
        <v>Pianotuoli</v>
      </c>
    </row>
    <row r="5599" spans="1:8" x14ac:dyDescent="0.35">
      <c r="A5599" t="s">
        <v>39</v>
      </c>
      <c r="B5599">
        <v>2018</v>
      </c>
      <c r="C5599">
        <v>11</v>
      </c>
      <c r="D5599">
        <v>16024</v>
      </c>
      <c r="E5599">
        <v>340</v>
      </c>
      <c r="F5599">
        <v>141047.9</v>
      </c>
      <c r="G5599">
        <v>38182.199999999997</v>
      </c>
      <c r="H5599" s="11" t="str">
        <f>VLOOKUP(myynnit[[#This Row],[TuoteID]],ohjaus!$A$4:$B$20,2,FALSE)</f>
        <v>Työtuoli</v>
      </c>
    </row>
    <row r="5600" spans="1:8" x14ac:dyDescent="0.35">
      <c r="A5600" t="s">
        <v>39</v>
      </c>
      <c r="B5600">
        <v>2018</v>
      </c>
      <c r="C5600">
        <v>11</v>
      </c>
      <c r="D5600">
        <v>16650</v>
      </c>
      <c r="E5600">
        <v>40</v>
      </c>
      <c r="F5600">
        <v>5908.84</v>
      </c>
      <c r="G5600">
        <v>4013.86</v>
      </c>
      <c r="H5600" s="11" t="str">
        <f>VLOOKUP(myynnit[[#This Row],[TuoteID]],ohjaus!$A$4:$B$20,2,FALSE)</f>
        <v>Rahi</v>
      </c>
    </row>
    <row r="5601" spans="1:8" x14ac:dyDescent="0.35">
      <c r="A5601" t="s">
        <v>39</v>
      </c>
      <c r="B5601">
        <v>2018</v>
      </c>
      <c r="C5601">
        <v>11</v>
      </c>
      <c r="D5601">
        <v>17892</v>
      </c>
      <c r="E5601">
        <v>68</v>
      </c>
      <c r="F5601">
        <v>8648.5</v>
      </c>
      <c r="G5601">
        <v>2443.86</v>
      </c>
      <c r="H5601" s="11" t="str">
        <f>VLOOKUP(myynnit[[#This Row],[TuoteID]],ohjaus!$A$4:$B$20,2,FALSE)</f>
        <v>Lepotuoli</v>
      </c>
    </row>
    <row r="5602" spans="1:8" x14ac:dyDescent="0.35">
      <c r="A5602" t="s">
        <v>39</v>
      </c>
      <c r="B5602">
        <v>2018</v>
      </c>
      <c r="C5602">
        <v>11</v>
      </c>
      <c r="D5602">
        <v>18342</v>
      </c>
      <c r="E5602">
        <v>131</v>
      </c>
      <c r="F5602">
        <v>104857.51</v>
      </c>
      <c r="G5602">
        <v>35513.06</v>
      </c>
      <c r="H5602" s="11" t="str">
        <f>VLOOKUP(myynnit[[#This Row],[TuoteID]],ohjaus!$A$4:$B$20,2,FALSE)</f>
        <v>Työtuoli</v>
      </c>
    </row>
    <row r="5603" spans="1:8" x14ac:dyDescent="0.35">
      <c r="A5603" t="s">
        <v>39</v>
      </c>
      <c r="B5603">
        <v>2018</v>
      </c>
      <c r="C5603">
        <v>11</v>
      </c>
      <c r="D5603">
        <v>20177</v>
      </c>
      <c r="E5603">
        <v>31</v>
      </c>
      <c r="F5603">
        <v>2705.37</v>
      </c>
      <c r="G5603">
        <v>1103.22</v>
      </c>
      <c r="H5603" s="11" t="str">
        <f>VLOOKUP(myynnit[[#This Row],[TuoteID]],ohjaus!$A$4:$B$20,2,FALSE)</f>
        <v>Säkkituoli</v>
      </c>
    </row>
    <row r="5604" spans="1:8" x14ac:dyDescent="0.35">
      <c r="A5604" t="s">
        <v>39</v>
      </c>
      <c r="B5604">
        <v>2018</v>
      </c>
      <c r="C5604">
        <v>11</v>
      </c>
      <c r="D5604">
        <v>21179</v>
      </c>
      <c r="E5604">
        <v>44</v>
      </c>
      <c r="F5604">
        <v>5244.81</v>
      </c>
      <c r="G5604">
        <v>4128.99</v>
      </c>
      <c r="H5604" s="11" t="str">
        <f>VLOOKUP(myynnit[[#This Row],[TuoteID]],ohjaus!$A$4:$B$20,2,FALSE)</f>
        <v>Rahi</v>
      </c>
    </row>
    <row r="5605" spans="1:8" x14ac:dyDescent="0.35">
      <c r="A5605" t="s">
        <v>39</v>
      </c>
      <c r="B5605">
        <v>2018</v>
      </c>
      <c r="C5605">
        <v>11</v>
      </c>
      <c r="D5605">
        <v>21260</v>
      </c>
      <c r="E5605">
        <v>24</v>
      </c>
      <c r="F5605">
        <v>5003.5600000000004</v>
      </c>
      <c r="G5605">
        <v>1588.5</v>
      </c>
      <c r="H5605" s="11" t="str">
        <f>VLOOKUP(myynnit[[#This Row],[TuoteID]],ohjaus!$A$4:$B$20,2,FALSE)</f>
        <v>Lepotuoli</v>
      </c>
    </row>
    <row r="5606" spans="1:8" x14ac:dyDescent="0.35">
      <c r="A5606" t="s">
        <v>39</v>
      </c>
      <c r="B5606">
        <v>2018</v>
      </c>
      <c r="C5606">
        <v>11</v>
      </c>
      <c r="D5606">
        <v>22317</v>
      </c>
      <c r="E5606">
        <v>52</v>
      </c>
      <c r="F5606">
        <v>3922.93</v>
      </c>
      <c r="G5606">
        <v>1993.76</v>
      </c>
      <c r="H5606" s="11" t="str">
        <f>VLOOKUP(myynnit[[#This Row],[TuoteID]],ohjaus!$A$4:$B$20,2,FALSE)</f>
        <v>Säkkituoli</v>
      </c>
    </row>
    <row r="5607" spans="1:8" x14ac:dyDescent="0.35">
      <c r="A5607" t="s">
        <v>39</v>
      </c>
      <c r="B5607">
        <v>2018</v>
      </c>
      <c r="C5607">
        <v>11</v>
      </c>
      <c r="D5607">
        <v>22940</v>
      </c>
      <c r="E5607">
        <v>747</v>
      </c>
      <c r="F5607">
        <v>88406.39</v>
      </c>
      <c r="G5607">
        <v>19888.37</v>
      </c>
      <c r="H5607" s="11" t="str">
        <f>VLOOKUP(myynnit[[#This Row],[TuoteID]],ohjaus!$A$4:$B$20,2,FALSE)</f>
        <v>Pinnatuoli</v>
      </c>
    </row>
    <row r="5608" spans="1:8" x14ac:dyDescent="0.35">
      <c r="A5608" t="s">
        <v>39</v>
      </c>
      <c r="B5608">
        <v>2018</v>
      </c>
      <c r="C5608">
        <v>11</v>
      </c>
      <c r="D5608">
        <v>23178</v>
      </c>
      <c r="E5608">
        <v>256</v>
      </c>
      <c r="F5608">
        <v>46091.29</v>
      </c>
      <c r="G5608">
        <v>12317.98</v>
      </c>
      <c r="H5608" s="11" t="str">
        <f>VLOOKUP(myynnit[[#This Row],[TuoteID]],ohjaus!$A$4:$B$20,2,FALSE)</f>
        <v>Pinnatuoli</v>
      </c>
    </row>
    <row r="5609" spans="1:8" x14ac:dyDescent="0.35">
      <c r="A5609" t="s">
        <v>39</v>
      </c>
      <c r="B5609">
        <v>2018</v>
      </c>
      <c r="C5609">
        <v>11</v>
      </c>
      <c r="D5609">
        <v>23600</v>
      </c>
      <c r="E5609">
        <v>621</v>
      </c>
      <c r="F5609">
        <v>73317.759999999995</v>
      </c>
      <c r="G5609">
        <v>17868.78</v>
      </c>
      <c r="H5609" s="11" t="str">
        <f>VLOOKUP(myynnit[[#This Row],[TuoteID]],ohjaus!$A$4:$B$20,2,FALSE)</f>
        <v>Pinnatuoli</v>
      </c>
    </row>
    <row r="5610" spans="1:8" x14ac:dyDescent="0.35">
      <c r="A5610" t="s">
        <v>39</v>
      </c>
      <c r="B5610">
        <v>2018</v>
      </c>
      <c r="C5610">
        <v>11</v>
      </c>
      <c r="D5610">
        <v>23756</v>
      </c>
      <c r="E5610">
        <v>113</v>
      </c>
      <c r="F5610">
        <v>22080.720000000001</v>
      </c>
      <c r="G5610">
        <v>12410.02</v>
      </c>
      <c r="H5610" s="11" t="str">
        <f>VLOOKUP(myynnit[[#This Row],[TuoteID]],ohjaus!$A$4:$B$20,2,FALSE)</f>
        <v>Pianotuoli</v>
      </c>
    </row>
    <row r="5611" spans="1:8" x14ac:dyDescent="0.35">
      <c r="A5611" t="s">
        <v>39</v>
      </c>
      <c r="B5611">
        <v>2018</v>
      </c>
      <c r="C5611">
        <v>11</v>
      </c>
      <c r="D5611">
        <v>24326</v>
      </c>
      <c r="E5611">
        <v>101</v>
      </c>
      <c r="F5611">
        <v>13615.62</v>
      </c>
      <c r="G5611">
        <v>4514.16</v>
      </c>
      <c r="H5611" s="11" t="str">
        <f>VLOOKUP(myynnit[[#This Row],[TuoteID]],ohjaus!$A$4:$B$20,2,FALSE)</f>
        <v>Lepotuoli</v>
      </c>
    </row>
    <row r="5612" spans="1:8" x14ac:dyDescent="0.35">
      <c r="A5612" t="s">
        <v>38</v>
      </c>
      <c r="B5612">
        <v>2018</v>
      </c>
      <c r="C5612">
        <v>11</v>
      </c>
      <c r="D5612">
        <v>12184</v>
      </c>
      <c r="E5612">
        <v>44</v>
      </c>
      <c r="F5612">
        <v>6216.6</v>
      </c>
      <c r="G5612">
        <v>3643.18</v>
      </c>
      <c r="H5612" s="11" t="str">
        <f>VLOOKUP(myynnit[[#This Row],[TuoteID]],ohjaus!$A$4:$B$20,2,FALSE)</f>
        <v>Rahi</v>
      </c>
    </row>
    <row r="5613" spans="1:8" x14ac:dyDescent="0.35">
      <c r="A5613" t="s">
        <v>38</v>
      </c>
      <c r="B5613">
        <v>2018</v>
      </c>
      <c r="C5613">
        <v>11</v>
      </c>
      <c r="D5613">
        <v>12622</v>
      </c>
      <c r="E5613">
        <v>67</v>
      </c>
      <c r="F5613">
        <v>19351.96</v>
      </c>
      <c r="G5613">
        <v>7750.27</v>
      </c>
      <c r="H5613" s="11" t="str">
        <f>VLOOKUP(myynnit[[#This Row],[TuoteID]],ohjaus!$A$4:$B$20,2,FALSE)</f>
        <v>Pianotuoli</v>
      </c>
    </row>
    <row r="5614" spans="1:8" x14ac:dyDescent="0.35">
      <c r="A5614" t="s">
        <v>38</v>
      </c>
      <c r="B5614">
        <v>2018</v>
      </c>
      <c r="C5614">
        <v>11</v>
      </c>
      <c r="D5614">
        <v>13527</v>
      </c>
      <c r="E5614">
        <v>689</v>
      </c>
      <c r="F5614">
        <v>102283.53</v>
      </c>
      <c r="G5614">
        <v>18660.990000000002</v>
      </c>
      <c r="H5614" s="11" t="str">
        <f>VLOOKUP(myynnit[[#This Row],[TuoteID]],ohjaus!$A$4:$B$20,2,FALSE)</f>
        <v>Pinnatuoli</v>
      </c>
    </row>
    <row r="5615" spans="1:8" x14ac:dyDescent="0.35">
      <c r="A5615" t="s">
        <v>38</v>
      </c>
      <c r="B5615">
        <v>2018</v>
      </c>
      <c r="C5615">
        <v>11</v>
      </c>
      <c r="D5615">
        <v>13618</v>
      </c>
      <c r="E5615">
        <v>8</v>
      </c>
      <c r="F5615">
        <v>3032.28</v>
      </c>
      <c r="G5615">
        <v>1504.01</v>
      </c>
      <c r="H5615" s="11" t="str">
        <f>VLOOKUP(myynnit[[#This Row],[TuoteID]],ohjaus!$A$4:$B$20,2,FALSE)</f>
        <v>Pianotuoli</v>
      </c>
    </row>
    <row r="5616" spans="1:8" x14ac:dyDescent="0.35">
      <c r="A5616" t="s">
        <v>38</v>
      </c>
      <c r="B5616">
        <v>2018</v>
      </c>
      <c r="C5616">
        <v>11</v>
      </c>
      <c r="D5616">
        <v>16024</v>
      </c>
      <c r="E5616">
        <v>166</v>
      </c>
      <c r="F5616">
        <v>68879.44</v>
      </c>
      <c r="G5616">
        <v>17782.919999999998</v>
      </c>
      <c r="H5616" s="11" t="str">
        <f>VLOOKUP(myynnit[[#This Row],[TuoteID]],ohjaus!$A$4:$B$20,2,FALSE)</f>
        <v>Työtuoli</v>
      </c>
    </row>
    <row r="5617" spans="1:8" x14ac:dyDescent="0.35">
      <c r="A5617" t="s">
        <v>38</v>
      </c>
      <c r="B5617">
        <v>2018</v>
      </c>
      <c r="C5617">
        <v>11</v>
      </c>
      <c r="D5617">
        <v>16650</v>
      </c>
      <c r="E5617">
        <v>22</v>
      </c>
      <c r="F5617">
        <v>2937.2</v>
      </c>
      <c r="G5617">
        <v>1569.42</v>
      </c>
      <c r="H5617" s="11" t="str">
        <f>VLOOKUP(myynnit[[#This Row],[TuoteID]],ohjaus!$A$4:$B$20,2,FALSE)</f>
        <v>Rahi</v>
      </c>
    </row>
    <row r="5618" spans="1:8" x14ac:dyDescent="0.35">
      <c r="A5618" t="s">
        <v>38</v>
      </c>
      <c r="B5618">
        <v>2018</v>
      </c>
      <c r="C5618">
        <v>11</v>
      </c>
      <c r="D5618">
        <v>17892</v>
      </c>
      <c r="E5618">
        <v>95</v>
      </c>
      <c r="F5618">
        <v>13436.85</v>
      </c>
      <c r="G5618">
        <v>3823.75</v>
      </c>
      <c r="H5618" s="11" t="str">
        <f>VLOOKUP(myynnit[[#This Row],[TuoteID]],ohjaus!$A$4:$B$20,2,FALSE)</f>
        <v>Lepotuoli</v>
      </c>
    </row>
    <row r="5619" spans="1:8" x14ac:dyDescent="0.35">
      <c r="A5619" t="s">
        <v>38</v>
      </c>
      <c r="B5619">
        <v>2018</v>
      </c>
      <c r="C5619">
        <v>11</v>
      </c>
      <c r="D5619">
        <v>18342</v>
      </c>
      <c r="E5619">
        <v>183</v>
      </c>
      <c r="F5619">
        <v>143440.93</v>
      </c>
      <c r="G5619">
        <v>33308.58</v>
      </c>
      <c r="H5619" s="11" t="str">
        <f>VLOOKUP(myynnit[[#This Row],[TuoteID]],ohjaus!$A$4:$B$20,2,FALSE)</f>
        <v>Työtuoli</v>
      </c>
    </row>
    <row r="5620" spans="1:8" x14ac:dyDescent="0.35">
      <c r="A5620" t="s">
        <v>38</v>
      </c>
      <c r="B5620">
        <v>2018</v>
      </c>
      <c r="C5620">
        <v>11</v>
      </c>
      <c r="D5620">
        <v>20177</v>
      </c>
      <c r="E5620">
        <v>72</v>
      </c>
      <c r="F5620">
        <v>6475.22</v>
      </c>
      <c r="G5620">
        <v>2539.54</v>
      </c>
      <c r="H5620" s="11" t="str">
        <f>VLOOKUP(myynnit[[#This Row],[TuoteID]],ohjaus!$A$4:$B$20,2,FALSE)</f>
        <v>Säkkituoli</v>
      </c>
    </row>
    <row r="5621" spans="1:8" x14ac:dyDescent="0.35">
      <c r="A5621" t="s">
        <v>38</v>
      </c>
      <c r="B5621">
        <v>2018</v>
      </c>
      <c r="C5621">
        <v>11</v>
      </c>
      <c r="D5621">
        <v>21179</v>
      </c>
      <c r="E5621">
        <v>43</v>
      </c>
      <c r="F5621">
        <v>4736.1000000000004</v>
      </c>
      <c r="G5621">
        <v>2286.9499999999998</v>
      </c>
      <c r="H5621" s="11" t="str">
        <f>VLOOKUP(myynnit[[#This Row],[TuoteID]],ohjaus!$A$4:$B$20,2,FALSE)</f>
        <v>Rahi</v>
      </c>
    </row>
    <row r="5622" spans="1:8" x14ac:dyDescent="0.35">
      <c r="A5622" t="s">
        <v>38</v>
      </c>
      <c r="B5622">
        <v>2018</v>
      </c>
      <c r="C5622">
        <v>11</v>
      </c>
      <c r="D5622">
        <v>21260</v>
      </c>
      <c r="E5622">
        <v>72</v>
      </c>
      <c r="F5622">
        <v>13266.79</v>
      </c>
      <c r="G5622">
        <v>3096.3</v>
      </c>
      <c r="H5622" s="11" t="str">
        <f>VLOOKUP(myynnit[[#This Row],[TuoteID]],ohjaus!$A$4:$B$20,2,FALSE)</f>
        <v>Lepotuoli</v>
      </c>
    </row>
    <row r="5623" spans="1:8" x14ac:dyDescent="0.35">
      <c r="A5623" t="s">
        <v>38</v>
      </c>
      <c r="B5623">
        <v>2018</v>
      </c>
      <c r="C5623">
        <v>11</v>
      </c>
      <c r="D5623">
        <v>22317</v>
      </c>
      <c r="E5623">
        <v>84</v>
      </c>
      <c r="F5623">
        <v>7775.01</v>
      </c>
      <c r="G5623">
        <v>3256.21</v>
      </c>
      <c r="H5623" s="11" t="str">
        <f>VLOOKUP(myynnit[[#This Row],[TuoteID]],ohjaus!$A$4:$B$20,2,FALSE)</f>
        <v>Säkkituoli</v>
      </c>
    </row>
    <row r="5624" spans="1:8" x14ac:dyDescent="0.35">
      <c r="A5624" t="s">
        <v>38</v>
      </c>
      <c r="B5624">
        <v>2018</v>
      </c>
      <c r="C5624">
        <v>11</v>
      </c>
      <c r="D5624">
        <v>22940</v>
      </c>
      <c r="E5624">
        <v>578</v>
      </c>
      <c r="F5624">
        <v>69213.850000000006</v>
      </c>
      <c r="G5624">
        <v>12999.97</v>
      </c>
      <c r="H5624" s="11" t="str">
        <f>VLOOKUP(myynnit[[#This Row],[TuoteID]],ohjaus!$A$4:$B$20,2,FALSE)</f>
        <v>Pinnatuoli</v>
      </c>
    </row>
    <row r="5625" spans="1:8" x14ac:dyDescent="0.35">
      <c r="A5625" t="s">
        <v>38</v>
      </c>
      <c r="B5625">
        <v>2018</v>
      </c>
      <c r="C5625">
        <v>11</v>
      </c>
      <c r="D5625">
        <v>23178</v>
      </c>
      <c r="E5625">
        <v>301</v>
      </c>
      <c r="F5625">
        <v>55316.28</v>
      </c>
      <c r="G5625">
        <v>11935.86</v>
      </c>
      <c r="H5625" s="11" t="str">
        <f>VLOOKUP(myynnit[[#This Row],[TuoteID]],ohjaus!$A$4:$B$20,2,FALSE)</f>
        <v>Pinnatuoli</v>
      </c>
    </row>
    <row r="5626" spans="1:8" x14ac:dyDescent="0.35">
      <c r="A5626" t="s">
        <v>38</v>
      </c>
      <c r="B5626">
        <v>2018</v>
      </c>
      <c r="C5626">
        <v>11</v>
      </c>
      <c r="D5626">
        <v>23600</v>
      </c>
      <c r="E5626">
        <v>1384</v>
      </c>
      <c r="F5626">
        <v>158991.59</v>
      </c>
      <c r="G5626">
        <v>32785.120000000003</v>
      </c>
      <c r="H5626" s="11" t="str">
        <f>VLOOKUP(myynnit[[#This Row],[TuoteID]],ohjaus!$A$4:$B$20,2,FALSE)</f>
        <v>Pinnatuoli</v>
      </c>
    </row>
    <row r="5627" spans="1:8" x14ac:dyDescent="0.35">
      <c r="A5627" t="s">
        <v>38</v>
      </c>
      <c r="B5627">
        <v>2018</v>
      </c>
      <c r="C5627">
        <v>11</v>
      </c>
      <c r="D5627">
        <v>23756</v>
      </c>
      <c r="E5627">
        <v>145</v>
      </c>
      <c r="F5627">
        <v>25948.91</v>
      </c>
      <c r="G5627">
        <v>12426.82</v>
      </c>
      <c r="H5627" s="11" t="str">
        <f>VLOOKUP(myynnit[[#This Row],[TuoteID]],ohjaus!$A$4:$B$20,2,FALSE)</f>
        <v>Pianotuoli</v>
      </c>
    </row>
    <row r="5628" spans="1:8" x14ac:dyDescent="0.35">
      <c r="A5628" t="s">
        <v>38</v>
      </c>
      <c r="B5628">
        <v>2018</v>
      </c>
      <c r="C5628">
        <v>11</v>
      </c>
      <c r="D5628">
        <v>24326</v>
      </c>
      <c r="E5628">
        <v>121</v>
      </c>
      <c r="F5628">
        <v>16896.22</v>
      </c>
      <c r="G5628">
        <v>3789.96</v>
      </c>
      <c r="H5628" s="11" t="str">
        <f>VLOOKUP(myynnit[[#This Row],[TuoteID]],ohjaus!$A$4:$B$20,2,FALSE)</f>
        <v>Lepotuoli</v>
      </c>
    </row>
    <row r="5629" spans="1:8" x14ac:dyDescent="0.35">
      <c r="A5629" t="s">
        <v>40</v>
      </c>
      <c r="B5629">
        <v>2018</v>
      </c>
      <c r="C5629">
        <v>11</v>
      </c>
      <c r="D5629">
        <v>12184</v>
      </c>
      <c r="E5629">
        <v>28</v>
      </c>
      <c r="F5629">
        <v>3312.35</v>
      </c>
      <c r="G5629">
        <v>1817.02</v>
      </c>
      <c r="H5629" s="11" t="str">
        <f>VLOOKUP(myynnit[[#This Row],[TuoteID]],ohjaus!$A$4:$B$20,2,FALSE)</f>
        <v>Rahi</v>
      </c>
    </row>
    <row r="5630" spans="1:8" x14ac:dyDescent="0.35">
      <c r="A5630" t="s">
        <v>40</v>
      </c>
      <c r="B5630">
        <v>2018</v>
      </c>
      <c r="C5630">
        <v>11</v>
      </c>
      <c r="D5630">
        <v>12622</v>
      </c>
      <c r="E5630">
        <v>18</v>
      </c>
      <c r="F5630">
        <v>5094.43</v>
      </c>
      <c r="G5630">
        <v>2123.04</v>
      </c>
      <c r="H5630" s="11" t="str">
        <f>VLOOKUP(myynnit[[#This Row],[TuoteID]],ohjaus!$A$4:$B$20,2,FALSE)</f>
        <v>Pianotuoli</v>
      </c>
    </row>
    <row r="5631" spans="1:8" x14ac:dyDescent="0.35">
      <c r="A5631" t="s">
        <v>40</v>
      </c>
      <c r="B5631">
        <v>2018</v>
      </c>
      <c r="C5631">
        <v>11</v>
      </c>
      <c r="D5631">
        <v>13527</v>
      </c>
      <c r="E5631">
        <v>211</v>
      </c>
      <c r="F5631">
        <v>32886.57</v>
      </c>
      <c r="G5631">
        <v>5223.9799999999996</v>
      </c>
      <c r="H5631" s="11" t="str">
        <f>VLOOKUP(myynnit[[#This Row],[TuoteID]],ohjaus!$A$4:$B$20,2,FALSE)</f>
        <v>Pinnatuoli</v>
      </c>
    </row>
    <row r="5632" spans="1:8" x14ac:dyDescent="0.35">
      <c r="A5632" t="s">
        <v>40</v>
      </c>
      <c r="B5632">
        <v>2018</v>
      </c>
      <c r="C5632">
        <v>11</v>
      </c>
      <c r="D5632">
        <v>13618</v>
      </c>
      <c r="E5632">
        <v>9</v>
      </c>
      <c r="F5632">
        <v>2972.12</v>
      </c>
      <c r="G5632">
        <v>1238.8699999999999</v>
      </c>
      <c r="H5632" s="11" t="str">
        <f>VLOOKUP(myynnit[[#This Row],[TuoteID]],ohjaus!$A$4:$B$20,2,FALSE)</f>
        <v>Pianotuoli</v>
      </c>
    </row>
    <row r="5633" spans="1:8" x14ac:dyDescent="0.35">
      <c r="A5633" t="s">
        <v>40</v>
      </c>
      <c r="B5633">
        <v>2018</v>
      </c>
      <c r="C5633">
        <v>11</v>
      </c>
      <c r="D5633">
        <v>16024</v>
      </c>
      <c r="E5633">
        <v>109</v>
      </c>
      <c r="F5633">
        <v>51987.67</v>
      </c>
      <c r="G5633">
        <v>15206.74</v>
      </c>
      <c r="H5633" s="11" t="str">
        <f>VLOOKUP(myynnit[[#This Row],[TuoteID]],ohjaus!$A$4:$B$20,2,FALSE)</f>
        <v>Työtuoli</v>
      </c>
    </row>
    <row r="5634" spans="1:8" x14ac:dyDescent="0.35">
      <c r="A5634" t="s">
        <v>40</v>
      </c>
      <c r="B5634">
        <v>2018</v>
      </c>
      <c r="C5634">
        <v>11</v>
      </c>
      <c r="D5634">
        <v>16650</v>
      </c>
      <c r="E5634">
        <v>14</v>
      </c>
      <c r="F5634">
        <v>2055.5500000000002</v>
      </c>
      <c r="G5634">
        <v>1242.33</v>
      </c>
      <c r="H5634" s="11" t="str">
        <f>VLOOKUP(myynnit[[#This Row],[TuoteID]],ohjaus!$A$4:$B$20,2,FALSE)</f>
        <v>Rahi</v>
      </c>
    </row>
    <row r="5635" spans="1:8" x14ac:dyDescent="0.35">
      <c r="A5635" t="s">
        <v>40</v>
      </c>
      <c r="B5635">
        <v>2018</v>
      </c>
      <c r="C5635">
        <v>11</v>
      </c>
      <c r="D5635">
        <v>17892</v>
      </c>
      <c r="E5635">
        <v>68</v>
      </c>
      <c r="F5635">
        <v>9327.61</v>
      </c>
      <c r="G5635">
        <v>2596.66</v>
      </c>
      <c r="H5635" s="11" t="str">
        <f>VLOOKUP(myynnit[[#This Row],[TuoteID]],ohjaus!$A$4:$B$20,2,FALSE)</f>
        <v>Lepotuoli</v>
      </c>
    </row>
    <row r="5636" spans="1:8" x14ac:dyDescent="0.35">
      <c r="A5636" t="s">
        <v>40</v>
      </c>
      <c r="B5636">
        <v>2018</v>
      </c>
      <c r="C5636">
        <v>11</v>
      </c>
      <c r="D5636">
        <v>18342</v>
      </c>
      <c r="E5636">
        <v>13</v>
      </c>
      <c r="F5636">
        <v>9961.18</v>
      </c>
      <c r="G5636">
        <v>2852.42</v>
      </c>
      <c r="H5636" s="11" t="str">
        <f>VLOOKUP(myynnit[[#This Row],[TuoteID]],ohjaus!$A$4:$B$20,2,FALSE)</f>
        <v>Työtuoli</v>
      </c>
    </row>
    <row r="5637" spans="1:8" x14ac:dyDescent="0.35">
      <c r="A5637" t="s">
        <v>40</v>
      </c>
      <c r="B5637">
        <v>2018</v>
      </c>
      <c r="C5637">
        <v>11</v>
      </c>
      <c r="D5637">
        <v>20177</v>
      </c>
      <c r="E5637">
        <v>27</v>
      </c>
      <c r="F5637">
        <v>2743.01</v>
      </c>
      <c r="G5637">
        <v>1196.22</v>
      </c>
      <c r="H5637" s="11" t="str">
        <f>VLOOKUP(myynnit[[#This Row],[TuoteID]],ohjaus!$A$4:$B$20,2,FALSE)</f>
        <v>Säkkituoli</v>
      </c>
    </row>
    <row r="5638" spans="1:8" x14ac:dyDescent="0.35">
      <c r="A5638" t="s">
        <v>40</v>
      </c>
      <c r="B5638">
        <v>2018</v>
      </c>
      <c r="C5638">
        <v>11</v>
      </c>
      <c r="D5638">
        <v>21179</v>
      </c>
      <c r="E5638">
        <v>47</v>
      </c>
      <c r="F5638">
        <v>4974.97</v>
      </c>
      <c r="G5638">
        <v>2721.13</v>
      </c>
      <c r="H5638" s="11" t="str">
        <f>VLOOKUP(myynnit[[#This Row],[TuoteID]],ohjaus!$A$4:$B$20,2,FALSE)</f>
        <v>Rahi</v>
      </c>
    </row>
    <row r="5639" spans="1:8" x14ac:dyDescent="0.35">
      <c r="A5639" t="s">
        <v>40</v>
      </c>
      <c r="B5639">
        <v>2018</v>
      </c>
      <c r="C5639">
        <v>11</v>
      </c>
      <c r="D5639">
        <v>21260</v>
      </c>
      <c r="E5639">
        <v>43</v>
      </c>
      <c r="F5639">
        <v>8101.08</v>
      </c>
      <c r="G5639">
        <v>2040.8</v>
      </c>
      <c r="H5639" s="11" t="str">
        <f>VLOOKUP(myynnit[[#This Row],[TuoteID]],ohjaus!$A$4:$B$20,2,FALSE)</f>
        <v>Lepotuoli</v>
      </c>
    </row>
    <row r="5640" spans="1:8" x14ac:dyDescent="0.35">
      <c r="A5640" t="s">
        <v>40</v>
      </c>
      <c r="B5640">
        <v>2018</v>
      </c>
      <c r="C5640">
        <v>11</v>
      </c>
      <c r="D5640">
        <v>22317</v>
      </c>
      <c r="E5640">
        <v>16</v>
      </c>
      <c r="F5640">
        <v>1593.68</v>
      </c>
      <c r="G5640">
        <v>684.67</v>
      </c>
      <c r="H5640" s="11" t="str">
        <f>VLOOKUP(myynnit[[#This Row],[TuoteID]],ohjaus!$A$4:$B$20,2,FALSE)</f>
        <v>Säkkituoli</v>
      </c>
    </row>
    <row r="5641" spans="1:8" x14ac:dyDescent="0.35">
      <c r="A5641" t="s">
        <v>40</v>
      </c>
      <c r="B5641">
        <v>2018</v>
      </c>
      <c r="C5641">
        <v>11</v>
      </c>
      <c r="D5641">
        <v>22940</v>
      </c>
      <c r="E5641">
        <v>102</v>
      </c>
      <c r="F5641">
        <v>13082.16</v>
      </c>
      <c r="G5641">
        <v>3881.7</v>
      </c>
      <c r="H5641" s="11" t="str">
        <f>VLOOKUP(myynnit[[#This Row],[TuoteID]],ohjaus!$A$4:$B$20,2,FALSE)</f>
        <v>Pinnatuoli</v>
      </c>
    </row>
    <row r="5642" spans="1:8" x14ac:dyDescent="0.35">
      <c r="A5642" t="s">
        <v>40</v>
      </c>
      <c r="B5642">
        <v>2018</v>
      </c>
      <c r="C5642">
        <v>11</v>
      </c>
      <c r="D5642">
        <v>23178</v>
      </c>
      <c r="E5642">
        <v>302</v>
      </c>
      <c r="F5642">
        <v>55413.06</v>
      </c>
      <c r="G5642">
        <v>13792.01</v>
      </c>
      <c r="H5642" s="11" t="str">
        <f>VLOOKUP(myynnit[[#This Row],[TuoteID]],ohjaus!$A$4:$B$20,2,FALSE)</f>
        <v>Pinnatuoli</v>
      </c>
    </row>
    <row r="5643" spans="1:8" x14ac:dyDescent="0.35">
      <c r="A5643" t="s">
        <v>40</v>
      </c>
      <c r="B5643">
        <v>2018</v>
      </c>
      <c r="C5643">
        <v>11</v>
      </c>
      <c r="D5643">
        <v>23600</v>
      </c>
      <c r="E5643">
        <v>561</v>
      </c>
      <c r="F5643">
        <v>64406.97</v>
      </c>
      <c r="G5643">
        <v>14728.94</v>
      </c>
      <c r="H5643" s="11" t="str">
        <f>VLOOKUP(myynnit[[#This Row],[TuoteID]],ohjaus!$A$4:$B$20,2,FALSE)</f>
        <v>Pinnatuoli</v>
      </c>
    </row>
    <row r="5644" spans="1:8" x14ac:dyDescent="0.35">
      <c r="A5644" t="s">
        <v>40</v>
      </c>
      <c r="B5644">
        <v>2018</v>
      </c>
      <c r="C5644">
        <v>11</v>
      </c>
      <c r="D5644">
        <v>23756</v>
      </c>
      <c r="E5644">
        <v>45</v>
      </c>
      <c r="F5644">
        <v>8696.16</v>
      </c>
      <c r="G5644">
        <v>3973.31</v>
      </c>
      <c r="H5644" s="11" t="str">
        <f>VLOOKUP(myynnit[[#This Row],[TuoteID]],ohjaus!$A$4:$B$20,2,FALSE)</f>
        <v>Pianotuoli</v>
      </c>
    </row>
    <row r="5645" spans="1:8" x14ac:dyDescent="0.35">
      <c r="A5645" t="s">
        <v>40</v>
      </c>
      <c r="B5645">
        <v>2018</v>
      </c>
      <c r="C5645">
        <v>11</v>
      </c>
      <c r="D5645">
        <v>24326</v>
      </c>
      <c r="E5645">
        <v>44</v>
      </c>
      <c r="F5645">
        <v>6222.61</v>
      </c>
      <c r="G5645">
        <v>1703.87</v>
      </c>
      <c r="H5645" s="11" t="str">
        <f>VLOOKUP(myynnit[[#This Row],[TuoteID]],ohjaus!$A$4:$B$20,2,FALSE)</f>
        <v>Lepotuoli</v>
      </c>
    </row>
    <row r="5646" spans="1:8" x14ac:dyDescent="0.35">
      <c r="A5646" t="s">
        <v>37</v>
      </c>
      <c r="B5646">
        <v>2018</v>
      </c>
      <c r="C5646">
        <v>11</v>
      </c>
      <c r="D5646">
        <v>12184</v>
      </c>
      <c r="E5646">
        <v>42</v>
      </c>
      <c r="F5646">
        <v>4682.8100000000004</v>
      </c>
      <c r="G5646">
        <v>2335.77</v>
      </c>
      <c r="H5646" s="11" t="str">
        <f>VLOOKUP(myynnit[[#This Row],[TuoteID]],ohjaus!$A$4:$B$20,2,FALSE)</f>
        <v>Rahi</v>
      </c>
    </row>
    <row r="5647" spans="1:8" x14ac:dyDescent="0.35">
      <c r="A5647" t="s">
        <v>37</v>
      </c>
      <c r="B5647">
        <v>2018</v>
      </c>
      <c r="C5647">
        <v>11</v>
      </c>
      <c r="D5647">
        <v>12622</v>
      </c>
      <c r="E5647">
        <v>74</v>
      </c>
      <c r="F5647">
        <v>19942.54</v>
      </c>
      <c r="G5647">
        <v>10781.03</v>
      </c>
      <c r="H5647" s="11" t="str">
        <f>VLOOKUP(myynnit[[#This Row],[TuoteID]],ohjaus!$A$4:$B$20,2,FALSE)</f>
        <v>Pianotuoli</v>
      </c>
    </row>
    <row r="5648" spans="1:8" x14ac:dyDescent="0.35">
      <c r="A5648" t="s">
        <v>37</v>
      </c>
      <c r="B5648">
        <v>2018</v>
      </c>
      <c r="C5648">
        <v>11</v>
      </c>
      <c r="D5648">
        <v>13527</v>
      </c>
      <c r="E5648">
        <v>584</v>
      </c>
      <c r="F5648">
        <v>87142.01</v>
      </c>
      <c r="G5648">
        <v>17656.400000000001</v>
      </c>
      <c r="H5648" s="11" t="str">
        <f>VLOOKUP(myynnit[[#This Row],[TuoteID]],ohjaus!$A$4:$B$20,2,FALSE)</f>
        <v>Pinnatuoli</v>
      </c>
    </row>
    <row r="5649" spans="1:8" x14ac:dyDescent="0.35">
      <c r="A5649" t="s">
        <v>37</v>
      </c>
      <c r="B5649">
        <v>2018</v>
      </c>
      <c r="C5649">
        <v>11</v>
      </c>
      <c r="D5649">
        <v>13618</v>
      </c>
      <c r="E5649">
        <v>11</v>
      </c>
      <c r="F5649">
        <v>4646.51</v>
      </c>
      <c r="G5649">
        <v>2264.08</v>
      </c>
      <c r="H5649" s="11" t="str">
        <f>VLOOKUP(myynnit[[#This Row],[TuoteID]],ohjaus!$A$4:$B$20,2,FALSE)</f>
        <v>Pianotuoli</v>
      </c>
    </row>
    <row r="5650" spans="1:8" x14ac:dyDescent="0.35">
      <c r="A5650" t="s">
        <v>37</v>
      </c>
      <c r="B5650">
        <v>2018</v>
      </c>
      <c r="C5650">
        <v>11</v>
      </c>
      <c r="D5650">
        <v>16024</v>
      </c>
      <c r="E5650">
        <v>216</v>
      </c>
      <c r="F5650">
        <v>82235.7</v>
      </c>
      <c r="G5650">
        <v>24051.51</v>
      </c>
      <c r="H5650" s="11" t="str">
        <f>VLOOKUP(myynnit[[#This Row],[TuoteID]],ohjaus!$A$4:$B$20,2,FALSE)</f>
        <v>Työtuoli</v>
      </c>
    </row>
    <row r="5651" spans="1:8" x14ac:dyDescent="0.35">
      <c r="A5651" t="s">
        <v>37</v>
      </c>
      <c r="B5651">
        <v>2018</v>
      </c>
      <c r="C5651">
        <v>11</v>
      </c>
      <c r="D5651">
        <v>16650</v>
      </c>
      <c r="E5651">
        <v>40</v>
      </c>
      <c r="F5651">
        <v>6806.76</v>
      </c>
      <c r="G5651">
        <v>3353.93</v>
      </c>
      <c r="H5651" s="11" t="str">
        <f>VLOOKUP(myynnit[[#This Row],[TuoteID]],ohjaus!$A$4:$B$20,2,FALSE)</f>
        <v>Rahi</v>
      </c>
    </row>
    <row r="5652" spans="1:8" x14ac:dyDescent="0.35">
      <c r="A5652" t="s">
        <v>37</v>
      </c>
      <c r="B5652">
        <v>2018</v>
      </c>
      <c r="C5652">
        <v>11</v>
      </c>
      <c r="D5652">
        <v>17892</v>
      </c>
      <c r="E5652">
        <v>180</v>
      </c>
      <c r="F5652">
        <v>28352.65</v>
      </c>
      <c r="G5652">
        <v>8012.14</v>
      </c>
      <c r="H5652" s="11" t="str">
        <f>VLOOKUP(myynnit[[#This Row],[TuoteID]],ohjaus!$A$4:$B$20,2,FALSE)</f>
        <v>Lepotuoli</v>
      </c>
    </row>
    <row r="5653" spans="1:8" x14ac:dyDescent="0.35">
      <c r="A5653" t="s">
        <v>37</v>
      </c>
      <c r="B5653">
        <v>2018</v>
      </c>
      <c r="C5653">
        <v>11</v>
      </c>
      <c r="D5653">
        <v>18342</v>
      </c>
      <c r="E5653">
        <v>160</v>
      </c>
      <c r="F5653">
        <v>121372.84</v>
      </c>
      <c r="G5653">
        <v>31343.96</v>
      </c>
      <c r="H5653" s="11" t="str">
        <f>VLOOKUP(myynnit[[#This Row],[TuoteID]],ohjaus!$A$4:$B$20,2,FALSE)</f>
        <v>Työtuoli</v>
      </c>
    </row>
    <row r="5654" spans="1:8" x14ac:dyDescent="0.35">
      <c r="A5654" t="s">
        <v>37</v>
      </c>
      <c r="B5654">
        <v>2018</v>
      </c>
      <c r="C5654">
        <v>11</v>
      </c>
      <c r="D5654">
        <v>20177</v>
      </c>
      <c r="E5654">
        <v>95</v>
      </c>
      <c r="F5654">
        <v>10323.1</v>
      </c>
      <c r="G5654">
        <v>4277.5200000000004</v>
      </c>
      <c r="H5654" s="11" t="str">
        <f>VLOOKUP(myynnit[[#This Row],[TuoteID]],ohjaus!$A$4:$B$20,2,FALSE)</f>
        <v>Säkkituoli</v>
      </c>
    </row>
    <row r="5655" spans="1:8" x14ac:dyDescent="0.35">
      <c r="A5655" t="s">
        <v>37</v>
      </c>
      <c r="B5655">
        <v>2018</v>
      </c>
      <c r="C5655">
        <v>11</v>
      </c>
      <c r="D5655">
        <v>21179</v>
      </c>
      <c r="E5655">
        <v>57</v>
      </c>
      <c r="F5655">
        <v>5927.93</v>
      </c>
      <c r="G5655">
        <v>2585.59</v>
      </c>
      <c r="H5655" s="11" t="str">
        <f>VLOOKUP(myynnit[[#This Row],[TuoteID]],ohjaus!$A$4:$B$20,2,FALSE)</f>
        <v>Rahi</v>
      </c>
    </row>
    <row r="5656" spans="1:8" x14ac:dyDescent="0.35">
      <c r="A5656" t="s">
        <v>37</v>
      </c>
      <c r="B5656">
        <v>2018</v>
      </c>
      <c r="C5656">
        <v>11</v>
      </c>
      <c r="D5656">
        <v>21260</v>
      </c>
      <c r="E5656">
        <v>52</v>
      </c>
      <c r="F5656">
        <v>10900.31</v>
      </c>
      <c r="G5656">
        <v>2646.69</v>
      </c>
      <c r="H5656" s="11" t="str">
        <f>VLOOKUP(myynnit[[#This Row],[TuoteID]],ohjaus!$A$4:$B$20,2,FALSE)</f>
        <v>Lepotuoli</v>
      </c>
    </row>
    <row r="5657" spans="1:8" x14ac:dyDescent="0.35">
      <c r="A5657" t="s">
        <v>37</v>
      </c>
      <c r="B5657">
        <v>2018</v>
      </c>
      <c r="C5657">
        <v>11</v>
      </c>
      <c r="D5657">
        <v>22317</v>
      </c>
      <c r="E5657">
        <v>59</v>
      </c>
      <c r="F5657">
        <v>5581.87</v>
      </c>
      <c r="G5657">
        <v>2376.63</v>
      </c>
      <c r="H5657" s="11" t="str">
        <f>VLOOKUP(myynnit[[#This Row],[TuoteID]],ohjaus!$A$4:$B$20,2,FALSE)</f>
        <v>Säkkituoli</v>
      </c>
    </row>
    <row r="5658" spans="1:8" x14ac:dyDescent="0.35">
      <c r="A5658" t="s">
        <v>37</v>
      </c>
      <c r="B5658">
        <v>2018</v>
      </c>
      <c r="C5658">
        <v>11</v>
      </c>
      <c r="D5658">
        <v>22940</v>
      </c>
      <c r="E5658">
        <v>701</v>
      </c>
      <c r="F5658">
        <v>89534.58</v>
      </c>
      <c r="G5658">
        <v>14487.67</v>
      </c>
      <c r="H5658" s="11" t="str">
        <f>VLOOKUP(myynnit[[#This Row],[TuoteID]],ohjaus!$A$4:$B$20,2,FALSE)</f>
        <v>Pinnatuoli</v>
      </c>
    </row>
    <row r="5659" spans="1:8" x14ac:dyDescent="0.35">
      <c r="A5659" t="s">
        <v>37</v>
      </c>
      <c r="B5659">
        <v>2018</v>
      </c>
      <c r="C5659">
        <v>11</v>
      </c>
      <c r="D5659">
        <v>23178</v>
      </c>
      <c r="E5659">
        <v>411</v>
      </c>
      <c r="F5659">
        <v>67589.78</v>
      </c>
      <c r="G5659">
        <v>11350.25</v>
      </c>
      <c r="H5659" s="11" t="str">
        <f>VLOOKUP(myynnit[[#This Row],[TuoteID]],ohjaus!$A$4:$B$20,2,FALSE)</f>
        <v>Pinnatuoli</v>
      </c>
    </row>
    <row r="5660" spans="1:8" x14ac:dyDescent="0.35">
      <c r="A5660" t="s">
        <v>37</v>
      </c>
      <c r="B5660">
        <v>2018</v>
      </c>
      <c r="C5660">
        <v>11</v>
      </c>
      <c r="D5660">
        <v>23600</v>
      </c>
      <c r="E5660">
        <v>1234</v>
      </c>
      <c r="F5660">
        <v>140590.41</v>
      </c>
      <c r="G5660">
        <v>30616.65</v>
      </c>
      <c r="H5660" s="11" t="str">
        <f>VLOOKUP(myynnit[[#This Row],[TuoteID]],ohjaus!$A$4:$B$20,2,FALSE)</f>
        <v>Pinnatuoli</v>
      </c>
    </row>
    <row r="5661" spans="1:8" x14ac:dyDescent="0.35">
      <c r="A5661" t="s">
        <v>37</v>
      </c>
      <c r="B5661">
        <v>2018</v>
      </c>
      <c r="C5661">
        <v>11</v>
      </c>
      <c r="D5661">
        <v>23756</v>
      </c>
      <c r="E5661">
        <v>139</v>
      </c>
      <c r="F5661">
        <v>24245.54</v>
      </c>
      <c r="G5661">
        <v>11820.58</v>
      </c>
      <c r="H5661" s="11" t="str">
        <f>VLOOKUP(myynnit[[#This Row],[TuoteID]],ohjaus!$A$4:$B$20,2,FALSE)</f>
        <v>Pianotuoli</v>
      </c>
    </row>
    <row r="5662" spans="1:8" x14ac:dyDescent="0.35">
      <c r="A5662" t="s">
        <v>37</v>
      </c>
      <c r="B5662">
        <v>2018</v>
      </c>
      <c r="C5662">
        <v>11</v>
      </c>
      <c r="D5662">
        <v>24326</v>
      </c>
      <c r="E5662">
        <v>166</v>
      </c>
      <c r="F5662">
        <v>20639.939999999999</v>
      </c>
      <c r="G5662">
        <v>6006.37</v>
      </c>
      <c r="H5662" s="11" t="str">
        <f>VLOOKUP(myynnit[[#This Row],[TuoteID]],ohjaus!$A$4:$B$20,2,FALSE)</f>
        <v>Lepotuoli</v>
      </c>
    </row>
    <row r="5663" spans="1:8" x14ac:dyDescent="0.35">
      <c r="A5663" t="s">
        <v>39</v>
      </c>
      <c r="B5663">
        <v>2018</v>
      </c>
      <c r="C5663">
        <v>11</v>
      </c>
      <c r="D5663">
        <v>12184</v>
      </c>
      <c r="E5663">
        <v>40</v>
      </c>
      <c r="F5663">
        <v>4924.57</v>
      </c>
      <c r="G5663">
        <v>3520.73</v>
      </c>
      <c r="H5663" s="11" t="str">
        <f>VLOOKUP(myynnit[[#This Row],[TuoteID]],ohjaus!$A$4:$B$20,2,FALSE)</f>
        <v>Rahi</v>
      </c>
    </row>
    <row r="5664" spans="1:8" x14ac:dyDescent="0.35">
      <c r="A5664" t="s">
        <v>39</v>
      </c>
      <c r="B5664">
        <v>2018</v>
      </c>
      <c r="C5664">
        <v>11</v>
      </c>
      <c r="D5664">
        <v>12622</v>
      </c>
      <c r="E5664">
        <v>28</v>
      </c>
      <c r="F5664">
        <v>8926.65</v>
      </c>
      <c r="G5664">
        <v>5577</v>
      </c>
      <c r="H5664" s="11" t="str">
        <f>VLOOKUP(myynnit[[#This Row],[TuoteID]],ohjaus!$A$4:$B$20,2,FALSE)</f>
        <v>Pianotuoli</v>
      </c>
    </row>
    <row r="5665" spans="1:8" x14ac:dyDescent="0.35">
      <c r="A5665" t="s">
        <v>39</v>
      </c>
      <c r="B5665">
        <v>2018</v>
      </c>
      <c r="C5665">
        <v>11</v>
      </c>
      <c r="D5665">
        <v>13527</v>
      </c>
      <c r="E5665">
        <v>409</v>
      </c>
      <c r="F5665">
        <v>67011.87</v>
      </c>
      <c r="G5665">
        <v>17442.169999999998</v>
      </c>
      <c r="H5665" s="11" t="str">
        <f>VLOOKUP(myynnit[[#This Row],[TuoteID]],ohjaus!$A$4:$B$20,2,FALSE)</f>
        <v>Pinnatuoli</v>
      </c>
    </row>
    <row r="5666" spans="1:8" x14ac:dyDescent="0.35">
      <c r="A5666" t="s">
        <v>39</v>
      </c>
      <c r="B5666">
        <v>2018</v>
      </c>
      <c r="C5666">
        <v>11</v>
      </c>
      <c r="D5666">
        <v>13618</v>
      </c>
      <c r="E5666">
        <v>25</v>
      </c>
      <c r="F5666">
        <v>10009.64</v>
      </c>
      <c r="G5666">
        <v>6014.25</v>
      </c>
      <c r="H5666" s="11" t="str">
        <f>VLOOKUP(myynnit[[#This Row],[TuoteID]],ohjaus!$A$4:$B$20,2,FALSE)</f>
        <v>Pianotuoli</v>
      </c>
    </row>
    <row r="5667" spans="1:8" x14ac:dyDescent="0.35">
      <c r="A5667" t="s">
        <v>39</v>
      </c>
      <c r="B5667">
        <v>2018</v>
      </c>
      <c r="C5667">
        <v>11</v>
      </c>
      <c r="D5667">
        <v>16024</v>
      </c>
      <c r="E5667">
        <v>340</v>
      </c>
      <c r="F5667">
        <v>141047.9</v>
      </c>
      <c r="G5667">
        <v>38182.199999999997</v>
      </c>
      <c r="H5667" s="11" t="str">
        <f>VLOOKUP(myynnit[[#This Row],[TuoteID]],ohjaus!$A$4:$B$20,2,FALSE)</f>
        <v>Työtuoli</v>
      </c>
    </row>
    <row r="5668" spans="1:8" x14ac:dyDescent="0.35">
      <c r="A5668" t="s">
        <v>39</v>
      </c>
      <c r="B5668">
        <v>2018</v>
      </c>
      <c r="C5668">
        <v>11</v>
      </c>
      <c r="D5668">
        <v>16650</v>
      </c>
      <c r="E5668">
        <v>40</v>
      </c>
      <c r="F5668">
        <v>5908.84</v>
      </c>
      <c r="G5668">
        <v>4013.86</v>
      </c>
      <c r="H5668" s="11" t="str">
        <f>VLOOKUP(myynnit[[#This Row],[TuoteID]],ohjaus!$A$4:$B$20,2,FALSE)</f>
        <v>Rahi</v>
      </c>
    </row>
    <row r="5669" spans="1:8" x14ac:dyDescent="0.35">
      <c r="A5669" t="s">
        <v>39</v>
      </c>
      <c r="B5669">
        <v>2018</v>
      </c>
      <c r="C5669">
        <v>11</v>
      </c>
      <c r="D5669">
        <v>17892</v>
      </c>
      <c r="E5669">
        <v>68</v>
      </c>
      <c r="F5669">
        <v>8648.5</v>
      </c>
      <c r="G5669">
        <v>2443.86</v>
      </c>
      <c r="H5669" s="11" t="str">
        <f>VLOOKUP(myynnit[[#This Row],[TuoteID]],ohjaus!$A$4:$B$20,2,FALSE)</f>
        <v>Lepotuoli</v>
      </c>
    </row>
    <row r="5670" spans="1:8" x14ac:dyDescent="0.35">
      <c r="A5670" t="s">
        <v>39</v>
      </c>
      <c r="B5670">
        <v>2018</v>
      </c>
      <c r="C5670">
        <v>11</v>
      </c>
      <c r="D5670">
        <v>18342</v>
      </c>
      <c r="E5670">
        <v>131</v>
      </c>
      <c r="F5670">
        <v>104857.51</v>
      </c>
      <c r="G5670">
        <v>35513.06</v>
      </c>
      <c r="H5670" s="11" t="str">
        <f>VLOOKUP(myynnit[[#This Row],[TuoteID]],ohjaus!$A$4:$B$20,2,FALSE)</f>
        <v>Työtuoli</v>
      </c>
    </row>
    <row r="5671" spans="1:8" x14ac:dyDescent="0.35">
      <c r="A5671" t="s">
        <v>39</v>
      </c>
      <c r="B5671">
        <v>2018</v>
      </c>
      <c r="C5671">
        <v>11</v>
      </c>
      <c r="D5671">
        <v>20177</v>
      </c>
      <c r="E5671">
        <v>31</v>
      </c>
      <c r="F5671">
        <v>2705.37</v>
      </c>
      <c r="G5671">
        <v>1103.22</v>
      </c>
      <c r="H5671" s="11" t="str">
        <f>VLOOKUP(myynnit[[#This Row],[TuoteID]],ohjaus!$A$4:$B$20,2,FALSE)</f>
        <v>Säkkituoli</v>
      </c>
    </row>
    <row r="5672" spans="1:8" x14ac:dyDescent="0.35">
      <c r="A5672" t="s">
        <v>39</v>
      </c>
      <c r="B5672">
        <v>2018</v>
      </c>
      <c r="C5672">
        <v>11</v>
      </c>
      <c r="D5672">
        <v>21179</v>
      </c>
      <c r="E5672">
        <v>44</v>
      </c>
      <c r="F5672">
        <v>5244.81</v>
      </c>
      <c r="G5672">
        <v>4128.99</v>
      </c>
      <c r="H5672" s="11" t="str">
        <f>VLOOKUP(myynnit[[#This Row],[TuoteID]],ohjaus!$A$4:$B$20,2,FALSE)</f>
        <v>Rahi</v>
      </c>
    </row>
    <row r="5673" spans="1:8" x14ac:dyDescent="0.35">
      <c r="A5673" t="s">
        <v>39</v>
      </c>
      <c r="B5673">
        <v>2018</v>
      </c>
      <c r="C5673">
        <v>11</v>
      </c>
      <c r="D5673">
        <v>21260</v>
      </c>
      <c r="E5673">
        <v>24</v>
      </c>
      <c r="F5673">
        <v>5003.5600000000004</v>
      </c>
      <c r="G5673">
        <v>1588.5</v>
      </c>
      <c r="H5673" s="11" t="str">
        <f>VLOOKUP(myynnit[[#This Row],[TuoteID]],ohjaus!$A$4:$B$20,2,FALSE)</f>
        <v>Lepotuoli</v>
      </c>
    </row>
    <row r="5674" spans="1:8" x14ac:dyDescent="0.35">
      <c r="A5674" t="s">
        <v>39</v>
      </c>
      <c r="B5674">
        <v>2018</v>
      </c>
      <c r="C5674">
        <v>11</v>
      </c>
      <c r="D5674">
        <v>22317</v>
      </c>
      <c r="E5674">
        <v>52</v>
      </c>
      <c r="F5674">
        <v>3922.93</v>
      </c>
      <c r="G5674">
        <v>1993.76</v>
      </c>
      <c r="H5674" s="11" t="str">
        <f>VLOOKUP(myynnit[[#This Row],[TuoteID]],ohjaus!$A$4:$B$20,2,FALSE)</f>
        <v>Säkkituoli</v>
      </c>
    </row>
    <row r="5675" spans="1:8" x14ac:dyDescent="0.35">
      <c r="A5675" t="s">
        <v>39</v>
      </c>
      <c r="B5675">
        <v>2018</v>
      </c>
      <c r="C5675">
        <v>11</v>
      </c>
      <c r="D5675">
        <v>22940</v>
      </c>
      <c r="E5675">
        <v>747</v>
      </c>
      <c r="F5675">
        <v>88406.39</v>
      </c>
      <c r="G5675">
        <v>19888.37</v>
      </c>
      <c r="H5675" s="11" t="str">
        <f>VLOOKUP(myynnit[[#This Row],[TuoteID]],ohjaus!$A$4:$B$20,2,FALSE)</f>
        <v>Pinnatuoli</v>
      </c>
    </row>
    <row r="5676" spans="1:8" x14ac:dyDescent="0.35">
      <c r="A5676" t="s">
        <v>39</v>
      </c>
      <c r="B5676">
        <v>2018</v>
      </c>
      <c r="C5676">
        <v>11</v>
      </c>
      <c r="D5676">
        <v>23178</v>
      </c>
      <c r="E5676">
        <v>256</v>
      </c>
      <c r="F5676">
        <v>46091.29</v>
      </c>
      <c r="G5676">
        <v>12317.98</v>
      </c>
      <c r="H5676" s="11" t="str">
        <f>VLOOKUP(myynnit[[#This Row],[TuoteID]],ohjaus!$A$4:$B$20,2,FALSE)</f>
        <v>Pinnatuoli</v>
      </c>
    </row>
    <row r="5677" spans="1:8" x14ac:dyDescent="0.35">
      <c r="A5677" t="s">
        <v>39</v>
      </c>
      <c r="B5677">
        <v>2018</v>
      </c>
      <c r="C5677">
        <v>11</v>
      </c>
      <c r="D5677">
        <v>23600</v>
      </c>
      <c r="E5677">
        <v>621</v>
      </c>
      <c r="F5677">
        <v>73317.759999999995</v>
      </c>
      <c r="G5677">
        <v>17868.78</v>
      </c>
      <c r="H5677" s="11" t="str">
        <f>VLOOKUP(myynnit[[#This Row],[TuoteID]],ohjaus!$A$4:$B$20,2,FALSE)</f>
        <v>Pinnatuoli</v>
      </c>
    </row>
    <row r="5678" spans="1:8" x14ac:dyDescent="0.35">
      <c r="A5678" t="s">
        <v>39</v>
      </c>
      <c r="B5678">
        <v>2018</v>
      </c>
      <c r="C5678">
        <v>11</v>
      </c>
      <c r="D5678">
        <v>23756</v>
      </c>
      <c r="E5678">
        <v>113</v>
      </c>
      <c r="F5678">
        <v>22080.720000000001</v>
      </c>
      <c r="G5678">
        <v>12410.02</v>
      </c>
      <c r="H5678" s="11" t="str">
        <f>VLOOKUP(myynnit[[#This Row],[TuoteID]],ohjaus!$A$4:$B$20,2,FALSE)</f>
        <v>Pianotuoli</v>
      </c>
    </row>
    <row r="5679" spans="1:8" x14ac:dyDescent="0.35">
      <c r="A5679" t="s">
        <v>39</v>
      </c>
      <c r="B5679">
        <v>2018</v>
      </c>
      <c r="C5679">
        <v>11</v>
      </c>
      <c r="D5679">
        <v>24326</v>
      </c>
      <c r="E5679">
        <v>101</v>
      </c>
      <c r="F5679">
        <v>13615.62</v>
      </c>
      <c r="G5679">
        <v>4514.16</v>
      </c>
      <c r="H5679" s="11" t="str">
        <f>VLOOKUP(myynnit[[#This Row],[TuoteID]],ohjaus!$A$4:$B$20,2,FALSE)</f>
        <v>Lepotuoli</v>
      </c>
    </row>
    <row r="5680" spans="1:8" x14ac:dyDescent="0.35">
      <c r="H5680" s="11"/>
    </row>
    <row r="5681" spans="8:8" x14ac:dyDescent="0.35">
      <c r="H5681" s="11"/>
    </row>
    <row r="5682" spans="8:8" x14ac:dyDescent="0.35">
      <c r="H5682" s="11"/>
    </row>
    <row r="5683" spans="8:8" x14ac:dyDescent="0.35">
      <c r="H5683" s="11"/>
    </row>
    <row r="5684" spans="8:8" x14ac:dyDescent="0.35">
      <c r="H5684" s="11"/>
    </row>
    <row r="5685" spans="8:8" x14ac:dyDescent="0.35">
      <c r="H5685" s="11"/>
    </row>
    <row r="5686" spans="8:8" x14ac:dyDescent="0.35">
      <c r="H5686" s="11"/>
    </row>
    <row r="5687" spans="8:8" x14ac:dyDescent="0.35">
      <c r="H5687" s="11"/>
    </row>
    <row r="5688" spans="8:8" x14ac:dyDescent="0.35">
      <c r="H5688" s="11"/>
    </row>
    <row r="5689" spans="8:8" x14ac:dyDescent="0.35">
      <c r="H5689" s="11"/>
    </row>
    <row r="5690" spans="8:8" x14ac:dyDescent="0.35">
      <c r="H5690" s="11"/>
    </row>
    <row r="5691" spans="8:8" x14ac:dyDescent="0.35">
      <c r="H5691" s="11"/>
    </row>
    <row r="5692" spans="8:8" x14ac:dyDescent="0.35">
      <c r="H5692" s="11"/>
    </row>
    <row r="5693" spans="8:8" x14ac:dyDescent="0.35">
      <c r="H5693" s="11"/>
    </row>
    <row r="5694" spans="8:8" x14ac:dyDescent="0.35">
      <c r="H5694" s="11"/>
    </row>
    <row r="5695" spans="8:8" x14ac:dyDescent="0.35">
      <c r="H5695" s="11"/>
    </row>
    <row r="5696" spans="8:8" x14ac:dyDescent="0.35">
      <c r="H5696" s="11"/>
    </row>
    <row r="5697" spans="8:8" x14ac:dyDescent="0.35">
      <c r="H5697" s="11"/>
    </row>
    <row r="5698" spans="8:8" x14ac:dyDescent="0.35">
      <c r="H5698" s="11"/>
    </row>
    <row r="5699" spans="8:8" x14ac:dyDescent="0.35">
      <c r="H5699" s="11"/>
    </row>
    <row r="5700" spans="8:8" x14ac:dyDescent="0.35">
      <c r="H5700" s="11"/>
    </row>
    <row r="5701" spans="8:8" x14ac:dyDescent="0.35">
      <c r="H5701" s="11"/>
    </row>
    <row r="5702" spans="8:8" x14ac:dyDescent="0.35">
      <c r="H5702" s="11"/>
    </row>
    <row r="5703" spans="8:8" x14ac:dyDescent="0.35">
      <c r="H5703" s="11"/>
    </row>
    <row r="5704" spans="8:8" x14ac:dyDescent="0.35">
      <c r="H5704" s="11"/>
    </row>
    <row r="5705" spans="8:8" x14ac:dyDescent="0.35">
      <c r="H5705" s="11"/>
    </row>
    <row r="5706" spans="8:8" x14ac:dyDescent="0.35">
      <c r="H5706" s="11"/>
    </row>
    <row r="5707" spans="8:8" x14ac:dyDescent="0.35">
      <c r="H5707" s="11"/>
    </row>
    <row r="5708" spans="8:8" x14ac:dyDescent="0.35">
      <c r="H5708" s="11"/>
    </row>
    <row r="5709" spans="8:8" x14ac:dyDescent="0.35">
      <c r="H5709" s="11"/>
    </row>
    <row r="5710" spans="8:8" x14ac:dyDescent="0.35">
      <c r="H5710" s="11"/>
    </row>
    <row r="5711" spans="8:8" x14ac:dyDescent="0.35">
      <c r="H5711" s="11"/>
    </row>
    <row r="5712" spans="8:8" x14ac:dyDescent="0.35">
      <c r="H5712" s="11"/>
    </row>
    <row r="5713" spans="8:8" x14ac:dyDescent="0.35">
      <c r="H5713" s="11"/>
    </row>
    <row r="5714" spans="8:8" x14ac:dyDescent="0.35">
      <c r="H5714" s="11"/>
    </row>
    <row r="5715" spans="8:8" x14ac:dyDescent="0.35">
      <c r="H5715" s="11"/>
    </row>
    <row r="5716" spans="8:8" x14ac:dyDescent="0.35">
      <c r="H5716" s="11"/>
    </row>
    <row r="5717" spans="8:8" x14ac:dyDescent="0.35">
      <c r="H5717" s="11"/>
    </row>
    <row r="5718" spans="8:8" x14ac:dyDescent="0.35">
      <c r="H5718" s="11"/>
    </row>
    <row r="5719" spans="8:8" x14ac:dyDescent="0.35">
      <c r="H5719" s="11"/>
    </row>
    <row r="5720" spans="8:8" x14ac:dyDescent="0.35">
      <c r="H5720" s="11"/>
    </row>
    <row r="5721" spans="8:8" x14ac:dyDescent="0.35">
      <c r="H5721" s="11"/>
    </row>
    <row r="5722" spans="8:8" x14ac:dyDescent="0.35">
      <c r="H5722" s="11"/>
    </row>
    <row r="5723" spans="8:8" x14ac:dyDescent="0.35">
      <c r="H5723" s="11"/>
    </row>
    <row r="5724" spans="8:8" x14ac:dyDescent="0.35">
      <c r="H5724" s="11"/>
    </row>
    <row r="5725" spans="8:8" x14ac:dyDescent="0.35">
      <c r="H5725" s="11"/>
    </row>
    <row r="5726" spans="8:8" x14ac:dyDescent="0.35">
      <c r="H5726" s="11"/>
    </row>
    <row r="5727" spans="8:8" x14ac:dyDescent="0.35">
      <c r="H5727" s="11"/>
    </row>
    <row r="5728" spans="8:8" x14ac:dyDescent="0.35">
      <c r="H5728" s="11"/>
    </row>
    <row r="5729" spans="8:8" x14ac:dyDescent="0.35">
      <c r="H5729" s="11"/>
    </row>
    <row r="5730" spans="8:8" x14ac:dyDescent="0.35">
      <c r="H5730" s="11"/>
    </row>
    <row r="5731" spans="8:8" x14ac:dyDescent="0.35">
      <c r="H5731" s="11"/>
    </row>
    <row r="5732" spans="8:8" x14ac:dyDescent="0.35">
      <c r="H5732" s="11"/>
    </row>
    <row r="5733" spans="8:8" x14ac:dyDescent="0.35">
      <c r="H5733" s="11"/>
    </row>
    <row r="5734" spans="8:8" x14ac:dyDescent="0.35">
      <c r="H5734" s="11"/>
    </row>
    <row r="5735" spans="8:8" x14ac:dyDescent="0.35">
      <c r="H5735" s="11"/>
    </row>
    <row r="5736" spans="8:8" x14ac:dyDescent="0.35">
      <c r="H5736" s="11"/>
    </row>
    <row r="5737" spans="8:8" x14ac:dyDescent="0.35">
      <c r="H5737" s="11"/>
    </row>
    <row r="5738" spans="8:8" x14ac:dyDescent="0.35">
      <c r="H5738" s="11"/>
    </row>
    <row r="5739" spans="8:8" x14ac:dyDescent="0.35">
      <c r="H5739" s="11"/>
    </row>
    <row r="5740" spans="8:8" x14ac:dyDescent="0.35">
      <c r="H5740" s="11"/>
    </row>
    <row r="5741" spans="8:8" x14ac:dyDescent="0.35">
      <c r="H5741" s="11"/>
    </row>
    <row r="5742" spans="8:8" x14ac:dyDescent="0.35">
      <c r="H5742" s="11"/>
    </row>
    <row r="5743" spans="8:8" x14ac:dyDescent="0.35">
      <c r="H5743" s="11"/>
    </row>
    <row r="5744" spans="8:8" x14ac:dyDescent="0.35">
      <c r="H5744" s="11"/>
    </row>
    <row r="5745" spans="8:8" x14ac:dyDescent="0.35">
      <c r="H5745" s="11"/>
    </row>
    <row r="5746" spans="8:8" x14ac:dyDescent="0.35">
      <c r="H5746" s="11"/>
    </row>
    <row r="5747" spans="8:8" x14ac:dyDescent="0.35">
      <c r="H5747" s="11"/>
    </row>
    <row r="5748" spans="8:8" x14ac:dyDescent="0.35">
      <c r="H5748" s="11"/>
    </row>
    <row r="5749" spans="8:8" x14ac:dyDescent="0.35">
      <c r="H5749" s="11"/>
    </row>
    <row r="5750" spans="8:8" x14ac:dyDescent="0.35">
      <c r="H5750" s="11"/>
    </row>
    <row r="5751" spans="8:8" x14ac:dyDescent="0.35">
      <c r="H5751" s="11"/>
    </row>
    <row r="5752" spans="8:8" x14ac:dyDescent="0.35">
      <c r="H5752" s="11"/>
    </row>
    <row r="5753" spans="8:8" x14ac:dyDescent="0.35">
      <c r="H5753" s="11"/>
    </row>
    <row r="5754" spans="8:8" x14ac:dyDescent="0.35">
      <c r="H5754" s="11"/>
    </row>
    <row r="5755" spans="8:8" x14ac:dyDescent="0.35">
      <c r="H5755" s="11"/>
    </row>
    <row r="5756" spans="8:8" x14ac:dyDescent="0.35">
      <c r="H5756" s="11"/>
    </row>
    <row r="5757" spans="8:8" x14ac:dyDescent="0.35">
      <c r="H5757" s="11"/>
    </row>
    <row r="5758" spans="8:8" x14ac:dyDescent="0.35">
      <c r="H5758" s="11"/>
    </row>
    <row r="5759" spans="8:8" x14ac:dyDescent="0.35">
      <c r="H5759" s="11"/>
    </row>
    <row r="5760" spans="8:8" x14ac:dyDescent="0.35">
      <c r="H5760" s="11"/>
    </row>
    <row r="5761" spans="8:8" x14ac:dyDescent="0.35">
      <c r="H5761" s="11"/>
    </row>
    <row r="5762" spans="8:8" x14ac:dyDescent="0.35">
      <c r="H5762" s="11"/>
    </row>
    <row r="5763" spans="8:8" x14ac:dyDescent="0.35">
      <c r="H5763" s="11"/>
    </row>
    <row r="5764" spans="8:8" x14ac:dyDescent="0.35">
      <c r="H5764" s="11"/>
    </row>
    <row r="5765" spans="8:8" x14ac:dyDescent="0.35">
      <c r="H5765" s="11"/>
    </row>
    <row r="5766" spans="8:8" x14ac:dyDescent="0.35">
      <c r="H5766" s="11"/>
    </row>
    <row r="5767" spans="8:8" x14ac:dyDescent="0.35">
      <c r="H5767" s="11"/>
    </row>
    <row r="5768" spans="8:8" x14ac:dyDescent="0.35">
      <c r="H5768" s="11"/>
    </row>
    <row r="5769" spans="8:8" x14ac:dyDescent="0.35">
      <c r="H5769" s="11"/>
    </row>
    <row r="5770" spans="8:8" x14ac:dyDescent="0.35">
      <c r="H5770" s="11"/>
    </row>
    <row r="5771" spans="8:8" x14ac:dyDescent="0.35">
      <c r="H5771" s="11"/>
    </row>
    <row r="5772" spans="8:8" x14ac:dyDescent="0.35">
      <c r="H5772" s="11"/>
    </row>
    <row r="5773" spans="8:8" x14ac:dyDescent="0.35">
      <c r="H5773" s="11"/>
    </row>
    <row r="5774" spans="8:8" x14ac:dyDescent="0.35">
      <c r="H5774" s="11"/>
    </row>
    <row r="5775" spans="8:8" x14ac:dyDescent="0.35">
      <c r="H5775" s="11"/>
    </row>
    <row r="5776" spans="8:8" x14ac:dyDescent="0.35">
      <c r="H5776" s="11"/>
    </row>
    <row r="5777" spans="8:8" x14ac:dyDescent="0.35">
      <c r="H5777" s="11"/>
    </row>
    <row r="5778" spans="8:8" x14ac:dyDescent="0.35">
      <c r="H5778" s="11"/>
    </row>
    <row r="5779" spans="8:8" x14ac:dyDescent="0.35">
      <c r="H5779" s="11"/>
    </row>
    <row r="5780" spans="8:8" x14ac:dyDescent="0.35">
      <c r="H5780" s="11"/>
    </row>
    <row r="5781" spans="8:8" x14ac:dyDescent="0.35">
      <c r="H5781" s="11"/>
    </row>
    <row r="10279" spans="8:8" x14ac:dyDescent="0.35">
      <c r="H10279" s="11"/>
    </row>
    <row r="10280" spans="8:8" x14ac:dyDescent="0.35">
      <c r="H10280" s="11"/>
    </row>
    <row r="10281" spans="8:8" x14ac:dyDescent="0.35">
      <c r="H10281" s="11"/>
    </row>
    <row r="10282" spans="8:8" x14ac:dyDescent="0.35">
      <c r="H10282" s="11"/>
    </row>
    <row r="10283" spans="8:8" x14ac:dyDescent="0.35">
      <c r="H10283" s="11"/>
    </row>
    <row r="10284" spans="8:8" x14ac:dyDescent="0.35">
      <c r="H10284" s="11"/>
    </row>
    <row r="10285" spans="8:8" x14ac:dyDescent="0.35">
      <c r="H10285" s="11"/>
    </row>
    <row r="10286" spans="8:8" x14ac:dyDescent="0.35">
      <c r="H10286" s="11"/>
    </row>
    <row r="10287" spans="8:8" x14ac:dyDescent="0.35">
      <c r="H10287" s="11"/>
    </row>
    <row r="10288" spans="8:8" x14ac:dyDescent="0.35">
      <c r="H10288" s="11"/>
    </row>
    <row r="10289" spans="8:8" x14ac:dyDescent="0.35">
      <c r="H10289" s="11"/>
    </row>
    <row r="10290" spans="8:8" x14ac:dyDescent="0.35">
      <c r="H10290" s="11"/>
    </row>
    <row r="10291" spans="8:8" x14ac:dyDescent="0.35">
      <c r="H10291" s="11"/>
    </row>
    <row r="10292" spans="8:8" x14ac:dyDescent="0.35">
      <c r="H10292" s="11"/>
    </row>
    <row r="10293" spans="8:8" x14ac:dyDescent="0.35">
      <c r="H10293" s="11"/>
    </row>
    <row r="10294" spans="8:8" x14ac:dyDescent="0.35">
      <c r="H10294" s="11"/>
    </row>
    <row r="10295" spans="8:8" x14ac:dyDescent="0.35">
      <c r="H10295" s="11"/>
    </row>
    <row r="10296" spans="8:8" x14ac:dyDescent="0.35">
      <c r="H10296" s="11"/>
    </row>
    <row r="10297" spans="8:8" x14ac:dyDescent="0.35">
      <c r="H10297" s="11"/>
    </row>
    <row r="10298" spans="8:8" x14ac:dyDescent="0.35">
      <c r="H10298" s="11"/>
    </row>
    <row r="10299" spans="8:8" x14ac:dyDescent="0.35">
      <c r="H10299" s="11"/>
    </row>
    <row r="10300" spans="8:8" x14ac:dyDescent="0.35">
      <c r="H10300" s="11"/>
    </row>
    <row r="10301" spans="8:8" x14ac:dyDescent="0.35">
      <c r="H10301" s="11"/>
    </row>
    <row r="10302" spans="8:8" x14ac:dyDescent="0.35">
      <c r="H10302" s="11"/>
    </row>
    <row r="10303" spans="8:8" x14ac:dyDescent="0.35">
      <c r="H10303" s="11"/>
    </row>
    <row r="10304" spans="8:8" x14ac:dyDescent="0.35">
      <c r="H10304" s="11"/>
    </row>
    <row r="10305" spans="8:8" x14ac:dyDescent="0.35">
      <c r="H10305" s="11"/>
    </row>
    <row r="10306" spans="8:8" x14ac:dyDescent="0.35">
      <c r="H10306" s="11"/>
    </row>
    <row r="10307" spans="8:8" x14ac:dyDescent="0.35">
      <c r="H10307" s="11"/>
    </row>
    <row r="10308" spans="8:8" x14ac:dyDescent="0.35">
      <c r="H10308" s="11"/>
    </row>
    <row r="10309" spans="8:8" x14ac:dyDescent="0.35">
      <c r="H10309" s="11"/>
    </row>
    <row r="10310" spans="8:8" x14ac:dyDescent="0.35">
      <c r="H10310" s="11"/>
    </row>
    <row r="10311" spans="8:8" x14ac:dyDescent="0.35">
      <c r="H10311" s="11"/>
    </row>
    <row r="10312" spans="8:8" x14ac:dyDescent="0.35">
      <c r="H10312" s="11"/>
    </row>
    <row r="10313" spans="8:8" x14ac:dyDescent="0.35">
      <c r="H10313" s="11"/>
    </row>
    <row r="10314" spans="8:8" x14ac:dyDescent="0.35">
      <c r="H10314" s="11"/>
    </row>
    <row r="10315" spans="8:8" x14ac:dyDescent="0.35">
      <c r="H10315" s="11"/>
    </row>
    <row r="10316" spans="8:8" x14ac:dyDescent="0.35">
      <c r="H10316" s="11"/>
    </row>
    <row r="10317" spans="8:8" x14ac:dyDescent="0.35">
      <c r="H10317" s="11"/>
    </row>
    <row r="10318" spans="8:8" x14ac:dyDescent="0.35">
      <c r="H10318" s="11"/>
    </row>
    <row r="10319" spans="8:8" x14ac:dyDescent="0.35">
      <c r="H10319" s="11"/>
    </row>
    <row r="10320" spans="8:8" x14ac:dyDescent="0.35">
      <c r="H10320" s="11"/>
    </row>
    <row r="10321" spans="8:8" x14ac:dyDescent="0.35">
      <c r="H10321" s="11"/>
    </row>
    <row r="10322" spans="8:8" x14ac:dyDescent="0.35">
      <c r="H10322" s="11"/>
    </row>
    <row r="10323" spans="8:8" x14ac:dyDescent="0.35">
      <c r="H10323" s="11"/>
    </row>
    <row r="10324" spans="8:8" x14ac:dyDescent="0.35">
      <c r="H10324" s="11"/>
    </row>
    <row r="10325" spans="8:8" x14ac:dyDescent="0.35">
      <c r="H10325" s="11"/>
    </row>
    <row r="10326" spans="8:8" x14ac:dyDescent="0.35">
      <c r="H10326" s="11"/>
    </row>
    <row r="10327" spans="8:8" x14ac:dyDescent="0.35">
      <c r="H10327" s="11"/>
    </row>
    <row r="10328" spans="8:8" x14ac:dyDescent="0.35">
      <c r="H10328" s="11"/>
    </row>
    <row r="10329" spans="8:8" x14ac:dyDescent="0.35">
      <c r="H10329" s="11"/>
    </row>
    <row r="10330" spans="8:8" x14ac:dyDescent="0.35">
      <c r="H10330" s="11"/>
    </row>
    <row r="10331" spans="8:8" x14ac:dyDescent="0.35">
      <c r="H10331" s="11"/>
    </row>
    <row r="10332" spans="8:8" x14ac:dyDescent="0.35">
      <c r="H10332" s="11"/>
    </row>
    <row r="10333" spans="8:8" x14ac:dyDescent="0.35">
      <c r="H10333" s="11"/>
    </row>
    <row r="10334" spans="8:8" x14ac:dyDescent="0.35">
      <c r="H10334" s="11"/>
    </row>
    <row r="10335" spans="8:8" x14ac:dyDescent="0.35">
      <c r="H10335" s="11"/>
    </row>
    <row r="10336" spans="8:8" x14ac:dyDescent="0.35">
      <c r="H10336" s="11"/>
    </row>
    <row r="10337" spans="8:8" x14ac:dyDescent="0.35">
      <c r="H10337" s="11"/>
    </row>
    <row r="10338" spans="8:8" x14ac:dyDescent="0.35">
      <c r="H10338" s="11"/>
    </row>
    <row r="10339" spans="8:8" x14ac:dyDescent="0.35">
      <c r="H10339" s="11"/>
    </row>
    <row r="10340" spans="8:8" x14ac:dyDescent="0.35">
      <c r="H10340" s="11"/>
    </row>
    <row r="10341" spans="8:8" x14ac:dyDescent="0.35">
      <c r="H10341" s="11"/>
    </row>
    <row r="10342" spans="8:8" x14ac:dyDescent="0.35">
      <c r="H10342" s="11"/>
    </row>
    <row r="10343" spans="8:8" x14ac:dyDescent="0.35">
      <c r="H10343" s="11"/>
    </row>
    <row r="10344" spans="8:8" x14ac:dyDescent="0.35">
      <c r="H10344" s="11"/>
    </row>
    <row r="10345" spans="8:8" x14ac:dyDescent="0.35">
      <c r="H10345" s="11"/>
    </row>
    <row r="10346" spans="8:8" x14ac:dyDescent="0.35">
      <c r="H10346" s="11"/>
    </row>
    <row r="10347" spans="8:8" x14ac:dyDescent="0.35">
      <c r="H10347" s="11"/>
    </row>
    <row r="10348" spans="8:8" x14ac:dyDescent="0.35">
      <c r="H10348" s="11"/>
    </row>
    <row r="10349" spans="8:8" x14ac:dyDescent="0.35">
      <c r="H10349" s="11"/>
    </row>
    <row r="10350" spans="8:8" x14ac:dyDescent="0.35">
      <c r="H10350" s="11"/>
    </row>
    <row r="10351" spans="8:8" x14ac:dyDescent="0.35">
      <c r="H10351" s="11"/>
    </row>
    <row r="10352" spans="8:8" x14ac:dyDescent="0.35">
      <c r="H10352" s="11"/>
    </row>
    <row r="10353" spans="8:8" x14ac:dyDescent="0.35">
      <c r="H10353" s="11"/>
    </row>
    <row r="10354" spans="8:8" x14ac:dyDescent="0.35">
      <c r="H10354" s="11"/>
    </row>
    <row r="10355" spans="8:8" x14ac:dyDescent="0.35">
      <c r="H10355" s="11"/>
    </row>
    <row r="10356" spans="8:8" x14ac:dyDescent="0.35">
      <c r="H10356" s="11"/>
    </row>
    <row r="10357" spans="8:8" x14ac:dyDescent="0.35">
      <c r="H10357" s="11"/>
    </row>
    <row r="10358" spans="8:8" x14ac:dyDescent="0.35">
      <c r="H10358" s="11"/>
    </row>
    <row r="10359" spans="8:8" x14ac:dyDescent="0.35">
      <c r="H10359" s="11"/>
    </row>
    <row r="10360" spans="8:8" x14ac:dyDescent="0.35">
      <c r="H10360" s="11"/>
    </row>
    <row r="10361" spans="8:8" x14ac:dyDescent="0.35">
      <c r="H10361" s="11"/>
    </row>
    <row r="10362" spans="8:8" x14ac:dyDescent="0.35">
      <c r="H10362" s="11"/>
    </row>
    <row r="10363" spans="8:8" x14ac:dyDescent="0.35">
      <c r="H10363" s="11"/>
    </row>
    <row r="10364" spans="8:8" x14ac:dyDescent="0.35">
      <c r="H10364" s="11"/>
    </row>
    <row r="10365" spans="8:8" x14ac:dyDescent="0.35">
      <c r="H10365" s="11"/>
    </row>
    <row r="10366" spans="8:8" x14ac:dyDescent="0.35">
      <c r="H10366" s="11"/>
    </row>
    <row r="10367" spans="8:8" x14ac:dyDescent="0.35">
      <c r="H10367" s="11"/>
    </row>
    <row r="10368" spans="8:8" x14ac:dyDescent="0.35">
      <c r="H10368" s="11"/>
    </row>
    <row r="10369" spans="8:8" x14ac:dyDescent="0.35">
      <c r="H10369" s="11"/>
    </row>
    <row r="10370" spans="8:8" x14ac:dyDescent="0.35">
      <c r="H10370" s="11"/>
    </row>
    <row r="10371" spans="8:8" x14ac:dyDescent="0.35">
      <c r="H10371" s="11"/>
    </row>
    <row r="10372" spans="8:8" x14ac:dyDescent="0.35">
      <c r="H10372" s="11"/>
    </row>
    <row r="10373" spans="8:8" x14ac:dyDescent="0.35">
      <c r="H10373" s="11"/>
    </row>
    <row r="10374" spans="8:8" x14ac:dyDescent="0.35">
      <c r="H10374" s="11"/>
    </row>
    <row r="10375" spans="8:8" x14ac:dyDescent="0.35">
      <c r="H10375" s="11"/>
    </row>
    <row r="10376" spans="8:8" x14ac:dyDescent="0.35">
      <c r="H10376" s="11"/>
    </row>
    <row r="10377" spans="8:8" x14ac:dyDescent="0.35">
      <c r="H10377" s="11"/>
    </row>
    <row r="10378" spans="8:8" x14ac:dyDescent="0.35">
      <c r="H10378" s="11"/>
    </row>
    <row r="10379" spans="8:8" x14ac:dyDescent="0.35">
      <c r="H10379" s="11"/>
    </row>
    <row r="10380" spans="8:8" x14ac:dyDescent="0.35">
      <c r="H10380" s="11"/>
    </row>
    <row r="10381" spans="8:8" x14ac:dyDescent="0.35">
      <c r="H10381" s="11"/>
    </row>
    <row r="10382" spans="8:8" x14ac:dyDescent="0.35">
      <c r="H10382" s="11"/>
    </row>
    <row r="10383" spans="8:8" x14ac:dyDescent="0.35">
      <c r="H10383" s="11"/>
    </row>
    <row r="10384" spans="8:8" x14ac:dyDescent="0.35">
      <c r="H10384" s="11"/>
    </row>
    <row r="10385" spans="8:8" x14ac:dyDescent="0.35">
      <c r="H10385" s="11"/>
    </row>
    <row r="10386" spans="8:8" x14ac:dyDescent="0.35">
      <c r="H10386" s="11"/>
    </row>
    <row r="10387" spans="8:8" x14ac:dyDescent="0.35">
      <c r="H10387" s="11"/>
    </row>
    <row r="10388" spans="8:8" x14ac:dyDescent="0.35">
      <c r="H10388" s="11"/>
    </row>
    <row r="10389" spans="8:8" x14ac:dyDescent="0.35">
      <c r="H10389" s="11"/>
    </row>
    <row r="10390" spans="8:8" x14ac:dyDescent="0.35">
      <c r="H10390" s="11"/>
    </row>
    <row r="10391" spans="8:8" x14ac:dyDescent="0.35">
      <c r="H10391" s="11"/>
    </row>
    <row r="10392" spans="8:8" x14ac:dyDescent="0.35">
      <c r="H10392" s="11"/>
    </row>
    <row r="10393" spans="8:8" x14ac:dyDescent="0.35">
      <c r="H10393" s="11"/>
    </row>
    <row r="10394" spans="8:8" x14ac:dyDescent="0.35">
      <c r="H10394" s="11"/>
    </row>
    <row r="10395" spans="8:8" x14ac:dyDescent="0.35">
      <c r="H10395" s="11"/>
    </row>
    <row r="10396" spans="8:8" x14ac:dyDescent="0.35">
      <c r="H10396" s="11"/>
    </row>
    <row r="10397" spans="8:8" x14ac:dyDescent="0.35">
      <c r="H10397" s="11"/>
    </row>
    <row r="10398" spans="8:8" x14ac:dyDescent="0.35">
      <c r="H10398" s="11"/>
    </row>
    <row r="10399" spans="8:8" x14ac:dyDescent="0.35">
      <c r="H10399" s="11"/>
    </row>
    <row r="10400" spans="8:8" x14ac:dyDescent="0.35">
      <c r="H10400" s="11"/>
    </row>
    <row r="10401" spans="8:8" x14ac:dyDescent="0.35">
      <c r="H10401" s="11"/>
    </row>
    <row r="10402" spans="8:8" x14ac:dyDescent="0.35">
      <c r="H10402" s="11"/>
    </row>
    <row r="10403" spans="8:8" x14ac:dyDescent="0.35">
      <c r="H10403" s="11"/>
    </row>
    <row r="10404" spans="8:8" x14ac:dyDescent="0.35">
      <c r="H10404" s="11"/>
    </row>
    <row r="10405" spans="8:8" x14ac:dyDescent="0.35">
      <c r="H10405" s="11"/>
    </row>
    <row r="10406" spans="8:8" x14ac:dyDescent="0.35">
      <c r="H10406" s="11"/>
    </row>
    <row r="10407" spans="8:8" x14ac:dyDescent="0.35">
      <c r="H10407" s="11"/>
    </row>
    <row r="10408" spans="8:8" x14ac:dyDescent="0.35">
      <c r="H10408" s="11"/>
    </row>
    <row r="10409" spans="8:8" x14ac:dyDescent="0.35">
      <c r="H10409" s="11"/>
    </row>
    <row r="10410" spans="8:8" x14ac:dyDescent="0.35">
      <c r="H10410" s="11"/>
    </row>
    <row r="10411" spans="8:8" x14ac:dyDescent="0.35">
      <c r="H10411" s="11"/>
    </row>
    <row r="10412" spans="8:8" x14ac:dyDescent="0.35">
      <c r="H10412" s="11"/>
    </row>
    <row r="10413" spans="8:8" x14ac:dyDescent="0.35">
      <c r="H10413" s="11"/>
    </row>
    <row r="10414" spans="8:8" x14ac:dyDescent="0.35">
      <c r="H10414" s="11"/>
    </row>
    <row r="10415" spans="8:8" x14ac:dyDescent="0.35">
      <c r="H10415" s="11"/>
    </row>
    <row r="10416" spans="8:8" x14ac:dyDescent="0.35">
      <c r="H10416" s="11"/>
    </row>
    <row r="10417" spans="8:8" x14ac:dyDescent="0.35">
      <c r="H10417" s="11"/>
    </row>
    <row r="10418" spans="8:8" x14ac:dyDescent="0.35">
      <c r="H10418" s="11"/>
    </row>
    <row r="10419" spans="8:8" x14ac:dyDescent="0.35">
      <c r="H10419" s="11"/>
    </row>
    <row r="10420" spans="8:8" x14ac:dyDescent="0.35">
      <c r="H10420" s="11"/>
    </row>
    <row r="10421" spans="8:8" x14ac:dyDescent="0.35">
      <c r="H10421" s="11"/>
    </row>
    <row r="10422" spans="8:8" x14ac:dyDescent="0.35">
      <c r="H10422" s="11"/>
    </row>
    <row r="10423" spans="8:8" x14ac:dyDescent="0.35">
      <c r="H10423" s="11"/>
    </row>
    <row r="10424" spans="8:8" x14ac:dyDescent="0.35">
      <c r="H10424" s="11"/>
    </row>
    <row r="10425" spans="8:8" x14ac:dyDescent="0.35">
      <c r="H10425" s="11"/>
    </row>
    <row r="10426" spans="8:8" x14ac:dyDescent="0.35">
      <c r="H10426" s="11"/>
    </row>
    <row r="10427" spans="8:8" x14ac:dyDescent="0.35">
      <c r="H10427" s="11"/>
    </row>
    <row r="10428" spans="8:8" x14ac:dyDescent="0.35">
      <c r="H10428" s="11"/>
    </row>
    <row r="10429" spans="8:8" x14ac:dyDescent="0.35">
      <c r="H10429" s="11"/>
    </row>
    <row r="10430" spans="8:8" x14ac:dyDescent="0.35">
      <c r="H10430" s="11"/>
    </row>
    <row r="10431" spans="8:8" x14ac:dyDescent="0.35">
      <c r="H10431" s="11"/>
    </row>
    <row r="10432" spans="8:8" x14ac:dyDescent="0.35">
      <c r="H10432" s="11"/>
    </row>
    <row r="10433" spans="8:8" x14ac:dyDescent="0.35">
      <c r="H10433" s="11"/>
    </row>
    <row r="10434" spans="8:8" x14ac:dyDescent="0.35">
      <c r="H10434" s="11"/>
    </row>
    <row r="10435" spans="8:8" x14ac:dyDescent="0.35">
      <c r="H10435" s="11"/>
    </row>
    <row r="10436" spans="8:8" x14ac:dyDescent="0.35">
      <c r="H10436" s="11"/>
    </row>
    <row r="10437" spans="8:8" x14ac:dyDescent="0.35">
      <c r="H10437" s="11"/>
    </row>
    <row r="10438" spans="8:8" x14ac:dyDescent="0.35">
      <c r="H10438" s="11"/>
    </row>
    <row r="10439" spans="8:8" x14ac:dyDescent="0.35">
      <c r="H10439" s="11"/>
    </row>
    <row r="10440" spans="8:8" x14ac:dyDescent="0.35">
      <c r="H10440" s="11"/>
    </row>
    <row r="10441" spans="8:8" x14ac:dyDescent="0.35">
      <c r="H10441" s="11"/>
    </row>
    <row r="10442" spans="8:8" x14ac:dyDescent="0.35">
      <c r="H10442" s="11"/>
    </row>
    <row r="10443" spans="8:8" x14ac:dyDescent="0.35">
      <c r="H10443" s="11"/>
    </row>
    <row r="10444" spans="8:8" x14ac:dyDescent="0.35">
      <c r="H10444" s="11"/>
    </row>
    <row r="10445" spans="8:8" x14ac:dyDescent="0.35">
      <c r="H10445" s="11"/>
    </row>
    <row r="10446" spans="8:8" x14ac:dyDescent="0.35">
      <c r="H10446" s="11"/>
    </row>
    <row r="10447" spans="8:8" x14ac:dyDescent="0.35">
      <c r="H10447" s="11"/>
    </row>
    <row r="10448" spans="8:8" x14ac:dyDescent="0.35">
      <c r="H10448" s="11"/>
    </row>
    <row r="10449" spans="8:8" x14ac:dyDescent="0.35">
      <c r="H10449" s="11"/>
    </row>
    <row r="10450" spans="8:8" x14ac:dyDescent="0.35">
      <c r="H10450" s="11"/>
    </row>
    <row r="10451" spans="8:8" x14ac:dyDescent="0.35">
      <c r="H10451" s="11"/>
    </row>
    <row r="10452" spans="8:8" x14ac:dyDescent="0.35">
      <c r="H10452" s="11"/>
    </row>
    <row r="10453" spans="8:8" x14ac:dyDescent="0.35">
      <c r="H10453" s="11"/>
    </row>
    <row r="10454" spans="8:8" x14ac:dyDescent="0.35">
      <c r="H10454" s="11"/>
    </row>
    <row r="10455" spans="8:8" x14ac:dyDescent="0.35">
      <c r="H10455" s="11"/>
    </row>
    <row r="10456" spans="8:8" x14ac:dyDescent="0.35">
      <c r="H10456" s="11"/>
    </row>
    <row r="10457" spans="8:8" x14ac:dyDescent="0.35">
      <c r="H10457" s="11"/>
    </row>
    <row r="10458" spans="8:8" x14ac:dyDescent="0.35">
      <c r="H10458" s="11"/>
    </row>
    <row r="10459" spans="8:8" x14ac:dyDescent="0.35">
      <c r="H10459" s="11"/>
    </row>
    <row r="10460" spans="8:8" x14ac:dyDescent="0.35">
      <c r="H10460" s="11"/>
    </row>
    <row r="10461" spans="8:8" x14ac:dyDescent="0.35">
      <c r="H10461" s="11"/>
    </row>
    <row r="10462" spans="8:8" x14ac:dyDescent="0.35">
      <c r="H10462" s="11"/>
    </row>
    <row r="10463" spans="8:8" x14ac:dyDescent="0.35">
      <c r="H10463" s="11"/>
    </row>
    <row r="10464" spans="8:8" x14ac:dyDescent="0.35">
      <c r="H10464" s="11"/>
    </row>
    <row r="10465" spans="8:8" x14ac:dyDescent="0.35">
      <c r="H10465" s="11"/>
    </row>
    <row r="10466" spans="8:8" x14ac:dyDescent="0.35">
      <c r="H10466" s="11"/>
    </row>
    <row r="10467" spans="8:8" x14ac:dyDescent="0.35">
      <c r="H10467" s="11"/>
    </row>
    <row r="10468" spans="8:8" x14ac:dyDescent="0.35">
      <c r="H10468" s="11"/>
    </row>
    <row r="10469" spans="8:8" x14ac:dyDescent="0.35">
      <c r="H10469" s="11"/>
    </row>
    <row r="10470" spans="8:8" x14ac:dyDescent="0.35">
      <c r="H10470" s="11"/>
    </row>
    <row r="10471" spans="8:8" x14ac:dyDescent="0.35">
      <c r="H10471" s="11"/>
    </row>
    <row r="10472" spans="8:8" x14ac:dyDescent="0.35">
      <c r="H10472" s="11"/>
    </row>
    <row r="10473" spans="8:8" x14ac:dyDescent="0.35">
      <c r="H10473" s="11"/>
    </row>
    <row r="10474" spans="8:8" x14ac:dyDescent="0.35">
      <c r="H10474" s="11"/>
    </row>
    <row r="10475" spans="8:8" x14ac:dyDescent="0.35">
      <c r="H10475" s="11"/>
    </row>
    <row r="10476" spans="8:8" x14ac:dyDescent="0.35">
      <c r="H10476" s="11"/>
    </row>
    <row r="10477" spans="8:8" x14ac:dyDescent="0.35">
      <c r="H10477" s="11"/>
    </row>
    <row r="10478" spans="8:8" x14ac:dyDescent="0.35">
      <c r="H10478" s="11"/>
    </row>
    <row r="10479" spans="8:8" x14ac:dyDescent="0.35">
      <c r="H10479" s="11"/>
    </row>
    <row r="10480" spans="8:8" x14ac:dyDescent="0.35">
      <c r="H10480" s="11"/>
    </row>
    <row r="10481" spans="8:8" x14ac:dyDescent="0.35">
      <c r="H10481" s="11"/>
    </row>
    <row r="10482" spans="8:8" x14ac:dyDescent="0.35">
      <c r="H10482" s="11"/>
    </row>
    <row r="10483" spans="8:8" x14ac:dyDescent="0.35">
      <c r="H10483" s="11"/>
    </row>
    <row r="10484" spans="8:8" x14ac:dyDescent="0.35">
      <c r="H10484" s="11"/>
    </row>
    <row r="10485" spans="8:8" x14ac:dyDescent="0.35">
      <c r="H10485" s="11"/>
    </row>
    <row r="10486" spans="8:8" x14ac:dyDescent="0.35">
      <c r="H10486" s="11"/>
    </row>
    <row r="10487" spans="8:8" x14ac:dyDescent="0.35">
      <c r="H10487" s="11"/>
    </row>
    <row r="10488" spans="8:8" x14ac:dyDescent="0.35">
      <c r="H10488" s="11"/>
    </row>
    <row r="10489" spans="8:8" x14ac:dyDescent="0.35">
      <c r="H10489" s="11"/>
    </row>
    <row r="10490" spans="8:8" x14ac:dyDescent="0.35">
      <c r="H10490" s="11"/>
    </row>
    <row r="10491" spans="8:8" x14ac:dyDescent="0.35">
      <c r="H10491" s="11"/>
    </row>
    <row r="10492" spans="8:8" x14ac:dyDescent="0.35">
      <c r="H10492" s="11"/>
    </row>
    <row r="10493" spans="8:8" x14ac:dyDescent="0.35">
      <c r="H10493" s="11"/>
    </row>
    <row r="10494" spans="8:8" x14ac:dyDescent="0.35">
      <c r="H10494" s="11"/>
    </row>
    <row r="10495" spans="8:8" x14ac:dyDescent="0.35">
      <c r="H10495" s="11"/>
    </row>
    <row r="10496" spans="8:8" x14ac:dyDescent="0.35">
      <c r="H10496" s="11"/>
    </row>
    <row r="10497" spans="8:8" x14ac:dyDescent="0.35">
      <c r="H10497" s="11"/>
    </row>
    <row r="10498" spans="8:8" x14ac:dyDescent="0.35">
      <c r="H10498" s="11"/>
    </row>
    <row r="10499" spans="8:8" x14ac:dyDescent="0.35">
      <c r="H10499" s="11"/>
    </row>
    <row r="10500" spans="8:8" x14ac:dyDescent="0.35">
      <c r="H10500" s="11"/>
    </row>
    <row r="10501" spans="8:8" x14ac:dyDescent="0.35">
      <c r="H10501" s="11"/>
    </row>
    <row r="10502" spans="8:8" x14ac:dyDescent="0.35">
      <c r="H10502" s="11"/>
    </row>
    <row r="10503" spans="8:8" x14ac:dyDescent="0.35">
      <c r="H10503" s="11"/>
    </row>
    <row r="10504" spans="8:8" x14ac:dyDescent="0.35">
      <c r="H10504" s="11"/>
    </row>
    <row r="10505" spans="8:8" x14ac:dyDescent="0.35">
      <c r="H10505" s="11"/>
    </row>
    <row r="10506" spans="8:8" x14ac:dyDescent="0.35">
      <c r="H10506" s="11"/>
    </row>
    <row r="10507" spans="8:8" x14ac:dyDescent="0.35">
      <c r="H10507" s="11"/>
    </row>
    <row r="10508" spans="8:8" x14ac:dyDescent="0.35">
      <c r="H10508" s="11"/>
    </row>
    <row r="10509" spans="8:8" x14ac:dyDescent="0.35">
      <c r="H10509" s="11"/>
    </row>
    <row r="10510" spans="8:8" x14ac:dyDescent="0.35">
      <c r="H10510" s="11"/>
    </row>
    <row r="10511" spans="8:8" x14ac:dyDescent="0.35">
      <c r="H10511" s="11"/>
    </row>
    <row r="10512" spans="8:8" x14ac:dyDescent="0.35">
      <c r="H10512" s="11"/>
    </row>
    <row r="10513" spans="8:8" x14ac:dyDescent="0.35">
      <c r="H10513" s="11"/>
    </row>
    <row r="10514" spans="8:8" x14ac:dyDescent="0.35">
      <c r="H10514" s="11"/>
    </row>
    <row r="10515" spans="8:8" x14ac:dyDescent="0.35">
      <c r="H10515" s="11"/>
    </row>
    <row r="10516" spans="8:8" x14ac:dyDescent="0.35">
      <c r="H10516" s="11"/>
    </row>
    <row r="10517" spans="8:8" x14ac:dyDescent="0.35">
      <c r="H10517" s="11"/>
    </row>
    <row r="10518" spans="8:8" x14ac:dyDescent="0.35">
      <c r="H10518" s="11"/>
    </row>
    <row r="10519" spans="8:8" x14ac:dyDescent="0.35">
      <c r="H10519" s="11"/>
    </row>
    <row r="10520" spans="8:8" x14ac:dyDescent="0.35">
      <c r="H10520" s="11"/>
    </row>
    <row r="10521" spans="8:8" x14ac:dyDescent="0.35">
      <c r="H10521" s="11"/>
    </row>
    <row r="10522" spans="8:8" x14ac:dyDescent="0.35">
      <c r="H10522" s="11"/>
    </row>
    <row r="10523" spans="8:8" x14ac:dyDescent="0.35">
      <c r="H10523" s="11"/>
    </row>
    <row r="10524" spans="8:8" x14ac:dyDescent="0.35">
      <c r="H10524" s="11"/>
    </row>
    <row r="10525" spans="8:8" x14ac:dyDescent="0.35">
      <c r="H10525" s="11"/>
    </row>
    <row r="10526" spans="8:8" x14ac:dyDescent="0.35">
      <c r="H10526" s="11"/>
    </row>
    <row r="10527" spans="8:8" x14ac:dyDescent="0.35">
      <c r="H10527" s="11"/>
    </row>
    <row r="10528" spans="8:8" x14ac:dyDescent="0.35">
      <c r="H10528" s="11"/>
    </row>
    <row r="10529" spans="8:8" x14ac:dyDescent="0.35">
      <c r="H10529" s="11"/>
    </row>
    <row r="10530" spans="8:8" x14ac:dyDescent="0.35">
      <c r="H10530" s="11"/>
    </row>
    <row r="10531" spans="8:8" x14ac:dyDescent="0.35">
      <c r="H10531" s="11"/>
    </row>
    <row r="10532" spans="8:8" x14ac:dyDescent="0.35">
      <c r="H10532" s="11"/>
    </row>
    <row r="10533" spans="8:8" x14ac:dyDescent="0.35">
      <c r="H10533" s="11"/>
    </row>
    <row r="10534" spans="8:8" x14ac:dyDescent="0.35">
      <c r="H10534" s="11"/>
    </row>
    <row r="10535" spans="8:8" x14ac:dyDescent="0.35">
      <c r="H10535" s="11"/>
    </row>
    <row r="10536" spans="8:8" x14ac:dyDescent="0.35">
      <c r="H10536" s="11"/>
    </row>
    <row r="10537" spans="8:8" x14ac:dyDescent="0.35">
      <c r="H10537" s="11"/>
    </row>
    <row r="10538" spans="8:8" x14ac:dyDescent="0.35">
      <c r="H10538" s="11"/>
    </row>
    <row r="10539" spans="8:8" x14ac:dyDescent="0.35">
      <c r="H10539" s="11"/>
    </row>
    <row r="10540" spans="8:8" x14ac:dyDescent="0.35">
      <c r="H10540" s="11"/>
    </row>
    <row r="10541" spans="8:8" x14ac:dyDescent="0.35">
      <c r="H10541" s="11"/>
    </row>
    <row r="10542" spans="8:8" x14ac:dyDescent="0.35">
      <c r="H10542" s="11"/>
    </row>
    <row r="10543" spans="8:8" x14ac:dyDescent="0.35">
      <c r="H10543" s="11"/>
    </row>
    <row r="10544" spans="8:8" x14ac:dyDescent="0.35">
      <c r="H10544" s="11"/>
    </row>
    <row r="10545" spans="8:8" x14ac:dyDescent="0.35">
      <c r="H10545" s="11"/>
    </row>
    <row r="10546" spans="8:8" x14ac:dyDescent="0.35">
      <c r="H10546" s="11"/>
    </row>
    <row r="10547" spans="8:8" x14ac:dyDescent="0.35">
      <c r="H10547" s="11"/>
    </row>
    <row r="10548" spans="8:8" x14ac:dyDescent="0.35">
      <c r="H10548" s="11"/>
    </row>
    <row r="10549" spans="8:8" x14ac:dyDescent="0.35">
      <c r="H10549" s="11"/>
    </row>
    <row r="10550" spans="8:8" x14ac:dyDescent="0.35">
      <c r="H10550" s="11"/>
    </row>
    <row r="10551" spans="8:8" x14ac:dyDescent="0.35">
      <c r="H10551" s="11"/>
    </row>
    <row r="10552" spans="8:8" x14ac:dyDescent="0.35">
      <c r="H10552" s="11"/>
    </row>
    <row r="10553" spans="8:8" x14ac:dyDescent="0.35">
      <c r="H10553" s="11"/>
    </row>
    <row r="10554" spans="8:8" x14ac:dyDescent="0.35">
      <c r="H10554" s="11"/>
    </row>
    <row r="10555" spans="8:8" x14ac:dyDescent="0.35">
      <c r="H10555" s="11"/>
    </row>
    <row r="10556" spans="8:8" x14ac:dyDescent="0.35">
      <c r="H10556" s="11"/>
    </row>
    <row r="10557" spans="8:8" x14ac:dyDescent="0.35">
      <c r="H10557" s="11"/>
    </row>
    <row r="10558" spans="8:8" x14ac:dyDescent="0.35">
      <c r="H10558" s="11"/>
    </row>
    <row r="10559" spans="8:8" x14ac:dyDescent="0.35">
      <c r="H10559" s="11"/>
    </row>
    <row r="10560" spans="8:8" x14ac:dyDescent="0.35">
      <c r="H10560" s="11"/>
    </row>
    <row r="10561" spans="8:8" x14ac:dyDescent="0.35">
      <c r="H10561" s="11"/>
    </row>
    <row r="10562" spans="8:8" x14ac:dyDescent="0.35">
      <c r="H10562" s="11"/>
    </row>
    <row r="10563" spans="8:8" x14ac:dyDescent="0.35">
      <c r="H10563" s="11"/>
    </row>
    <row r="10564" spans="8:8" x14ac:dyDescent="0.35">
      <c r="H10564" s="11"/>
    </row>
    <row r="10565" spans="8:8" x14ac:dyDescent="0.35">
      <c r="H10565" s="11"/>
    </row>
    <row r="10566" spans="8:8" x14ac:dyDescent="0.35">
      <c r="H10566" s="11"/>
    </row>
    <row r="10567" spans="8:8" x14ac:dyDescent="0.35">
      <c r="H10567" s="11"/>
    </row>
    <row r="10568" spans="8:8" x14ac:dyDescent="0.35">
      <c r="H10568" s="11"/>
    </row>
    <row r="10569" spans="8:8" x14ac:dyDescent="0.35">
      <c r="H10569" s="11"/>
    </row>
    <row r="10570" spans="8:8" x14ac:dyDescent="0.35">
      <c r="H10570" s="11"/>
    </row>
    <row r="10571" spans="8:8" x14ac:dyDescent="0.35">
      <c r="H10571" s="11"/>
    </row>
    <row r="10572" spans="8:8" x14ac:dyDescent="0.35">
      <c r="H10572" s="11"/>
    </row>
    <row r="10573" spans="8:8" x14ac:dyDescent="0.35">
      <c r="H10573" s="11"/>
    </row>
    <row r="10574" spans="8:8" x14ac:dyDescent="0.35">
      <c r="H10574" s="11"/>
    </row>
    <row r="10575" spans="8:8" x14ac:dyDescent="0.35">
      <c r="H10575" s="11"/>
    </row>
    <row r="10576" spans="8:8" x14ac:dyDescent="0.35">
      <c r="H10576" s="11"/>
    </row>
    <row r="10577" spans="8:8" x14ac:dyDescent="0.35">
      <c r="H10577" s="11"/>
    </row>
    <row r="10578" spans="8:8" x14ac:dyDescent="0.35">
      <c r="H10578" s="11"/>
    </row>
    <row r="10579" spans="8:8" x14ac:dyDescent="0.35">
      <c r="H10579" s="11"/>
    </row>
    <row r="10580" spans="8:8" x14ac:dyDescent="0.35">
      <c r="H10580" s="11"/>
    </row>
    <row r="10581" spans="8:8" x14ac:dyDescent="0.35">
      <c r="H10581" s="11"/>
    </row>
    <row r="10582" spans="8:8" x14ac:dyDescent="0.35">
      <c r="H10582" s="11"/>
    </row>
    <row r="10583" spans="8:8" x14ac:dyDescent="0.35">
      <c r="H10583" s="11"/>
    </row>
    <row r="10584" spans="8:8" x14ac:dyDescent="0.35">
      <c r="H10584" s="11"/>
    </row>
    <row r="10585" spans="8:8" x14ac:dyDescent="0.35">
      <c r="H10585" s="11"/>
    </row>
    <row r="10586" spans="8:8" x14ac:dyDescent="0.35">
      <c r="H10586" s="11"/>
    </row>
    <row r="10587" spans="8:8" x14ac:dyDescent="0.35">
      <c r="H10587" s="11"/>
    </row>
    <row r="10588" spans="8:8" x14ac:dyDescent="0.35">
      <c r="H10588" s="11"/>
    </row>
    <row r="10589" spans="8:8" x14ac:dyDescent="0.35">
      <c r="H10589" s="11"/>
    </row>
    <row r="10590" spans="8:8" x14ac:dyDescent="0.35">
      <c r="H10590" s="11"/>
    </row>
    <row r="10591" spans="8:8" x14ac:dyDescent="0.35">
      <c r="H10591" s="11"/>
    </row>
    <row r="10592" spans="8:8" x14ac:dyDescent="0.35">
      <c r="H10592" s="11"/>
    </row>
    <row r="10593" spans="8:8" x14ac:dyDescent="0.35">
      <c r="H10593" s="11"/>
    </row>
    <row r="10594" spans="8:8" x14ac:dyDescent="0.35">
      <c r="H10594" s="11"/>
    </row>
    <row r="10595" spans="8:8" x14ac:dyDescent="0.35">
      <c r="H10595" s="11"/>
    </row>
    <row r="10596" spans="8:8" x14ac:dyDescent="0.35">
      <c r="H10596" s="11"/>
    </row>
    <row r="10597" spans="8:8" x14ac:dyDescent="0.35">
      <c r="H10597" s="11"/>
    </row>
    <row r="10598" spans="8:8" x14ac:dyDescent="0.35">
      <c r="H10598" s="11"/>
    </row>
    <row r="10599" spans="8:8" x14ac:dyDescent="0.35">
      <c r="H10599" s="11"/>
    </row>
    <row r="10600" spans="8:8" x14ac:dyDescent="0.35">
      <c r="H10600" s="11"/>
    </row>
    <row r="10601" spans="8:8" x14ac:dyDescent="0.35">
      <c r="H10601" s="11"/>
    </row>
    <row r="10602" spans="8:8" x14ac:dyDescent="0.35">
      <c r="H10602" s="11"/>
    </row>
    <row r="10603" spans="8:8" x14ac:dyDescent="0.35">
      <c r="H10603" s="11"/>
    </row>
    <row r="10604" spans="8:8" x14ac:dyDescent="0.35">
      <c r="H10604" s="11"/>
    </row>
    <row r="10605" spans="8:8" x14ac:dyDescent="0.35">
      <c r="H10605" s="11"/>
    </row>
    <row r="10606" spans="8:8" x14ac:dyDescent="0.35">
      <c r="H10606" s="11"/>
    </row>
    <row r="10607" spans="8:8" x14ac:dyDescent="0.35">
      <c r="H10607" s="11"/>
    </row>
    <row r="10608" spans="8:8" x14ac:dyDescent="0.35">
      <c r="H10608" s="11"/>
    </row>
    <row r="10609" spans="8:8" x14ac:dyDescent="0.35">
      <c r="H10609" s="11"/>
    </row>
    <row r="10610" spans="8:8" x14ac:dyDescent="0.35">
      <c r="H10610" s="11"/>
    </row>
    <row r="10611" spans="8:8" x14ac:dyDescent="0.35">
      <c r="H10611" s="11"/>
    </row>
    <row r="10612" spans="8:8" x14ac:dyDescent="0.35">
      <c r="H10612" s="11"/>
    </row>
    <row r="10613" spans="8:8" x14ac:dyDescent="0.35">
      <c r="H10613" s="11"/>
    </row>
    <row r="10614" spans="8:8" x14ac:dyDescent="0.35">
      <c r="H10614" s="11"/>
    </row>
    <row r="10615" spans="8:8" x14ac:dyDescent="0.35">
      <c r="H10615" s="11"/>
    </row>
    <row r="10616" spans="8:8" x14ac:dyDescent="0.35">
      <c r="H10616" s="11"/>
    </row>
    <row r="10617" spans="8:8" x14ac:dyDescent="0.35">
      <c r="H10617" s="11"/>
    </row>
    <row r="10618" spans="8:8" x14ac:dyDescent="0.35">
      <c r="H10618" s="11"/>
    </row>
    <row r="10619" spans="8:8" x14ac:dyDescent="0.35">
      <c r="H10619" s="11"/>
    </row>
    <row r="10620" spans="8:8" x14ac:dyDescent="0.35">
      <c r="H10620" s="11"/>
    </row>
    <row r="10621" spans="8:8" x14ac:dyDescent="0.35">
      <c r="H10621" s="11"/>
    </row>
    <row r="10622" spans="8:8" x14ac:dyDescent="0.35">
      <c r="H10622" s="11"/>
    </row>
    <row r="10623" spans="8:8" x14ac:dyDescent="0.35">
      <c r="H10623" s="11"/>
    </row>
    <row r="10624" spans="8:8" x14ac:dyDescent="0.35">
      <c r="H10624" s="11"/>
    </row>
    <row r="10625" spans="8:8" x14ac:dyDescent="0.35">
      <c r="H10625" s="11"/>
    </row>
    <row r="10626" spans="8:8" x14ac:dyDescent="0.35">
      <c r="H10626" s="11"/>
    </row>
    <row r="10627" spans="8:8" x14ac:dyDescent="0.35">
      <c r="H10627" s="11"/>
    </row>
    <row r="10628" spans="8:8" x14ac:dyDescent="0.35">
      <c r="H10628" s="11"/>
    </row>
    <row r="10629" spans="8:8" x14ac:dyDescent="0.35">
      <c r="H10629" s="11"/>
    </row>
    <row r="10630" spans="8:8" x14ac:dyDescent="0.35">
      <c r="H10630" s="11"/>
    </row>
    <row r="10631" spans="8:8" x14ac:dyDescent="0.35">
      <c r="H10631" s="11"/>
    </row>
    <row r="10632" spans="8:8" x14ac:dyDescent="0.35">
      <c r="H10632" s="11"/>
    </row>
    <row r="10633" spans="8:8" x14ac:dyDescent="0.35">
      <c r="H10633" s="11"/>
    </row>
    <row r="10634" spans="8:8" x14ac:dyDescent="0.35">
      <c r="H10634" s="11"/>
    </row>
    <row r="10635" spans="8:8" x14ac:dyDescent="0.35">
      <c r="H10635" s="11"/>
    </row>
    <row r="10636" spans="8:8" x14ac:dyDescent="0.35">
      <c r="H10636" s="11"/>
    </row>
    <row r="10637" spans="8:8" x14ac:dyDescent="0.35">
      <c r="H10637" s="11"/>
    </row>
    <row r="10638" spans="8:8" x14ac:dyDescent="0.35">
      <c r="H10638" s="11"/>
    </row>
    <row r="10639" spans="8:8" x14ac:dyDescent="0.35">
      <c r="H10639" s="11"/>
    </row>
    <row r="10640" spans="8:8" x14ac:dyDescent="0.35">
      <c r="H10640" s="11"/>
    </row>
    <row r="10641" spans="8:8" x14ac:dyDescent="0.35">
      <c r="H10641" s="11"/>
    </row>
    <row r="10642" spans="8:8" x14ac:dyDescent="0.35">
      <c r="H10642" s="11"/>
    </row>
    <row r="10643" spans="8:8" x14ac:dyDescent="0.35">
      <c r="H10643" s="11"/>
    </row>
    <row r="10644" spans="8:8" x14ac:dyDescent="0.35">
      <c r="H10644" s="11"/>
    </row>
    <row r="10645" spans="8:8" x14ac:dyDescent="0.35">
      <c r="H10645" s="11"/>
    </row>
    <row r="10646" spans="8:8" x14ac:dyDescent="0.35">
      <c r="H10646" s="11"/>
    </row>
    <row r="10647" spans="8:8" x14ac:dyDescent="0.35">
      <c r="H10647" s="11"/>
    </row>
    <row r="10648" spans="8:8" x14ac:dyDescent="0.35">
      <c r="H10648" s="11"/>
    </row>
    <row r="10649" spans="8:8" x14ac:dyDescent="0.35">
      <c r="H10649" s="11"/>
    </row>
    <row r="10650" spans="8:8" x14ac:dyDescent="0.35">
      <c r="H10650" s="11"/>
    </row>
    <row r="10651" spans="8:8" x14ac:dyDescent="0.35">
      <c r="H10651" s="11"/>
    </row>
    <row r="10652" spans="8:8" x14ac:dyDescent="0.35">
      <c r="H10652" s="11"/>
    </row>
    <row r="10653" spans="8:8" x14ac:dyDescent="0.35">
      <c r="H10653" s="11"/>
    </row>
    <row r="10654" spans="8:8" x14ac:dyDescent="0.35">
      <c r="H10654" s="11"/>
    </row>
    <row r="10655" spans="8:8" x14ac:dyDescent="0.35">
      <c r="H10655" s="11"/>
    </row>
    <row r="10656" spans="8:8" x14ac:dyDescent="0.35">
      <c r="H10656" s="11"/>
    </row>
    <row r="10657" spans="8:8" x14ac:dyDescent="0.35">
      <c r="H10657" s="11"/>
    </row>
    <row r="10658" spans="8:8" x14ac:dyDescent="0.35">
      <c r="H10658" s="11"/>
    </row>
    <row r="10659" spans="8:8" x14ac:dyDescent="0.35">
      <c r="H10659" s="11"/>
    </row>
    <row r="10660" spans="8:8" x14ac:dyDescent="0.35">
      <c r="H10660" s="11"/>
    </row>
    <row r="10661" spans="8:8" x14ac:dyDescent="0.35">
      <c r="H10661" s="11"/>
    </row>
    <row r="10662" spans="8:8" x14ac:dyDescent="0.35">
      <c r="H10662" s="11"/>
    </row>
    <row r="10663" spans="8:8" x14ac:dyDescent="0.35">
      <c r="H10663" s="11"/>
    </row>
    <row r="10664" spans="8:8" x14ac:dyDescent="0.35">
      <c r="H10664" s="11"/>
    </row>
    <row r="10665" spans="8:8" x14ac:dyDescent="0.35">
      <c r="H10665" s="11"/>
    </row>
    <row r="10666" spans="8:8" x14ac:dyDescent="0.35">
      <c r="H10666" s="11"/>
    </row>
    <row r="10667" spans="8:8" x14ac:dyDescent="0.35">
      <c r="H10667" s="11"/>
    </row>
    <row r="10668" spans="8:8" x14ac:dyDescent="0.35">
      <c r="H10668" s="11"/>
    </row>
    <row r="10669" spans="8:8" x14ac:dyDescent="0.35">
      <c r="H10669" s="11"/>
    </row>
    <row r="10670" spans="8:8" x14ac:dyDescent="0.35">
      <c r="H10670" s="11"/>
    </row>
    <row r="10671" spans="8:8" x14ac:dyDescent="0.35">
      <c r="H10671" s="11"/>
    </row>
    <row r="10672" spans="8:8" x14ac:dyDescent="0.35">
      <c r="H10672" s="11"/>
    </row>
    <row r="10673" spans="8:8" x14ac:dyDescent="0.35">
      <c r="H10673" s="11"/>
    </row>
    <row r="10674" spans="8:8" x14ac:dyDescent="0.35">
      <c r="H10674" s="11"/>
    </row>
    <row r="10675" spans="8:8" x14ac:dyDescent="0.35">
      <c r="H10675" s="11"/>
    </row>
    <row r="10676" spans="8:8" x14ac:dyDescent="0.35">
      <c r="H10676" s="11"/>
    </row>
    <row r="10677" spans="8:8" x14ac:dyDescent="0.35">
      <c r="H10677" s="11"/>
    </row>
    <row r="10678" spans="8:8" x14ac:dyDescent="0.35">
      <c r="H10678" s="11"/>
    </row>
    <row r="10679" spans="8:8" x14ac:dyDescent="0.35">
      <c r="H10679" s="11"/>
    </row>
    <row r="10680" spans="8:8" x14ac:dyDescent="0.35">
      <c r="H10680" s="11"/>
    </row>
    <row r="10681" spans="8:8" x14ac:dyDescent="0.35">
      <c r="H10681" s="11"/>
    </row>
    <row r="10682" spans="8:8" x14ac:dyDescent="0.35">
      <c r="H10682" s="11"/>
    </row>
    <row r="10683" spans="8:8" x14ac:dyDescent="0.35">
      <c r="H10683" s="11"/>
    </row>
    <row r="10684" spans="8:8" x14ac:dyDescent="0.35">
      <c r="H10684" s="11"/>
    </row>
    <row r="10685" spans="8:8" x14ac:dyDescent="0.35">
      <c r="H10685" s="11"/>
    </row>
    <row r="10686" spans="8:8" x14ac:dyDescent="0.35">
      <c r="H10686" s="11"/>
    </row>
    <row r="10687" spans="8:8" x14ac:dyDescent="0.35">
      <c r="H10687" s="11"/>
    </row>
    <row r="10688" spans="8:8" x14ac:dyDescent="0.35">
      <c r="H10688" s="11"/>
    </row>
    <row r="10689" spans="8:8" x14ac:dyDescent="0.35">
      <c r="H10689" s="11"/>
    </row>
    <row r="10690" spans="8:8" x14ac:dyDescent="0.35">
      <c r="H10690" s="11"/>
    </row>
    <row r="10691" spans="8:8" x14ac:dyDescent="0.35">
      <c r="H10691" s="11"/>
    </row>
    <row r="10692" spans="8:8" x14ac:dyDescent="0.35">
      <c r="H10692" s="11"/>
    </row>
    <row r="10693" spans="8:8" x14ac:dyDescent="0.35">
      <c r="H10693" s="11"/>
    </row>
    <row r="10694" spans="8:8" x14ac:dyDescent="0.35">
      <c r="H10694" s="11"/>
    </row>
    <row r="10695" spans="8:8" x14ac:dyDescent="0.35">
      <c r="H10695" s="11"/>
    </row>
    <row r="10696" spans="8:8" x14ac:dyDescent="0.35">
      <c r="H10696" s="11"/>
    </row>
    <row r="10697" spans="8:8" x14ac:dyDescent="0.35">
      <c r="H10697" s="11"/>
    </row>
    <row r="10698" spans="8:8" x14ac:dyDescent="0.35">
      <c r="H10698" s="11"/>
    </row>
    <row r="10699" spans="8:8" x14ac:dyDescent="0.35">
      <c r="H10699" s="11"/>
    </row>
    <row r="10700" spans="8:8" x14ac:dyDescent="0.35">
      <c r="H10700" s="11"/>
    </row>
    <row r="10701" spans="8:8" x14ac:dyDescent="0.35">
      <c r="H10701" s="11"/>
    </row>
    <row r="10702" spans="8:8" x14ac:dyDescent="0.35">
      <c r="H10702" s="11"/>
    </row>
    <row r="10703" spans="8:8" x14ac:dyDescent="0.35">
      <c r="H10703" s="11"/>
    </row>
    <row r="10704" spans="8:8" x14ac:dyDescent="0.35">
      <c r="H10704" s="11"/>
    </row>
    <row r="10705" spans="8:8" x14ac:dyDescent="0.35">
      <c r="H10705" s="11"/>
    </row>
    <row r="10706" spans="8:8" x14ac:dyDescent="0.35">
      <c r="H10706" s="11"/>
    </row>
    <row r="10707" spans="8:8" x14ac:dyDescent="0.35">
      <c r="H10707" s="11"/>
    </row>
    <row r="10708" spans="8:8" x14ac:dyDescent="0.35">
      <c r="H10708" s="11"/>
    </row>
    <row r="10709" spans="8:8" x14ac:dyDescent="0.35">
      <c r="H10709" s="11"/>
    </row>
    <row r="10710" spans="8:8" x14ac:dyDescent="0.35">
      <c r="H10710" s="11"/>
    </row>
    <row r="10711" spans="8:8" x14ac:dyDescent="0.35">
      <c r="H10711" s="11"/>
    </row>
    <row r="10712" spans="8:8" x14ac:dyDescent="0.35">
      <c r="H10712" s="11"/>
    </row>
    <row r="10713" spans="8:8" x14ac:dyDescent="0.35">
      <c r="H10713" s="11"/>
    </row>
    <row r="10714" spans="8:8" x14ac:dyDescent="0.35">
      <c r="H10714" s="11"/>
    </row>
    <row r="10715" spans="8:8" x14ac:dyDescent="0.35">
      <c r="H10715" s="11"/>
    </row>
    <row r="10716" spans="8:8" x14ac:dyDescent="0.35">
      <c r="H10716" s="11"/>
    </row>
    <row r="10717" spans="8:8" x14ac:dyDescent="0.35">
      <c r="H10717" s="11"/>
    </row>
    <row r="10718" spans="8:8" x14ac:dyDescent="0.35">
      <c r="H10718" s="11"/>
    </row>
    <row r="10719" spans="8:8" x14ac:dyDescent="0.35">
      <c r="H10719" s="11"/>
    </row>
    <row r="10720" spans="8:8" x14ac:dyDescent="0.35">
      <c r="H10720" s="11"/>
    </row>
    <row r="10721" spans="8:8" x14ac:dyDescent="0.35">
      <c r="H10721" s="11"/>
    </row>
    <row r="10722" spans="8:8" x14ac:dyDescent="0.35">
      <c r="H10722" s="11"/>
    </row>
    <row r="10723" spans="8:8" x14ac:dyDescent="0.35">
      <c r="H10723" s="11"/>
    </row>
    <row r="10724" spans="8:8" x14ac:dyDescent="0.35">
      <c r="H10724" s="11"/>
    </row>
    <row r="10725" spans="8:8" x14ac:dyDescent="0.35">
      <c r="H10725" s="11"/>
    </row>
    <row r="10726" spans="8:8" x14ac:dyDescent="0.35">
      <c r="H10726" s="11"/>
    </row>
    <row r="10727" spans="8:8" x14ac:dyDescent="0.35">
      <c r="H10727" s="11"/>
    </row>
    <row r="10728" spans="8:8" x14ac:dyDescent="0.35">
      <c r="H10728" s="11"/>
    </row>
    <row r="10729" spans="8:8" x14ac:dyDescent="0.35">
      <c r="H10729" s="11"/>
    </row>
    <row r="10730" spans="8:8" x14ac:dyDescent="0.35">
      <c r="H10730" s="11"/>
    </row>
    <row r="10731" spans="8:8" x14ac:dyDescent="0.35">
      <c r="H10731" s="11"/>
    </row>
    <row r="10732" spans="8:8" x14ac:dyDescent="0.35">
      <c r="H10732" s="11"/>
    </row>
    <row r="10733" spans="8:8" x14ac:dyDescent="0.35">
      <c r="H10733" s="11"/>
    </row>
    <row r="10734" spans="8:8" x14ac:dyDescent="0.35">
      <c r="H10734" s="11"/>
    </row>
    <row r="10735" spans="8:8" x14ac:dyDescent="0.35">
      <c r="H10735" s="11"/>
    </row>
    <row r="10736" spans="8:8" x14ac:dyDescent="0.35">
      <c r="H10736" s="11"/>
    </row>
    <row r="10737" spans="8:8" x14ac:dyDescent="0.35">
      <c r="H10737" s="11"/>
    </row>
    <row r="10738" spans="8:8" x14ac:dyDescent="0.35">
      <c r="H10738" s="11"/>
    </row>
    <row r="10739" spans="8:8" x14ac:dyDescent="0.35">
      <c r="H10739" s="11"/>
    </row>
    <row r="10740" spans="8:8" x14ac:dyDescent="0.35">
      <c r="H10740" s="11"/>
    </row>
    <row r="10741" spans="8:8" x14ac:dyDescent="0.35">
      <c r="H10741" s="11"/>
    </row>
    <row r="10742" spans="8:8" x14ac:dyDescent="0.35">
      <c r="H10742" s="11"/>
    </row>
    <row r="10743" spans="8:8" x14ac:dyDescent="0.35">
      <c r="H10743" s="11"/>
    </row>
    <row r="10744" spans="8:8" x14ac:dyDescent="0.35">
      <c r="H10744" s="11"/>
    </row>
    <row r="10745" spans="8:8" x14ac:dyDescent="0.35">
      <c r="H10745" s="11"/>
    </row>
    <row r="10746" spans="8:8" x14ac:dyDescent="0.35">
      <c r="H10746" s="11"/>
    </row>
    <row r="10747" spans="8:8" x14ac:dyDescent="0.35">
      <c r="H10747" s="11"/>
    </row>
    <row r="10748" spans="8:8" x14ac:dyDescent="0.35">
      <c r="H10748" s="11"/>
    </row>
    <row r="10749" spans="8:8" x14ac:dyDescent="0.35">
      <c r="H10749" s="11"/>
    </row>
    <row r="10750" spans="8:8" x14ac:dyDescent="0.35">
      <c r="H10750" s="11"/>
    </row>
    <row r="10751" spans="8:8" x14ac:dyDescent="0.35">
      <c r="H10751" s="11"/>
    </row>
    <row r="10752" spans="8:8" x14ac:dyDescent="0.35">
      <c r="H10752" s="11"/>
    </row>
    <row r="10753" spans="8:8" x14ac:dyDescent="0.35">
      <c r="H10753" s="11"/>
    </row>
    <row r="10754" spans="8:8" x14ac:dyDescent="0.35">
      <c r="H10754" s="11"/>
    </row>
    <row r="10755" spans="8:8" x14ac:dyDescent="0.35">
      <c r="H10755" s="11"/>
    </row>
    <row r="10756" spans="8:8" x14ac:dyDescent="0.35">
      <c r="H10756" s="11"/>
    </row>
    <row r="10757" spans="8:8" x14ac:dyDescent="0.35">
      <c r="H10757" s="11"/>
    </row>
    <row r="10758" spans="8:8" x14ac:dyDescent="0.35">
      <c r="H10758" s="11"/>
    </row>
    <row r="10759" spans="8:8" x14ac:dyDescent="0.35">
      <c r="H10759" s="11"/>
    </row>
    <row r="10760" spans="8:8" x14ac:dyDescent="0.35">
      <c r="H10760" s="11"/>
    </row>
    <row r="10761" spans="8:8" x14ac:dyDescent="0.35">
      <c r="H10761" s="11"/>
    </row>
    <row r="10762" spans="8:8" x14ac:dyDescent="0.35">
      <c r="H10762" s="11"/>
    </row>
    <row r="10763" spans="8:8" x14ac:dyDescent="0.35">
      <c r="H10763" s="11"/>
    </row>
    <row r="10764" spans="8:8" x14ac:dyDescent="0.35">
      <c r="H10764" s="11"/>
    </row>
    <row r="10765" spans="8:8" x14ac:dyDescent="0.35">
      <c r="H10765" s="11"/>
    </row>
    <row r="10766" spans="8:8" x14ac:dyDescent="0.35">
      <c r="H10766" s="11"/>
    </row>
    <row r="10767" spans="8:8" x14ac:dyDescent="0.35">
      <c r="H10767" s="11"/>
    </row>
    <row r="10768" spans="8:8" x14ac:dyDescent="0.35">
      <c r="H10768" s="11"/>
    </row>
    <row r="10769" spans="8:8" x14ac:dyDescent="0.35">
      <c r="H10769" s="11"/>
    </row>
    <row r="10770" spans="8:8" x14ac:dyDescent="0.35">
      <c r="H10770" s="11"/>
    </row>
    <row r="10771" spans="8:8" x14ac:dyDescent="0.35">
      <c r="H10771" s="11"/>
    </row>
    <row r="10772" spans="8:8" x14ac:dyDescent="0.35">
      <c r="H10772" s="11"/>
    </row>
    <row r="10773" spans="8:8" x14ac:dyDescent="0.35">
      <c r="H10773" s="11"/>
    </row>
    <row r="10774" spans="8:8" x14ac:dyDescent="0.35">
      <c r="H10774" s="11"/>
    </row>
    <row r="10775" spans="8:8" x14ac:dyDescent="0.35">
      <c r="H10775" s="11"/>
    </row>
    <row r="10776" spans="8:8" x14ac:dyDescent="0.35">
      <c r="H10776" s="11"/>
    </row>
    <row r="10777" spans="8:8" x14ac:dyDescent="0.35">
      <c r="H10777" s="11"/>
    </row>
    <row r="10778" spans="8:8" x14ac:dyDescent="0.35">
      <c r="H10778" s="11"/>
    </row>
    <row r="10779" spans="8:8" x14ac:dyDescent="0.35">
      <c r="H10779" s="11"/>
    </row>
    <row r="10780" spans="8:8" x14ac:dyDescent="0.35">
      <c r="H10780" s="11"/>
    </row>
    <row r="10781" spans="8:8" x14ac:dyDescent="0.35">
      <c r="H10781" s="11"/>
    </row>
    <row r="10782" spans="8:8" x14ac:dyDescent="0.35">
      <c r="H10782" s="11"/>
    </row>
    <row r="10783" spans="8:8" x14ac:dyDescent="0.35">
      <c r="H10783" s="11"/>
    </row>
    <row r="10784" spans="8:8" x14ac:dyDescent="0.35">
      <c r="H10784" s="11"/>
    </row>
    <row r="10785" spans="8:8" x14ac:dyDescent="0.35">
      <c r="H10785" s="11"/>
    </row>
    <row r="10786" spans="8:8" x14ac:dyDescent="0.35">
      <c r="H10786" s="11"/>
    </row>
    <row r="10787" spans="8:8" x14ac:dyDescent="0.35">
      <c r="H10787" s="11"/>
    </row>
    <row r="10788" spans="8:8" x14ac:dyDescent="0.35">
      <c r="H10788" s="11"/>
    </row>
    <row r="10789" spans="8:8" x14ac:dyDescent="0.35">
      <c r="H10789" s="11"/>
    </row>
    <row r="10790" spans="8:8" x14ac:dyDescent="0.35">
      <c r="H10790" s="11"/>
    </row>
    <row r="10791" spans="8:8" x14ac:dyDescent="0.35">
      <c r="H10791" s="11"/>
    </row>
    <row r="10792" spans="8:8" x14ac:dyDescent="0.35">
      <c r="H10792" s="11"/>
    </row>
    <row r="10793" spans="8:8" x14ac:dyDescent="0.35">
      <c r="H10793" s="11"/>
    </row>
    <row r="10794" spans="8:8" x14ac:dyDescent="0.35">
      <c r="H10794" s="11"/>
    </row>
    <row r="10795" spans="8:8" x14ac:dyDescent="0.35">
      <c r="H10795" s="11"/>
    </row>
    <row r="10796" spans="8:8" x14ac:dyDescent="0.35">
      <c r="H10796" s="11"/>
    </row>
    <row r="10797" spans="8:8" x14ac:dyDescent="0.35">
      <c r="H10797" s="11"/>
    </row>
    <row r="10798" spans="8:8" x14ac:dyDescent="0.35">
      <c r="H10798" s="11"/>
    </row>
    <row r="10799" spans="8:8" x14ac:dyDescent="0.35">
      <c r="H10799" s="11"/>
    </row>
    <row r="10800" spans="8:8" x14ac:dyDescent="0.35">
      <c r="H10800" s="11"/>
    </row>
    <row r="10801" spans="8:8" x14ac:dyDescent="0.35">
      <c r="H10801" s="11"/>
    </row>
    <row r="10802" spans="8:8" x14ac:dyDescent="0.35">
      <c r="H10802" s="11"/>
    </row>
    <row r="10803" spans="8:8" x14ac:dyDescent="0.35">
      <c r="H10803" s="11"/>
    </row>
    <row r="10804" spans="8:8" x14ac:dyDescent="0.35">
      <c r="H10804" s="11"/>
    </row>
    <row r="10805" spans="8:8" x14ac:dyDescent="0.35">
      <c r="H10805" s="11"/>
    </row>
    <row r="10806" spans="8:8" x14ac:dyDescent="0.35">
      <c r="H10806" s="11"/>
    </row>
    <row r="10807" spans="8:8" x14ac:dyDescent="0.35">
      <c r="H10807" s="11"/>
    </row>
    <row r="10808" spans="8:8" x14ac:dyDescent="0.35">
      <c r="H10808" s="11"/>
    </row>
    <row r="10809" spans="8:8" x14ac:dyDescent="0.35">
      <c r="H10809" s="11"/>
    </row>
    <row r="10810" spans="8:8" x14ac:dyDescent="0.35">
      <c r="H10810" s="11"/>
    </row>
    <row r="10811" spans="8:8" x14ac:dyDescent="0.35">
      <c r="H10811" s="11"/>
    </row>
    <row r="10812" spans="8:8" x14ac:dyDescent="0.35">
      <c r="H10812" s="11"/>
    </row>
    <row r="10813" spans="8:8" x14ac:dyDescent="0.35">
      <c r="H10813" s="11"/>
    </row>
    <row r="10814" spans="8:8" x14ac:dyDescent="0.35">
      <c r="H10814" s="11"/>
    </row>
    <row r="10815" spans="8:8" x14ac:dyDescent="0.35">
      <c r="H10815" s="11"/>
    </row>
    <row r="10816" spans="8:8" x14ac:dyDescent="0.35">
      <c r="H10816" s="11"/>
    </row>
    <row r="10817" spans="8:8" x14ac:dyDescent="0.35">
      <c r="H10817" s="11"/>
    </row>
    <row r="10818" spans="8:8" x14ac:dyDescent="0.35">
      <c r="H10818" s="11"/>
    </row>
    <row r="10819" spans="8:8" x14ac:dyDescent="0.35">
      <c r="H10819" s="11"/>
    </row>
    <row r="10820" spans="8:8" x14ac:dyDescent="0.35">
      <c r="H10820" s="11"/>
    </row>
    <row r="10821" spans="8:8" x14ac:dyDescent="0.35">
      <c r="H10821" s="11"/>
    </row>
    <row r="10822" spans="8:8" x14ac:dyDescent="0.35">
      <c r="H10822" s="11"/>
    </row>
    <row r="10823" spans="8:8" x14ac:dyDescent="0.35">
      <c r="H10823" s="11"/>
    </row>
    <row r="10824" spans="8:8" x14ac:dyDescent="0.35">
      <c r="H10824" s="11"/>
    </row>
    <row r="10825" spans="8:8" x14ac:dyDescent="0.35">
      <c r="H10825" s="11"/>
    </row>
    <row r="10826" spans="8:8" x14ac:dyDescent="0.35">
      <c r="H10826" s="11"/>
    </row>
    <row r="10827" spans="8:8" x14ac:dyDescent="0.35">
      <c r="H10827" s="11"/>
    </row>
    <row r="10828" spans="8:8" x14ac:dyDescent="0.35">
      <c r="H10828" s="11"/>
    </row>
    <row r="10829" spans="8:8" x14ac:dyDescent="0.35">
      <c r="H10829" s="11"/>
    </row>
    <row r="10830" spans="8:8" x14ac:dyDescent="0.35">
      <c r="H10830" s="11"/>
    </row>
    <row r="10831" spans="8:8" x14ac:dyDescent="0.35">
      <c r="H10831" s="11"/>
    </row>
    <row r="10832" spans="8:8" x14ac:dyDescent="0.35">
      <c r="H10832" s="11"/>
    </row>
    <row r="10833" spans="8:8" x14ac:dyDescent="0.35">
      <c r="H10833" s="11"/>
    </row>
    <row r="10834" spans="8:8" x14ac:dyDescent="0.35">
      <c r="H10834" s="11"/>
    </row>
    <row r="10835" spans="8:8" x14ac:dyDescent="0.35">
      <c r="H10835" s="11"/>
    </row>
    <row r="10836" spans="8:8" x14ac:dyDescent="0.35">
      <c r="H10836" s="11"/>
    </row>
    <row r="10837" spans="8:8" x14ac:dyDescent="0.35">
      <c r="H10837" s="11"/>
    </row>
    <row r="10838" spans="8:8" x14ac:dyDescent="0.35">
      <c r="H10838" s="11"/>
    </row>
    <row r="10839" spans="8:8" x14ac:dyDescent="0.35">
      <c r="H10839" s="11"/>
    </row>
    <row r="10840" spans="8:8" x14ac:dyDescent="0.35">
      <c r="H10840" s="11"/>
    </row>
    <row r="10841" spans="8:8" x14ac:dyDescent="0.35">
      <c r="H10841" s="11"/>
    </row>
    <row r="10842" spans="8:8" x14ac:dyDescent="0.35">
      <c r="H10842" s="11"/>
    </row>
    <row r="10843" spans="8:8" x14ac:dyDescent="0.35">
      <c r="H10843" s="11"/>
    </row>
    <row r="10844" spans="8:8" x14ac:dyDescent="0.35">
      <c r="H10844" s="11"/>
    </row>
    <row r="10845" spans="8:8" x14ac:dyDescent="0.35">
      <c r="H10845" s="11"/>
    </row>
    <row r="10846" spans="8:8" x14ac:dyDescent="0.35">
      <c r="H10846" s="11"/>
    </row>
    <row r="10847" spans="8:8" x14ac:dyDescent="0.35">
      <c r="H10847" s="11"/>
    </row>
    <row r="10848" spans="8:8" x14ac:dyDescent="0.35">
      <c r="H10848" s="11"/>
    </row>
    <row r="10849" spans="8:8" x14ac:dyDescent="0.35">
      <c r="H10849" s="11"/>
    </row>
    <row r="10850" spans="8:8" x14ac:dyDescent="0.35">
      <c r="H10850" s="11"/>
    </row>
    <row r="10851" spans="8:8" x14ac:dyDescent="0.35">
      <c r="H10851" s="11"/>
    </row>
    <row r="10852" spans="8:8" x14ac:dyDescent="0.35">
      <c r="H10852" s="11"/>
    </row>
    <row r="10853" spans="8:8" x14ac:dyDescent="0.35">
      <c r="H10853" s="11"/>
    </row>
    <row r="10854" spans="8:8" x14ac:dyDescent="0.35">
      <c r="H10854" s="11"/>
    </row>
    <row r="10855" spans="8:8" x14ac:dyDescent="0.35">
      <c r="H10855" s="11"/>
    </row>
    <row r="10856" spans="8:8" x14ac:dyDescent="0.35">
      <c r="H10856" s="11"/>
    </row>
    <row r="10857" spans="8:8" x14ac:dyDescent="0.35">
      <c r="H10857" s="11"/>
    </row>
    <row r="10858" spans="8:8" x14ac:dyDescent="0.35">
      <c r="H10858" s="11"/>
    </row>
    <row r="10859" spans="8:8" x14ac:dyDescent="0.35">
      <c r="H10859" s="11"/>
    </row>
    <row r="10860" spans="8:8" x14ac:dyDescent="0.35">
      <c r="H10860" s="11"/>
    </row>
    <row r="10861" spans="8:8" x14ac:dyDescent="0.35">
      <c r="H10861" s="11"/>
    </row>
    <row r="10862" spans="8:8" x14ac:dyDescent="0.35">
      <c r="H10862" s="11"/>
    </row>
    <row r="10863" spans="8:8" x14ac:dyDescent="0.35">
      <c r="H10863" s="11"/>
    </row>
    <row r="10864" spans="8:8" x14ac:dyDescent="0.35">
      <c r="H10864" s="11"/>
    </row>
    <row r="10865" spans="8:8" x14ac:dyDescent="0.35">
      <c r="H10865" s="11"/>
    </row>
    <row r="10866" spans="8:8" x14ac:dyDescent="0.35">
      <c r="H10866" s="11"/>
    </row>
    <row r="10867" spans="8:8" x14ac:dyDescent="0.35">
      <c r="H10867" s="11"/>
    </row>
    <row r="10868" spans="8:8" x14ac:dyDescent="0.35">
      <c r="H10868" s="11"/>
    </row>
    <row r="10869" spans="8:8" x14ac:dyDescent="0.35">
      <c r="H10869" s="11"/>
    </row>
    <row r="10870" spans="8:8" x14ac:dyDescent="0.35">
      <c r="H10870" s="11"/>
    </row>
    <row r="10871" spans="8:8" x14ac:dyDescent="0.35">
      <c r="H10871" s="11"/>
    </row>
    <row r="10872" spans="8:8" x14ac:dyDescent="0.35">
      <c r="H10872" s="11"/>
    </row>
    <row r="10873" spans="8:8" x14ac:dyDescent="0.35">
      <c r="H10873" s="11"/>
    </row>
    <row r="10874" spans="8:8" x14ac:dyDescent="0.35">
      <c r="H10874" s="11"/>
    </row>
    <row r="10875" spans="8:8" x14ac:dyDescent="0.35">
      <c r="H10875" s="11"/>
    </row>
    <row r="10876" spans="8:8" x14ac:dyDescent="0.35">
      <c r="H10876" s="11"/>
    </row>
    <row r="10877" spans="8:8" x14ac:dyDescent="0.35">
      <c r="H10877" s="11"/>
    </row>
    <row r="10878" spans="8:8" x14ac:dyDescent="0.35">
      <c r="H10878" s="11"/>
    </row>
    <row r="10879" spans="8:8" x14ac:dyDescent="0.35">
      <c r="H10879" s="11"/>
    </row>
    <row r="10880" spans="8:8" x14ac:dyDescent="0.35">
      <c r="H10880" s="11"/>
    </row>
    <row r="10881" spans="8:8" x14ac:dyDescent="0.35">
      <c r="H10881" s="11"/>
    </row>
    <row r="10882" spans="8:8" x14ac:dyDescent="0.35">
      <c r="H10882" s="11"/>
    </row>
    <row r="10883" spans="8:8" x14ac:dyDescent="0.35">
      <c r="H10883" s="11"/>
    </row>
    <row r="10884" spans="8:8" x14ac:dyDescent="0.35">
      <c r="H10884" s="11"/>
    </row>
    <row r="10885" spans="8:8" x14ac:dyDescent="0.35">
      <c r="H10885" s="11"/>
    </row>
    <row r="10886" spans="8:8" x14ac:dyDescent="0.35">
      <c r="H10886" s="11"/>
    </row>
    <row r="10887" spans="8:8" x14ac:dyDescent="0.35">
      <c r="H10887" s="11"/>
    </row>
    <row r="10888" spans="8:8" x14ac:dyDescent="0.35">
      <c r="H10888" s="11"/>
    </row>
    <row r="10889" spans="8:8" x14ac:dyDescent="0.35">
      <c r="H10889" s="11"/>
    </row>
    <row r="10890" spans="8:8" x14ac:dyDescent="0.35">
      <c r="H10890" s="11"/>
    </row>
    <row r="10891" spans="8:8" x14ac:dyDescent="0.35">
      <c r="H10891" s="11"/>
    </row>
    <row r="10892" spans="8:8" x14ac:dyDescent="0.35">
      <c r="H10892" s="11"/>
    </row>
    <row r="10893" spans="8:8" x14ac:dyDescent="0.35">
      <c r="H10893" s="11"/>
    </row>
    <row r="10894" spans="8:8" x14ac:dyDescent="0.35">
      <c r="H10894" s="11"/>
    </row>
    <row r="10895" spans="8:8" x14ac:dyDescent="0.35">
      <c r="H10895" s="11"/>
    </row>
    <row r="10896" spans="8:8" x14ac:dyDescent="0.35">
      <c r="H10896" s="11"/>
    </row>
    <row r="10897" spans="8:8" x14ac:dyDescent="0.35">
      <c r="H10897" s="11"/>
    </row>
    <row r="10898" spans="8:8" x14ac:dyDescent="0.35">
      <c r="H10898" s="11"/>
    </row>
    <row r="10899" spans="8:8" x14ac:dyDescent="0.35">
      <c r="H10899" s="11"/>
    </row>
    <row r="10900" spans="8:8" x14ac:dyDescent="0.35">
      <c r="H10900" s="11"/>
    </row>
    <row r="10901" spans="8:8" x14ac:dyDescent="0.35">
      <c r="H10901" s="11"/>
    </row>
    <row r="10902" spans="8:8" x14ac:dyDescent="0.35">
      <c r="H10902" s="11"/>
    </row>
    <row r="10903" spans="8:8" x14ac:dyDescent="0.35">
      <c r="H10903" s="11"/>
    </row>
    <row r="10904" spans="8:8" x14ac:dyDescent="0.35">
      <c r="H10904" s="11"/>
    </row>
    <row r="10905" spans="8:8" x14ac:dyDescent="0.35">
      <c r="H10905" s="11"/>
    </row>
    <row r="10906" spans="8:8" x14ac:dyDescent="0.35">
      <c r="H10906" s="11"/>
    </row>
    <row r="10907" spans="8:8" x14ac:dyDescent="0.35">
      <c r="H10907" s="11"/>
    </row>
    <row r="10908" spans="8:8" x14ac:dyDescent="0.35">
      <c r="H10908" s="11"/>
    </row>
    <row r="10909" spans="8:8" x14ac:dyDescent="0.35">
      <c r="H10909" s="11"/>
    </row>
    <row r="10910" spans="8:8" x14ac:dyDescent="0.35">
      <c r="H10910" s="11"/>
    </row>
    <row r="10911" spans="8:8" x14ac:dyDescent="0.35">
      <c r="H10911" s="11"/>
    </row>
    <row r="10912" spans="8:8" x14ac:dyDescent="0.35">
      <c r="H10912" s="11"/>
    </row>
    <row r="10913" spans="8:8" x14ac:dyDescent="0.35">
      <c r="H10913" s="11"/>
    </row>
    <row r="10914" spans="8:8" x14ac:dyDescent="0.35">
      <c r="H10914" s="11"/>
    </row>
    <row r="10915" spans="8:8" x14ac:dyDescent="0.35">
      <c r="H10915" s="11"/>
    </row>
    <row r="10916" spans="8:8" x14ac:dyDescent="0.35">
      <c r="H10916" s="11"/>
    </row>
    <row r="10917" spans="8:8" x14ac:dyDescent="0.35">
      <c r="H10917" s="11"/>
    </row>
    <row r="10918" spans="8:8" x14ac:dyDescent="0.35">
      <c r="H10918" s="11"/>
    </row>
    <row r="10919" spans="8:8" x14ac:dyDescent="0.35">
      <c r="H10919" s="11"/>
    </row>
    <row r="10920" spans="8:8" x14ac:dyDescent="0.35">
      <c r="H10920" s="11"/>
    </row>
    <row r="10921" spans="8:8" x14ac:dyDescent="0.35">
      <c r="H10921" s="11"/>
    </row>
    <row r="10922" spans="8:8" x14ac:dyDescent="0.35">
      <c r="H10922" s="11"/>
    </row>
    <row r="10923" spans="8:8" x14ac:dyDescent="0.35">
      <c r="H10923" s="11"/>
    </row>
    <row r="10924" spans="8:8" x14ac:dyDescent="0.35">
      <c r="H10924" s="11"/>
    </row>
    <row r="10925" spans="8:8" x14ac:dyDescent="0.35">
      <c r="H10925" s="11"/>
    </row>
    <row r="10926" spans="8:8" x14ac:dyDescent="0.35">
      <c r="H10926" s="11"/>
    </row>
    <row r="10927" spans="8:8" x14ac:dyDescent="0.35">
      <c r="H10927" s="11"/>
    </row>
    <row r="10928" spans="8:8" x14ac:dyDescent="0.35">
      <c r="H10928" s="11"/>
    </row>
    <row r="10929" spans="8:8" x14ac:dyDescent="0.35">
      <c r="H10929" s="11"/>
    </row>
    <row r="10930" spans="8:8" x14ac:dyDescent="0.35">
      <c r="H10930" s="11"/>
    </row>
    <row r="10931" spans="8:8" x14ac:dyDescent="0.35">
      <c r="H10931" s="11"/>
    </row>
    <row r="10932" spans="8:8" x14ac:dyDescent="0.35">
      <c r="H10932" s="11"/>
    </row>
    <row r="10933" spans="8:8" x14ac:dyDescent="0.35">
      <c r="H10933" s="11"/>
    </row>
    <row r="10934" spans="8:8" x14ac:dyDescent="0.35">
      <c r="H10934" s="11"/>
    </row>
    <row r="10935" spans="8:8" x14ac:dyDescent="0.35">
      <c r="H10935" s="11"/>
    </row>
    <row r="10936" spans="8:8" x14ac:dyDescent="0.35">
      <c r="H10936" s="11"/>
    </row>
    <row r="10937" spans="8:8" x14ac:dyDescent="0.35">
      <c r="H10937" s="11"/>
    </row>
    <row r="10938" spans="8:8" x14ac:dyDescent="0.35">
      <c r="H10938" s="11"/>
    </row>
    <row r="10939" spans="8:8" x14ac:dyDescent="0.35">
      <c r="H10939" s="11"/>
    </row>
    <row r="10940" spans="8:8" x14ac:dyDescent="0.35">
      <c r="H10940" s="11"/>
    </row>
    <row r="10941" spans="8:8" x14ac:dyDescent="0.35">
      <c r="H10941" s="11"/>
    </row>
    <row r="10942" spans="8:8" x14ac:dyDescent="0.35">
      <c r="H10942" s="11"/>
    </row>
    <row r="10943" spans="8:8" x14ac:dyDescent="0.35">
      <c r="H10943" s="11"/>
    </row>
    <row r="10944" spans="8:8" x14ac:dyDescent="0.35">
      <c r="H10944" s="11"/>
    </row>
    <row r="10945" spans="8:8" x14ac:dyDescent="0.35">
      <c r="H10945" s="11"/>
    </row>
    <row r="10946" spans="8:8" x14ac:dyDescent="0.35">
      <c r="H10946" s="11"/>
    </row>
    <row r="10947" spans="8:8" x14ac:dyDescent="0.35">
      <c r="H10947" s="11"/>
    </row>
    <row r="10948" spans="8:8" x14ac:dyDescent="0.35">
      <c r="H10948" s="11"/>
    </row>
    <row r="10949" spans="8:8" x14ac:dyDescent="0.35">
      <c r="H10949" s="11"/>
    </row>
    <row r="10950" spans="8:8" x14ac:dyDescent="0.35">
      <c r="H10950" s="11"/>
    </row>
    <row r="10951" spans="8:8" x14ac:dyDescent="0.35">
      <c r="H10951" s="11"/>
    </row>
    <row r="10952" spans="8:8" x14ac:dyDescent="0.35">
      <c r="H10952" s="11"/>
    </row>
    <row r="10953" spans="8:8" x14ac:dyDescent="0.35">
      <c r="H10953" s="11"/>
    </row>
    <row r="10954" spans="8:8" x14ac:dyDescent="0.35">
      <c r="H10954" s="11"/>
    </row>
    <row r="10955" spans="8:8" x14ac:dyDescent="0.35">
      <c r="H10955" s="11"/>
    </row>
    <row r="10956" spans="8:8" x14ac:dyDescent="0.35">
      <c r="H10956" s="11"/>
    </row>
    <row r="10957" spans="8:8" x14ac:dyDescent="0.35">
      <c r="H10957" s="11"/>
    </row>
    <row r="10958" spans="8:8" x14ac:dyDescent="0.35">
      <c r="H10958" s="11"/>
    </row>
    <row r="10959" spans="8:8" x14ac:dyDescent="0.35">
      <c r="H10959" s="11"/>
    </row>
    <row r="10960" spans="8:8" x14ac:dyDescent="0.35">
      <c r="H10960" s="11"/>
    </row>
    <row r="10961" spans="8:8" x14ac:dyDescent="0.35">
      <c r="H10961" s="11"/>
    </row>
    <row r="10962" spans="8:8" x14ac:dyDescent="0.35">
      <c r="H10962" s="11"/>
    </row>
    <row r="10963" spans="8:8" x14ac:dyDescent="0.35">
      <c r="H10963" s="11"/>
    </row>
    <row r="10964" spans="8:8" x14ac:dyDescent="0.35">
      <c r="H10964" s="11"/>
    </row>
    <row r="10965" spans="8:8" x14ac:dyDescent="0.35">
      <c r="H10965" s="11"/>
    </row>
    <row r="10966" spans="8:8" x14ac:dyDescent="0.35">
      <c r="H10966" s="11"/>
    </row>
    <row r="10967" spans="8:8" x14ac:dyDescent="0.35">
      <c r="H10967" s="11"/>
    </row>
    <row r="10968" spans="8:8" x14ac:dyDescent="0.35">
      <c r="H10968" s="11"/>
    </row>
    <row r="10969" spans="8:8" x14ac:dyDescent="0.35">
      <c r="H10969" s="11"/>
    </row>
    <row r="10970" spans="8:8" x14ac:dyDescent="0.35">
      <c r="H10970" s="11"/>
    </row>
    <row r="10971" spans="8:8" x14ac:dyDescent="0.35">
      <c r="H10971" s="11"/>
    </row>
    <row r="10972" spans="8:8" x14ac:dyDescent="0.35">
      <c r="H10972" s="11"/>
    </row>
    <row r="10973" spans="8:8" x14ac:dyDescent="0.35">
      <c r="H10973" s="11"/>
    </row>
    <row r="10974" spans="8:8" x14ac:dyDescent="0.35">
      <c r="H10974" s="11"/>
    </row>
    <row r="10975" spans="8:8" x14ac:dyDescent="0.35">
      <c r="H10975" s="11"/>
    </row>
    <row r="10976" spans="8:8" x14ac:dyDescent="0.35">
      <c r="H10976" s="11"/>
    </row>
    <row r="10977" spans="8:8" x14ac:dyDescent="0.35">
      <c r="H10977" s="11"/>
    </row>
    <row r="10978" spans="8:8" x14ac:dyDescent="0.35">
      <c r="H10978" s="11"/>
    </row>
    <row r="10979" spans="8:8" x14ac:dyDescent="0.35">
      <c r="H10979" s="11"/>
    </row>
    <row r="10980" spans="8:8" x14ac:dyDescent="0.35">
      <c r="H10980" s="11"/>
    </row>
    <row r="10981" spans="8:8" x14ac:dyDescent="0.35">
      <c r="H10981" s="11"/>
    </row>
    <row r="10982" spans="8:8" x14ac:dyDescent="0.35">
      <c r="H10982" s="11"/>
    </row>
    <row r="10983" spans="8:8" x14ac:dyDescent="0.35">
      <c r="H10983" s="11"/>
    </row>
    <row r="10984" spans="8:8" x14ac:dyDescent="0.35">
      <c r="H10984" s="11"/>
    </row>
    <row r="10985" spans="8:8" x14ac:dyDescent="0.35">
      <c r="H10985" s="11"/>
    </row>
    <row r="10986" spans="8:8" x14ac:dyDescent="0.35">
      <c r="H10986" s="11"/>
    </row>
    <row r="10987" spans="8:8" x14ac:dyDescent="0.35">
      <c r="H10987" s="11"/>
    </row>
    <row r="10988" spans="8:8" x14ac:dyDescent="0.35">
      <c r="H10988" s="11"/>
    </row>
    <row r="10989" spans="8:8" x14ac:dyDescent="0.35">
      <c r="H10989" s="11"/>
    </row>
    <row r="10990" spans="8:8" x14ac:dyDescent="0.35">
      <c r="H10990" s="11"/>
    </row>
    <row r="10991" spans="8:8" x14ac:dyDescent="0.35">
      <c r="H10991" s="11"/>
    </row>
    <row r="10992" spans="8:8" x14ac:dyDescent="0.35">
      <c r="H10992" s="11"/>
    </row>
    <row r="10993" spans="8:8" x14ac:dyDescent="0.35">
      <c r="H10993" s="11"/>
    </row>
    <row r="10994" spans="8:8" x14ac:dyDescent="0.35">
      <c r="H10994" s="11"/>
    </row>
    <row r="10995" spans="8:8" x14ac:dyDescent="0.35">
      <c r="H10995" s="11"/>
    </row>
    <row r="10996" spans="8:8" x14ac:dyDescent="0.35">
      <c r="H10996" s="11"/>
    </row>
    <row r="10997" spans="8:8" x14ac:dyDescent="0.35">
      <c r="H10997" s="11"/>
    </row>
    <row r="10998" spans="8:8" x14ac:dyDescent="0.35">
      <c r="H10998" s="11"/>
    </row>
    <row r="10999" spans="8:8" x14ac:dyDescent="0.35">
      <c r="H10999" s="11"/>
    </row>
    <row r="11000" spans="8:8" x14ac:dyDescent="0.35">
      <c r="H11000" s="11"/>
    </row>
    <row r="11001" spans="8:8" x14ac:dyDescent="0.35">
      <c r="H11001" s="11"/>
    </row>
    <row r="11002" spans="8:8" x14ac:dyDescent="0.35">
      <c r="H11002" s="11"/>
    </row>
    <row r="11003" spans="8:8" x14ac:dyDescent="0.35">
      <c r="H11003" s="11"/>
    </row>
    <row r="11004" spans="8:8" x14ac:dyDescent="0.35">
      <c r="H11004" s="11"/>
    </row>
    <row r="11005" spans="8:8" x14ac:dyDescent="0.35">
      <c r="H11005" s="11"/>
    </row>
    <row r="11006" spans="8:8" x14ac:dyDescent="0.35">
      <c r="H11006" s="11"/>
    </row>
    <row r="11007" spans="8:8" x14ac:dyDescent="0.35">
      <c r="H11007" s="11"/>
    </row>
    <row r="11008" spans="8:8" x14ac:dyDescent="0.35">
      <c r="H11008" s="11"/>
    </row>
    <row r="11009" spans="8:8" x14ac:dyDescent="0.35">
      <c r="H11009" s="11"/>
    </row>
    <row r="11010" spans="8:8" x14ac:dyDescent="0.35">
      <c r="H11010" s="11"/>
    </row>
    <row r="11011" spans="8:8" x14ac:dyDescent="0.35">
      <c r="H11011" s="11"/>
    </row>
    <row r="11012" spans="8:8" x14ac:dyDescent="0.35">
      <c r="H11012" s="11"/>
    </row>
    <row r="11013" spans="8:8" x14ac:dyDescent="0.35">
      <c r="H11013" s="11"/>
    </row>
    <row r="11014" spans="8:8" x14ac:dyDescent="0.35">
      <c r="H11014" s="11"/>
    </row>
    <row r="11015" spans="8:8" x14ac:dyDescent="0.35">
      <c r="H11015" s="11"/>
    </row>
    <row r="11016" spans="8:8" x14ac:dyDescent="0.35">
      <c r="H11016" s="11"/>
    </row>
    <row r="11017" spans="8:8" x14ac:dyDescent="0.35">
      <c r="H11017" s="11"/>
    </row>
    <row r="11018" spans="8:8" x14ac:dyDescent="0.35">
      <c r="H11018" s="11"/>
    </row>
    <row r="11019" spans="8:8" x14ac:dyDescent="0.35">
      <c r="H11019" s="11"/>
    </row>
    <row r="11020" spans="8:8" x14ac:dyDescent="0.35">
      <c r="H11020" s="11"/>
    </row>
    <row r="11021" spans="8:8" x14ac:dyDescent="0.35">
      <c r="H11021" s="11"/>
    </row>
    <row r="11022" spans="8:8" x14ac:dyDescent="0.35">
      <c r="H11022" s="11"/>
    </row>
    <row r="11023" spans="8:8" x14ac:dyDescent="0.35">
      <c r="H11023" s="11"/>
    </row>
    <row r="11024" spans="8:8" x14ac:dyDescent="0.35">
      <c r="H11024" s="11"/>
    </row>
    <row r="11025" spans="8:8" x14ac:dyDescent="0.35">
      <c r="H11025" s="11"/>
    </row>
    <row r="11026" spans="8:8" x14ac:dyDescent="0.35">
      <c r="H11026" s="11"/>
    </row>
    <row r="11027" spans="8:8" x14ac:dyDescent="0.35">
      <c r="H11027" s="11"/>
    </row>
    <row r="11028" spans="8:8" x14ac:dyDescent="0.35">
      <c r="H11028" s="11"/>
    </row>
    <row r="11029" spans="8:8" x14ac:dyDescent="0.35">
      <c r="H11029" s="11"/>
    </row>
    <row r="11030" spans="8:8" x14ac:dyDescent="0.35">
      <c r="H11030" s="11"/>
    </row>
    <row r="11031" spans="8:8" x14ac:dyDescent="0.35">
      <c r="H11031" s="11"/>
    </row>
    <row r="11032" spans="8:8" x14ac:dyDescent="0.35">
      <c r="H11032" s="11"/>
    </row>
    <row r="11033" spans="8:8" x14ac:dyDescent="0.35">
      <c r="H11033" s="11"/>
    </row>
    <row r="11034" spans="8:8" x14ac:dyDescent="0.35">
      <c r="H11034" s="11"/>
    </row>
    <row r="11035" spans="8:8" x14ac:dyDescent="0.35">
      <c r="H11035" s="11"/>
    </row>
    <row r="11036" spans="8:8" x14ac:dyDescent="0.35">
      <c r="H11036" s="11"/>
    </row>
    <row r="11037" spans="8:8" x14ac:dyDescent="0.35">
      <c r="H11037" s="11"/>
    </row>
    <row r="11038" spans="8:8" x14ac:dyDescent="0.35">
      <c r="H11038" s="11"/>
    </row>
    <row r="11039" spans="8:8" x14ac:dyDescent="0.35">
      <c r="H11039" s="11"/>
    </row>
    <row r="11040" spans="8:8" x14ac:dyDescent="0.35">
      <c r="H11040" s="11"/>
    </row>
    <row r="11041" spans="8:8" x14ac:dyDescent="0.35">
      <c r="H11041" s="11"/>
    </row>
    <row r="11042" spans="8:8" x14ac:dyDescent="0.35">
      <c r="H11042" s="11"/>
    </row>
    <row r="11043" spans="8:8" x14ac:dyDescent="0.35">
      <c r="H11043" s="11"/>
    </row>
    <row r="11044" spans="8:8" x14ac:dyDescent="0.35">
      <c r="H11044" s="11"/>
    </row>
    <row r="11045" spans="8:8" x14ac:dyDescent="0.35">
      <c r="H11045" s="11"/>
    </row>
    <row r="11046" spans="8:8" x14ac:dyDescent="0.35">
      <c r="H11046" s="11"/>
    </row>
    <row r="11047" spans="8:8" x14ac:dyDescent="0.35">
      <c r="H11047" s="11"/>
    </row>
    <row r="11048" spans="8:8" x14ac:dyDescent="0.35">
      <c r="H11048" s="11"/>
    </row>
    <row r="11049" spans="8:8" x14ac:dyDescent="0.35">
      <c r="H11049" s="11"/>
    </row>
    <row r="11050" spans="8:8" x14ac:dyDescent="0.35">
      <c r="H11050" s="11"/>
    </row>
    <row r="11051" spans="8:8" x14ac:dyDescent="0.35">
      <c r="H11051" s="11"/>
    </row>
    <row r="11052" spans="8:8" x14ac:dyDescent="0.35">
      <c r="H11052" s="11"/>
    </row>
    <row r="11053" spans="8:8" x14ac:dyDescent="0.35">
      <c r="H11053" s="11"/>
    </row>
    <row r="11054" spans="8:8" x14ac:dyDescent="0.35">
      <c r="H11054" s="11"/>
    </row>
    <row r="11055" spans="8:8" x14ac:dyDescent="0.35">
      <c r="H11055" s="11"/>
    </row>
    <row r="11056" spans="8:8" x14ac:dyDescent="0.35">
      <c r="H11056" s="11"/>
    </row>
    <row r="11057" spans="8:8" x14ac:dyDescent="0.35">
      <c r="H11057" s="11"/>
    </row>
    <row r="11058" spans="8:8" x14ac:dyDescent="0.35">
      <c r="H11058" s="11"/>
    </row>
    <row r="11059" spans="8:8" x14ac:dyDescent="0.35">
      <c r="H11059" s="11"/>
    </row>
    <row r="11060" spans="8:8" x14ac:dyDescent="0.35">
      <c r="H11060" s="11"/>
    </row>
    <row r="11061" spans="8:8" x14ac:dyDescent="0.35">
      <c r="H11061" s="11"/>
    </row>
    <row r="11062" spans="8:8" x14ac:dyDescent="0.35">
      <c r="H11062" s="11"/>
    </row>
    <row r="11063" spans="8:8" x14ac:dyDescent="0.35">
      <c r="H11063" s="11"/>
    </row>
    <row r="11064" spans="8:8" x14ac:dyDescent="0.35">
      <c r="H11064" s="11"/>
    </row>
    <row r="11065" spans="8:8" x14ac:dyDescent="0.35">
      <c r="H11065" s="11"/>
    </row>
    <row r="11066" spans="8:8" x14ac:dyDescent="0.35">
      <c r="H11066" s="11"/>
    </row>
    <row r="11067" spans="8:8" x14ac:dyDescent="0.35">
      <c r="H11067" s="11"/>
    </row>
    <row r="11068" spans="8:8" x14ac:dyDescent="0.35">
      <c r="H11068" s="11"/>
    </row>
    <row r="11069" spans="8:8" x14ac:dyDescent="0.35">
      <c r="H11069" s="11"/>
    </row>
    <row r="11070" spans="8:8" x14ac:dyDescent="0.35">
      <c r="H11070" s="11"/>
    </row>
    <row r="11071" spans="8:8" x14ac:dyDescent="0.35">
      <c r="H11071" s="11"/>
    </row>
    <row r="11072" spans="8:8" x14ac:dyDescent="0.35">
      <c r="H11072" s="11"/>
    </row>
    <row r="11073" spans="8:8" x14ac:dyDescent="0.35">
      <c r="H11073" s="11"/>
    </row>
    <row r="11074" spans="8:8" x14ac:dyDescent="0.35">
      <c r="H11074" s="11"/>
    </row>
    <row r="11075" spans="8:8" x14ac:dyDescent="0.35">
      <c r="H11075" s="11"/>
    </row>
    <row r="11076" spans="8:8" x14ac:dyDescent="0.35">
      <c r="H11076" s="11"/>
    </row>
    <row r="11077" spans="8:8" x14ac:dyDescent="0.35">
      <c r="H11077" s="11"/>
    </row>
    <row r="11078" spans="8:8" x14ac:dyDescent="0.35">
      <c r="H11078" s="11"/>
    </row>
    <row r="11079" spans="8:8" x14ac:dyDescent="0.35">
      <c r="H11079" s="11"/>
    </row>
    <row r="11080" spans="8:8" x14ac:dyDescent="0.35">
      <c r="H11080" s="11"/>
    </row>
    <row r="11081" spans="8:8" x14ac:dyDescent="0.35">
      <c r="H11081" s="11"/>
    </row>
    <row r="11082" spans="8:8" x14ac:dyDescent="0.35">
      <c r="H11082" s="11"/>
    </row>
    <row r="11083" spans="8:8" x14ac:dyDescent="0.35">
      <c r="H11083" s="11"/>
    </row>
    <row r="11084" spans="8:8" x14ac:dyDescent="0.35">
      <c r="H11084" s="11"/>
    </row>
    <row r="11085" spans="8:8" x14ac:dyDescent="0.35">
      <c r="H11085" s="11"/>
    </row>
    <row r="11086" spans="8:8" x14ac:dyDescent="0.35">
      <c r="H11086" s="11"/>
    </row>
    <row r="11087" spans="8:8" x14ac:dyDescent="0.35">
      <c r="H11087" s="11"/>
    </row>
    <row r="11088" spans="8:8" x14ac:dyDescent="0.35">
      <c r="H11088" s="11"/>
    </row>
    <row r="11089" spans="8:8" x14ac:dyDescent="0.35">
      <c r="H11089" s="11"/>
    </row>
    <row r="11090" spans="8:8" x14ac:dyDescent="0.35">
      <c r="H11090" s="11"/>
    </row>
    <row r="11091" spans="8:8" x14ac:dyDescent="0.35">
      <c r="H11091" s="11"/>
    </row>
    <row r="11092" spans="8:8" x14ac:dyDescent="0.35">
      <c r="H11092" s="11"/>
    </row>
    <row r="11093" spans="8:8" x14ac:dyDescent="0.35">
      <c r="H11093" s="11"/>
    </row>
    <row r="11094" spans="8:8" x14ac:dyDescent="0.35">
      <c r="H11094" s="11"/>
    </row>
    <row r="11095" spans="8:8" x14ac:dyDescent="0.35">
      <c r="H11095" s="11"/>
    </row>
    <row r="11096" spans="8:8" x14ac:dyDescent="0.35">
      <c r="H11096" s="11"/>
    </row>
    <row r="11097" spans="8:8" x14ac:dyDescent="0.35">
      <c r="H11097" s="11"/>
    </row>
    <row r="11098" spans="8:8" x14ac:dyDescent="0.35">
      <c r="H11098" s="11"/>
    </row>
    <row r="11099" spans="8:8" x14ac:dyDescent="0.35">
      <c r="H11099" s="11"/>
    </row>
    <row r="11100" spans="8:8" x14ac:dyDescent="0.35">
      <c r="H11100" s="11"/>
    </row>
    <row r="11101" spans="8:8" x14ac:dyDescent="0.35">
      <c r="H11101" s="11"/>
    </row>
    <row r="11102" spans="8:8" x14ac:dyDescent="0.35">
      <c r="H11102" s="11"/>
    </row>
    <row r="11103" spans="8:8" x14ac:dyDescent="0.35">
      <c r="H11103" s="11"/>
    </row>
    <row r="11104" spans="8:8" x14ac:dyDescent="0.35">
      <c r="H11104" s="11"/>
    </row>
    <row r="11105" spans="8:8" x14ac:dyDescent="0.35">
      <c r="H11105" s="11"/>
    </row>
    <row r="11106" spans="8:8" x14ac:dyDescent="0.35">
      <c r="H11106" s="11"/>
    </row>
    <row r="11107" spans="8:8" x14ac:dyDescent="0.35">
      <c r="H11107" s="11"/>
    </row>
    <row r="11108" spans="8:8" x14ac:dyDescent="0.35">
      <c r="H11108" s="11"/>
    </row>
    <row r="11109" spans="8:8" x14ac:dyDescent="0.35">
      <c r="H11109" s="11"/>
    </row>
    <row r="11110" spans="8:8" x14ac:dyDescent="0.35">
      <c r="H11110" s="11"/>
    </row>
    <row r="11111" spans="8:8" x14ac:dyDescent="0.35">
      <c r="H11111" s="11"/>
    </row>
    <row r="11112" spans="8:8" x14ac:dyDescent="0.35">
      <c r="H11112" s="11"/>
    </row>
    <row r="11113" spans="8:8" x14ac:dyDescent="0.35">
      <c r="H11113" s="11"/>
    </row>
    <row r="11114" spans="8:8" x14ac:dyDescent="0.35">
      <c r="H11114" s="11"/>
    </row>
    <row r="11115" spans="8:8" x14ac:dyDescent="0.35">
      <c r="H11115" s="11"/>
    </row>
    <row r="11116" spans="8:8" x14ac:dyDescent="0.35">
      <c r="H11116" s="11"/>
    </row>
    <row r="11117" spans="8:8" x14ac:dyDescent="0.35">
      <c r="H11117" s="11"/>
    </row>
    <row r="11118" spans="8:8" x14ac:dyDescent="0.35">
      <c r="H11118" s="11"/>
    </row>
    <row r="11119" spans="8:8" x14ac:dyDescent="0.35">
      <c r="H11119" s="11"/>
    </row>
    <row r="11120" spans="8:8" x14ac:dyDescent="0.35">
      <c r="H11120" s="11"/>
    </row>
    <row r="11121" spans="8:8" x14ac:dyDescent="0.35">
      <c r="H11121" s="11"/>
    </row>
    <row r="11122" spans="8:8" x14ac:dyDescent="0.35">
      <c r="H11122" s="11"/>
    </row>
    <row r="11123" spans="8:8" x14ac:dyDescent="0.35">
      <c r="H11123" s="11"/>
    </row>
    <row r="11124" spans="8:8" x14ac:dyDescent="0.35">
      <c r="H11124" s="11"/>
    </row>
    <row r="11125" spans="8:8" x14ac:dyDescent="0.35">
      <c r="H11125" s="11"/>
    </row>
    <row r="11126" spans="8:8" x14ac:dyDescent="0.35">
      <c r="H11126" s="11"/>
    </row>
    <row r="11127" spans="8:8" x14ac:dyDescent="0.35">
      <c r="H11127" s="11"/>
    </row>
    <row r="11128" spans="8:8" x14ac:dyDescent="0.35">
      <c r="H11128" s="11"/>
    </row>
    <row r="11129" spans="8:8" x14ac:dyDescent="0.35">
      <c r="H11129" s="11"/>
    </row>
    <row r="11130" spans="8:8" x14ac:dyDescent="0.35">
      <c r="H11130" s="11"/>
    </row>
    <row r="11131" spans="8:8" x14ac:dyDescent="0.35">
      <c r="H11131" s="11"/>
    </row>
    <row r="11132" spans="8:8" x14ac:dyDescent="0.35">
      <c r="H11132" s="11"/>
    </row>
    <row r="11133" spans="8:8" x14ac:dyDescent="0.35">
      <c r="H11133" s="11"/>
    </row>
    <row r="11134" spans="8:8" x14ac:dyDescent="0.35">
      <c r="H11134" s="11"/>
    </row>
    <row r="11135" spans="8:8" x14ac:dyDescent="0.35">
      <c r="H11135" s="11"/>
    </row>
    <row r="11136" spans="8:8" x14ac:dyDescent="0.35">
      <c r="H11136" s="11"/>
    </row>
    <row r="11137" spans="8:8" x14ac:dyDescent="0.35">
      <c r="H11137" s="11"/>
    </row>
    <row r="11138" spans="8:8" x14ac:dyDescent="0.35">
      <c r="H11138" s="11"/>
    </row>
    <row r="11139" spans="8:8" x14ac:dyDescent="0.35">
      <c r="H11139" s="11"/>
    </row>
    <row r="11140" spans="8:8" x14ac:dyDescent="0.35">
      <c r="H11140" s="11"/>
    </row>
    <row r="11141" spans="8:8" x14ac:dyDescent="0.35">
      <c r="H11141" s="11"/>
    </row>
    <row r="11142" spans="8:8" x14ac:dyDescent="0.35">
      <c r="H11142" s="11"/>
    </row>
    <row r="11143" spans="8:8" x14ac:dyDescent="0.35">
      <c r="H11143" s="11"/>
    </row>
    <row r="11144" spans="8:8" x14ac:dyDescent="0.35">
      <c r="H11144" s="11"/>
    </row>
    <row r="11145" spans="8:8" x14ac:dyDescent="0.35">
      <c r="H11145" s="11"/>
    </row>
    <row r="11146" spans="8:8" x14ac:dyDescent="0.35">
      <c r="H11146" s="11"/>
    </row>
    <row r="11147" spans="8:8" x14ac:dyDescent="0.35">
      <c r="H11147" s="11"/>
    </row>
    <row r="11148" spans="8:8" x14ac:dyDescent="0.35">
      <c r="H11148" s="11"/>
    </row>
    <row r="11149" spans="8:8" x14ac:dyDescent="0.35">
      <c r="H11149" s="11"/>
    </row>
    <row r="11150" spans="8:8" x14ac:dyDescent="0.35">
      <c r="H11150" s="11"/>
    </row>
    <row r="11151" spans="8:8" x14ac:dyDescent="0.35">
      <c r="H11151" s="11"/>
    </row>
    <row r="11152" spans="8:8" x14ac:dyDescent="0.35">
      <c r="H11152" s="11"/>
    </row>
    <row r="11153" spans="8:8" x14ac:dyDescent="0.35">
      <c r="H11153" s="11"/>
    </row>
    <row r="11154" spans="8:8" x14ac:dyDescent="0.35">
      <c r="H11154" s="11"/>
    </row>
    <row r="11155" spans="8:8" x14ac:dyDescent="0.35">
      <c r="H11155" s="11"/>
    </row>
    <row r="11156" spans="8:8" x14ac:dyDescent="0.35">
      <c r="H11156" s="11"/>
    </row>
    <row r="11157" spans="8:8" x14ac:dyDescent="0.35">
      <c r="H11157" s="11"/>
    </row>
    <row r="11158" spans="8:8" x14ac:dyDescent="0.35">
      <c r="H11158" s="11"/>
    </row>
    <row r="11159" spans="8:8" x14ac:dyDescent="0.35">
      <c r="H11159" s="11"/>
    </row>
    <row r="11160" spans="8:8" x14ac:dyDescent="0.35">
      <c r="H11160" s="11"/>
    </row>
    <row r="11161" spans="8:8" x14ac:dyDescent="0.35">
      <c r="H11161" s="11"/>
    </row>
    <row r="11162" spans="8:8" x14ac:dyDescent="0.35">
      <c r="H11162" s="11"/>
    </row>
    <row r="11163" spans="8:8" x14ac:dyDescent="0.35">
      <c r="H11163" s="11"/>
    </row>
    <row r="11164" spans="8:8" x14ac:dyDescent="0.35">
      <c r="H11164" s="11"/>
    </row>
    <row r="11165" spans="8:8" x14ac:dyDescent="0.35">
      <c r="H11165" s="11"/>
    </row>
    <row r="11166" spans="8:8" x14ac:dyDescent="0.35">
      <c r="H11166" s="11"/>
    </row>
    <row r="11167" spans="8:8" x14ac:dyDescent="0.35">
      <c r="H11167" s="11"/>
    </row>
    <row r="11168" spans="8:8" x14ac:dyDescent="0.35">
      <c r="H11168" s="11"/>
    </row>
    <row r="11169" spans="8:8" x14ac:dyDescent="0.35">
      <c r="H11169" s="11"/>
    </row>
    <row r="11170" spans="8:8" x14ac:dyDescent="0.35">
      <c r="H11170" s="11"/>
    </row>
    <row r="11171" spans="8:8" x14ac:dyDescent="0.35">
      <c r="H11171" s="11"/>
    </row>
    <row r="11172" spans="8:8" x14ac:dyDescent="0.35">
      <c r="H11172" s="11"/>
    </row>
    <row r="11173" spans="8:8" x14ac:dyDescent="0.35">
      <c r="H11173" s="11"/>
    </row>
    <row r="11174" spans="8:8" x14ac:dyDescent="0.35">
      <c r="H11174" s="11"/>
    </row>
    <row r="11175" spans="8:8" x14ac:dyDescent="0.35">
      <c r="H11175" s="11"/>
    </row>
    <row r="11176" spans="8:8" x14ac:dyDescent="0.35">
      <c r="H11176" s="11"/>
    </row>
    <row r="11177" spans="8:8" x14ac:dyDescent="0.35">
      <c r="H11177" s="11"/>
    </row>
    <row r="11178" spans="8:8" x14ac:dyDescent="0.35">
      <c r="H11178" s="11"/>
    </row>
    <row r="11179" spans="8:8" x14ac:dyDescent="0.35">
      <c r="H11179" s="11"/>
    </row>
    <row r="11180" spans="8:8" x14ac:dyDescent="0.35">
      <c r="H11180" s="11"/>
    </row>
    <row r="11181" spans="8:8" x14ac:dyDescent="0.35">
      <c r="H11181" s="11"/>
    </row>
    <row r="11182" spans="8:8" x14ac:dyDescent="0.35">
      <c r="H11182" s="11"/>
    </row>
    <row r="11183" spans="8:8" x14ac:dyDescent="0.35">
      <c r="H11183" s="11"/>
    </row>
    <row r="11184" spans="8:8" x14ac:dyDescent="0.35">
      <c r="H11184" s="11"/>
    </row>
    <row r="11185" spans="8:8" x14ac:dyDescent="0.35">
      <c r="H11185" s="11"/>
    </row>
    <row r="11186" spans="8:8" x14ac:dyDescent="0.35">
      <c r="H11186" s="11"/>
    </row>
    <row r="11187" spans="8:8" x14ac:dyDescent="0.35">
      <c r="H11187" s="11"/>
    </row>
    <row r="11188" spans="8:8" x14ac:dyDescent="0.35">
      <c r="H11188" s="11"/>
    </row>
    <row r="11189" spans="8:8" x14ac:dyDescent="0.35">
      <c r="H11189" s="11"/>
    </row>
    <row r="11190" spans="8:8" x14ac:dyDescent="0.35">
      <c r="H11190" s="11"/>
    </row>
    <row r="11191" spans="8:8" x14ac:dyDescent="0.35">
      <c r="H11191" s="11"/>
    </row>
    <row r="11192" spans="8:8" x14ac:dyDescent="0.35">
      <c r="H11192" s="11"/>
    </row>
    <row r="11193" spans="8:8" x14ac:dyDescent="0.35">
      <c r="H11193" s="11"/>
    </row>
    <row r="11194" spans="8:8" x14ac:dyDescent="0.35">
      <c r="H11194" s="11"/>
    </row>
    <row r="11195" spans="8:8" x14ac:dyDescent="0.35">
      <c r="H11195" s="11"/>
    </row>
    <row r="11196" spans="8:8" x14ac:dyDescent="0.35">
      <c r="H11196" s="11"/>
    </row>
    <row r="11197" spans="8:8" x14ac:dyDescent="0.35">
      <c r="H11197" s="11"/>
    </row>
    <row r="11198" spans="8:8" x14ac:dyDescent="0.35">
      <c r="H11198" s="11"/>
    </row>
    <row r="11199" spans="8:8" x14ac:dyDescent="0.35">
      <c r="H11199" s="11"/>
    </row>
    <row r="11200" spans="8:8" x14ac:dyDescent="0.35">
      <c r="H11200" s="11"/>
    </row>
    <row r="11201" spans="8:8" x14ac:dyDescent="0.35">
      <c r="H11201" s="11"/>
    </row>
    <row r="11202" spans="8:8" x14ac:dyDescent="0.35">
      <c r="H11202" s="11"/>
    </row>
    <row r="11203" spans="8:8" x14ac:dyDescent="0.35">
      <c r="H11203" s="11"/>
    </row>
    <row r="11204" spans="8:8" x14ac:dyDescent="0.35">
      <c r="H11204" s="11"/>
    </row>
    <row r="11205" spans="8:8" x14ac:dyDescent="0.35">
      <c r="H11205" s="11"/>
    </row>
    <row r="11206" spans="8:8" x14ac:dyDescent="0.35">
      <c r="H11206" s="11"/>
    </row>
    <row r="11207" spans="8:8" x14ac:dyDescent="0.35">
      <c r="H11207" s="11"/>
    </row>
    <row r="11208" spans="8:8" x14ac:dyDescent="0.35">
      <c r="H11208" s="11"/>
    </row>
    <row r="11209" spans="8:8" x14ac:dyDescent="0.35">
      <c r="H11209" s="11"/>
    </row>
    <row r="11210" spans="8:8" x14ac:dyDescent="0.35">
      <c r="H11210" s="11"/>
    </row>
    <row r="11211" spans="8:8" x14ac:dyDescent="0.35">
      <c r="H11211" s="11"/>
    </row>
    <row r="11212" spans="8:8" x14ac:dyDescent="0.35">
      <c r="H11212" s="11"/>
    </row>
    <row r="11213" spans="8:8" x14ac:dyDescent="0.35">
      <c r="H11213" s="11"/>
    </row>
    <row r="11214" spans="8:8" x14ac:dyDescent="0.35">
      <c r="H11214" s="11"/>
    </row>
    <row r="11215" spans="8:8" x14ac:dyDescent="0.35">
      <c r="H11215" s="11"/>
    </row>
    <row r="11216" spans="8:8" x14ac:dyDescent="0.35">
      <c r="H11216" s="11"/>
    </row>
    <row r="11217" spans="8:8" x14ac:dyDescent="0.35">
      <c r="H11217" s="11"/>
    </row>
    <row r="11218" spans="8:8" x14ac:dyDescent="0.35">
      <c r="H11218" s="11"/>
    </row>
    <row r="11219" spans="8:8" x14ac:dyDescent="0.35">
      <c r="H11219" s="11"/>
    </row>
    <row r="11220" spans="8:8" x14ac:dyDescent="0.35">
      <c r="H11220" s="11"/>
    </row>
    <row r="11221" spans="8:8" x14ac:dyDescent="0.35">
      <c r="H11221" s="11"/>
    </row>
    <row r="11222" spans="8:8" x14ac:dyDescent="0.35">
      <c r="H11222" s="11"/>
    </row>
    <row r="11223" spans="8:8" x14ac:dyDescent="0.35">
      <c r="H11223" s="11"/>
    </row>
  </sheetData>
  <sortState xmlns:xlrd2="http://schemas.microsoft.com/office/spreadsheetml/2017/richdata2" ref="A2:G5645">
    <sortCondition ref="B2:B5645"/>
    <sortCondition ref="C2:C5645"/>
    <sortCondition ref="A2:A5645"/>
  </sortState>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raportit</vt:lpstr>
      <vt:lpstr>ohjaus</vt:lpstr>
      <vt:lpstr>myyntihistoria</vt:lpstr>
      <vt:lpstr>piirit</vt:lpstr>
      <vt:lpstr>viimeisin_kuu</vt:lpstr>
      <vt:lpstr>viimeisin_vuosi</vt:lpstr>
    </vt:vector>
  </TitlesOfParts>
  <Company>Turun yliopisto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 Leino</dc:creator>
  <cp:lastModifiedBy>Laura</cp:lastModifiedBy>
  <dcterms:created xsi:type="dcterms:W3CDTF">2018-10-25T12:01:23Z</dcterms:created>
  <dcterms:modified xsi:type="dcterms:W3CDTF">2019-02-13T10:52:58Z</dcterms:modified>
</cp:coreProperties>
</file>